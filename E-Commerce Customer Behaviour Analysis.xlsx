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/>
  <xr:revisionPtr revIDLastSave="640" documentId="11_0B1D56BE9CDCCE836B02CE7A5FB0D4A9BBFD1C62" xr6:coauthVersionLast="47" xr6:coauthVersionMax="47" xr10:uidLastSave="{BD47B29B-F378-4619-8552-DD44A240F844}"/>
  <bookViews>
    <workbookView xWindow="240" yWindow="105" windowWidth="14805" windowHeight="8010" firstSheet="4" activeTab="4" xr2:uid="{00000000-000D-0000-FFFF-FFFF00000000}"/>
  </bookViews>
  <sheets>
    <sheet name="Raw Data" sheetId="1" r:id="rId1"/>
    <sheet name="Customer Data" sheetId="2" r:id="rId2"/>
    <sheet name="Gross sale &amp; Discount%" sheetId="3" r:id="rId3"/>
    <sheet name="Customer Behaviour Data" sheetId="4" r:id="rId4"/>
    <sheet name="Pivot Table" sheetId="6" r:id="rId5"/>
  </sheets>
  <definedNames>
    <definedName name="_xlnm._FilterDatabase" localSheetId="3" hidden="1">'Customer Behaviour Data'!$A$1:$W$700</definedName>
    <definedName name="_xlnm._FilterDatabase" localSheetId="1" hidden="1">'Customer Data'!$A$1:$R$700</definedName>
    <definedName name="_xlnm._FilterDatabase" localSheetId="0" hidden="1">'Raw Data'!$A$1:$R$700</definedName>
  </definedNames>
  <calcPr calcId="191028"/>
  <pivotCaches>
    <pivotCache cacheId="9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" i="4" l="1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2" i="4"/>
  <c r="J700" i="4"/>
  <c r="L700" i="4" s="1"/>
  <c r="J699" i="4"/>
  <c r="L699" i="4" s="1"/>
  <c r="J698" i="4"/>
  <c r="L698" i="4" s="1"/>
  <c r="J697" i="4"/>
  <c r="L697" i="4" s="1"/>
  <c r="J696" i="4"/>
  <c r="L696" i="4" s="1"/>
  <c r="J695" i="4"/>
  <c r="L695" i="4" s="1"/>
  <c r="J694" i="4"/>
  <c r="L694" i="4" s="1"/>
  <c r="J693" i="4"/>
  <c r="L693" i="4" s="1"/>
  <c r="J692" i="4"/>
  <c r="L692" i="4" s="1"/>
  <c r="J691" i="4"/>
  <c r="L691" i="4" s="1"/>
  <c r="J690" i="4"/>
  <c r="L690" i="4" s="1"/>
  <c r="J689" i="4"/>
  <c r="L689" i="4" s="1"/>
  <c r="J688" i="4"/>
  <c r="L688" i="4" s="1"/>
  <c r="J687" i="4"/>
  <c r="L687" i="4" s="1"/>
  <c r="J686" i="4"/>
  <c r="L686" i="4" s="1"/>
  <c r="J685" i="4"/>
  <c r="L685" i="4" s="1"/>
  <c r="J684" i="4"/>
  <c r="L684" i="4" s="1"/>
  <c r="J683" i="4"/>
  <c r="L683" i="4" s="1"/>
  <c r="J682" i="4"/>
  <c r="L682" i="4" s="1"/>
  <c r="J681" i="4"/>
  <c r="L681" i="4" s="1"/>
  <c r="J680" i="4"/>
  <c r="L680" i="4" s="1"/>
  <c r="J679" i="4"/>
  <c r="L679" i="4" s="1"/>
  <c r="J678" i="4"/>
  <c r="L678" i="4" s="1"/>
  <c r="J677" i="4"/>
  <c r="L677" i="4" s="1"/>
  <c r="J676" i="4"/>
  <c r="L676" i="4" s="1"/>
  <c r="J675" i="4"/>
  <c r="L675" i="4" s="1"/>
  <c r="J674" i="4"/>
  <c r="L674" i="4" s="1"/>
  <c r="J673" i="4"/>
  <c r="L673" i="4" s="1"/>
  <c r="J672" i="4"/>
  <c r="L672" i="4" s="1"/>
  <c r="J671" i="4"/>
  <c r="L671" i="4" s="1"/>
  <c r="J670" i="4"/>
  <c r="L670" i="4" s="1"/>
  <c r="J669" i="4"/>
  <c r="L669" i="4" s="1"/>
  <c r="J668" i="4"/>
  <c r="L668" i="4" s="1"/>
  <c r="J667" i="4"/>
  <c r="L667" i="4" s="1"/>
  <c r="J666" i="4"/>
  <c r="L666" i="4" s="1"/>
  <c r="J665" i="4"/>
  <c r="L665" i="4" s="1"/>
  <c r="J664" i="4"/>
  <c r="L664" i="4" s="1"/>
  <c r="J663" i="4"/>
  <c r="L663" i="4" s="1"/>
  <c r="J662" i="4"/>
  <c r="L662" i="4" s="1"/>
  <c r="J661" i="4"/>
  <c r="L661" i="4" s="1"/>
  <c r="J660" i="4"/>
  <c r="L660" i="4" s="1"/>
  <c r="J659" i="4"/>
  <c r="L659" i="4" s="1"/>
  <c r="J658" i="4"/>
  <c r="L658" i="4" s="1"/>
  <c r="J657" i="4"/>
  <c r="L657" i="4" s="1"/>
  <c r="J656" i="4"/>
  <c r="L656" i="4" s="1"/>
  <c r="J655" i="4"/>
  <c r="L655" i="4" s="1"/>
  <c r="J654" i="4"/>
  <c r="L654" i="4" s="1"/>
  <c r="J653" i="4"/>
  <c r="L653" i="4" s="1"/>
  <c r="J652" i="4"/>
  <c r="L652" i="4" s="1"/>
  <c r="J651" i="4"/>
  <c r="L651" i="4" s="1"/>
  <c r="J650" i="4"/>
  <c r="L650" i="4" s="1"/>
  <c r="J649" i="4"/>
  <c r="L649" i="4" s="1"/>
  <c r="J648" i="4"/>
  <c r="L648" i="4" s="1"/>
  <c r="J647" i="4"/>
  <c r="L647" i="4" s="1"/>
  <c r="J646" i="4"/>
  <c r="L646" i="4" s="1"/>
  <c r="J645" i="4"/>
  <c r="L645" i="4" s="1"/>
  <c r="J644" i="4"/>
  <c r="L644" i="4" s="1"/>
  <c r="J643" i="4"/>
  <c r="L643" i="4" s="1"/>
  <c r="J642" i="4"/>
  <c r="L642" i="4" s="1"/>
  <c r="J641" i="4"/>
  <c r="L641" i="4" s="1"/>
  <c r="J640" i="4"/>
  <c r="L640" i="4" s="1"/>
  <c r="J639" i="4"/>
  <c r="L639" i="4" s="1"/>
  <c r="J638" i="4"/>
  <c r="L638" i="4" s="1"/>
  <c r="J637" i="4"/>
  <c r="L637" i="4" s="1"/>
  <c r="J636" i="4"/>
  <c r="L636" i="4" s="1"/>
  <c r="J635" i="4"/>
  <c r="L635" i="4" s="1"/>
  <c r="J634" i="4"/>
  <c r="L634" i="4" s="1"/>
  <c r="J633" i="4"/>
  <c r="L633" i="4" s="1"/>
  <c r="J632" i="4"/>
  <c r="L632" i="4" s="1"/>
  <c r="J631" i="4"/>
  <c r="L631" i="4" s="1"/>
  <c r="J630" i="4"/>
  <c r="L630" i="4" s="1"/>
  <c r="J629" i="4"/>
  <c r="L629" i="4" s="1"/>
  <c r="J628" i="4"/>
  <c r="L628" i="4" s="1"/>
  <c r="J627" i="4"/>
  <c r="L627" i="4" s="1"/>
  <c r="J626" i="4"/>
  <c r="L626" i="4" s="1"/>
  <c r="J625" i="4"/>
  <c r="L625" i="4" s="1"/>
  <c r="J624" i="4"/>
  <c r="L624" i="4" s="1"/>
  <c r="J623" i="4"/>
  <c r="L623" i="4" s="1"/>
  <c r="J622" i="4"/>
  <c r="L622" i="4" s="1"/>
  <c r="J621" i="4"/>
  <c r="L621" i="4" s="1"/>
  <c r="J620" i="4"/>
  <c r="L620" i="4" s="1"/>
  <c r="J619" i="4"/>
  <c r="L619" i="4" s="1"/>
  <c r="J618" i="4"/>
  <c r="L618" i="4" s="1"/>
  <c r="J617" i="4"/>
  <c r="L617" i="4" s="1"/>
  <c r="J616" i="4"/>
  <c r="L616" i="4" s="1"/>
  <c r="J615" i="4"/>
  <c r="L615" i="4" s="1"/>
  <c r="J614" i="4"/>
  <c r="L614" i="4" s="1"/>
  <c r="J613" i="4"/>
  <c r="L613" i="4" s="1"/>
  <c r="J612" i="4"/>
  <c r="L612" i="4" s="1"/>
  <c r="J611" i="4"/>
  <c r="L611" i="4" s="1"/>
  <c r="J610" i="4"/>
  <c r="L610" i="4" s="1"/>
  <c r="J609" i="4"/>
  <c r="L609" i="4" s="1"/>
  <c r="J608" i="4"/>
  <c r="L608" i="4" s="1"/>
  <c r="J607" i="4"/>
  <c r="L607" i="4" s="1"/>
  <c r="J606" i="4"/>
  <c r="L606" i="4" s="1"/>
  <c r="J605" i="4"/>
  <c r="L605" i="4" s="1"/>
  <c r="J604" i="4"/>
  <c r="L604" i="4" s="1"/>
  <c r="J603" i="4"/>
  <c r="L603" i="4" s="1"/>
  <c r="J602" i="4"/>
  <c r="L602" i="4" s="1"/>
  <c r="J601" i="4"/>
  <c r="L601" i="4" s="1"/>
  <c r="J600" i="4"/>
  <c r="L600" i="4" s="1"/>
  <c r="J599" i="4"/>
  <c r="L599" i="4" s="1"/>
  <c r="J598" i="4"/>
  <c r="L598" i="4" s="1"/>
  <c r="J597" i="4"/>
  <c r="L597" i="4" s="1"/>
  <c r="J596" i="4"/>
  <c r="L596" i="4" s="1"/>
  <c r="J595" i="4"/>
  <c r="L595" i="4" s="1"/>
  <c r="J594" i="4"/>
  <c r="L594" i="4" s="1"/>
  <c r="J593" i="4"/>
  <c r="L593" i="4" s="1"/>
  <c r="J592" i="4"/>
  <c r="L592" i="4" s="1"/>
  <c r="J591" i="4"/>
  <c r="L591" i="4" s="1"/>
  <c r="J590" i="4"/>
  <c r="L590" i="4" s="1"/>
  <c r="J589" i="4"/>
  <c r="L589" i="4" s="1"/>
  <c r="J588" i="4"/>
  <c r="L588" i="4" s="1"/>
  <c r="J587" i="4"/>
  <c r="L587" i="4" s="1"/>
  <c r="J586" i="4"/>
  <c r="L586" i="4" s="1"/>
  <c r="J585" i="4"/>
  <c r="L585" i="4" s="1"/>
  <c r="J584" i="4"/>
  <c r="L584" i="4" s="1"/>
  <c r="J583" i="4"/>
  <c r="L583" i="4" s="1"/>
  <c r="J582" i="4"/>
  <c r="L582" i="4" s="1"/>
  <c r="J581" i="4"/>
  <c r="L581" i="4" s="1"/>
  <c r="J580" i="4"/>
  <c r="L580" i="4" s="1"/>
  <c r="J579" i="4"/>
  <c r="L579" i="4" s="1"/>
  <c r="J578" i="4"/>
  <c r="L578" i="4" s="1"/>
  <c r="J577" i="4"/>
  <c r="L577" i="4" s="1"/>
  <c r="J576" i="4"/>
  <c r="L576" i="4" s="1"/>
  <c r="J575" i="4"/>
  <c r="L575" i="4" s="1"/>
  <c r="J574" i="4"/>
  <c r="L574" i="4" s="1"/>
  <c r="J573" i="4"/>
  <c r="L573" i="4" s="1"/>
  <c r="J572" i="4"/>
  <c r="L572" i="4" s="1"/>
  <c r="J571" i="4"/>
  <c r="L571" i="4" s="1"/>
  <c r="J570" i="4"/>
  <c r="L570" i="4" s="1"/>
  <c r="J569" i="4"/>
  <c r="L569" i="4" s="1"/>
  <c r="J568" i="4"/>
  <c r="L568" i="4" s="1"/>
  <c r="J567" i="4"/>
  <c r="L567" i="4" s="1"/>
  <c r="J566" i="4"/>
  <c r="L566" i="4" s="1"/>
  <c r="J565" i="4"/>
  <c r="L565" i="4" s="1"/>
  <c r="J564" i="4"/>
  <c r="L564" i="4" s="1"/>
  <c r="J563" i="4"/>
  <c r="L563" i="4" s="1"/>
  <c r="J562" i="4"/>
  <c r="L562" i="4" s="1"/>
  <c r="J561" i="4"/>
  <c r="L561" i="4" s="1"/>
  <c r="J560" i="4"/>
  <c r="L560" i="4" s="1"/>
  <c r="J559" i="4"/>
  <c r="L559" i="4" s="1"/>
  <c r="J558" i="4"/>
  <c r="L558" i="4" s="1"/>
  <c r="J557" i="4"/>
  <c r="L557" i="4" s="1"/>
  <c r="J556" i="4"/>
  <c r="L556" i="4" s="1"/>
  <c r="J555" i="4"/>
  <c r="L555" i="4" s="1"/>
  <c r="J554" i="4"/>
  <c r="L554" i="4" s="1"/>
  <c r="J553" i="4"/>
  <c r="L553" i="4" s="1"/>
  <c r="J552" i="4"/>
  <c r="L552" i="4" s="1"/>
  <c r="J551" i="4"/>
  <c r="L551" i="4" s="1"/>
  <c r="J550" i="4"/>
  <c r="L550" i="4" s="1"/>
  <c r="J549" i="4"/>
  <c r="L549" i="4" s="1"/>
  <c r="J548" i="4"/>
  <c r="L548" i="4" s="1"/>
  <c r="J547" i="4"/>
  <c r="L547" i="4" s="1"/>
  <c r="J546" i="4"/>
  <c r="L546" i="4" s="1"/>
  <c r="J545" i="4"/>
  <c r="L545" i="4" s="1"/>
  <c r="J544" i="4"/>
  <c r="L544" i="4" s="1"/>
  <c r="J543" i="4"/>
  <c r="L543" i="4" s="1"/>
  <c r="J542" i="4"/>
  <c r="L542" i="4" s="1"/>
  <c r="J541" i="4"/>
  <c r="L541" i="4" s="1"/>
  <c r="J540" i="4"/>
  <c r="L540" i="4" s="1"/>
  <c r="J539" i="4"/>
  <c r="L539" i="4" s="1"/>
  <c r="J538" i="4"/>
  <c r="L538" i="4" s="1"/>
  <c r="J537" i="4"/>
  <c r="L537" i="4" s="1"/>
  <c r="J536" i="4"/>
  <c r="L536" i="4" s="1"/>
  <c r="J535" i="4"/>
  <c r="L535" i="4" s="1"/>
  <c r="J534" i="4"/>
  <c r="L534" i="4" s="1"/>
  <c r="J533" i="4"/>
  <c r="L533" i="4" s="1"/>
  <c r="J532" i="4"/>
  <c r="L532" i="4" s="1"/>
  <c r="J531" i="4"/>
  <c r="L531" i="4" s="1"/>
  <c r="J530" i="4"/>
  <c r="L530" i="4" s="1"/>
  <c r="J529" i="4"/>
  <c r="L529" i="4" s="1"/>
  <c r="J528" i="4"/>
  <c r="L528" i="4" s="1"/>
  <c r="J527" i="4"/>
  <c r="L527" i="4" s="1"/>
  <c r="J526" i="4"/>
  <c r="L526" i="4" s="1"/>
  <c r="J525" i="4"/>
  <c r="L525" i="4" s="1"/>
  <c r="J524" i="4"/>
  <c r="L524" i="4" s="1"/>
  <c r="J523" i="4"/>
  <c r="L523" i="4" s="1"/>
  <c r="J522" i="4"/>
  <c r="L522" i="4" s="1"/>
  <c r="J521" i="4"/>
  <c r="L521" i="4" s="1"/>
  <c r="J520" i="4"/>
  <c r="L520" i="4" s="1"/>
  <c r="J519" i="4"/>
  <c r="L519" i="4" s="1"/>
  <c r="J518" i="4"/>
  <c r="L518" i="4" s="1"/>
  <c r="J517" i="4"/>
  <c r="L517" i="4" s="1"/>
  <c r="J516" i="4"/>
  <c r="L516" i="4" s="1"/>
  <c r="J515" i="4"/>
  <c r="L515" i="4" s="1"/>
  <c r="J514" i="4"/>
  <c r="L514" i="4" s="1"/>
  <c r="J513" i="4"/>
  <c r="L513" i="4" s="1"/>
  <c r="J512" i="4"/>
  <c r="L512" i="4" s="1"/>
  <c r="J511" i="4"/>
  <c r="L511" i="4" s="1"/>
  <c r="J510" i="4"/>
  <c r="L510" i="4" s="1"/>
  <c r="J509" i="4"/>
  <c r="L509" i="4" s="1"/>
  <c r="J508" i="4"/>
  <c r="L508" i="4" s="1"/>
  <c r="J507" i="4"/>
  <c r="L507" i="4" s="1"/>
  <c r="J506" i="4"/>
  <c r="L506" i="4" s="1"/>
  <c r="J505" i="4"/>
  <c r="L505" i="4" s="1"/>
  <c r="J504" i="4"/>
  <c r="L504" i="4" s="1"/>
  <c r="J503" i="4"/>
  <c r="L503" i="4" s="1"/>
  <c r="J502" i="4"/>
  <c r="L502" i="4" s="1"/>
  <c r="J501" i="4"/>
  <c r="L501" i="4" s="1"/>
  <c r="J500" i="4"/>
  <c r="L500" i="4" s="1"/>
  <c r="J499" i="4"/>
  <c r="L499" i="4" s="1"/>
  <c r="J498" i="4"/>
  <c r="L498" i="4" s="1"/>
  <c r="J497" i="4"/>
  <c r="L497" i="4" s="1"/>
  <c r="J496" i="4"/>
  <c r="L496" i="4" s="1"/>
  <c r="J495" i="4"/>
  <c r="L495" i="4" s="1"/>
  <c r="J494" i="4"/>
  <c r="L494" i="4" s="1"/>
  <c r="J493" i="4"/>
  <c r="L493" i="4" s="1"/>
  <c r="J492" i="4"/>
  <c r="L492" i="4" s="1"/>
  <c r="J491" i="4"/>
  <c r="L491" i="4" s="1"/>
  <c r="J490" i="4"/>
  <c r="L490" i="4" s="1"/>
  <c r="J489" i="4"/>
  <c r="L489" i="4" s="1"/>
  <c r="J488" i="4"/>
  <c r="L488" i="4" s="1"/>
  <c r="J487" i="4"/>
  <c r="L487" i="4" s="1"/>
  <c r="J486" i="4"/>
  <c r="L486" i="4" s="1"/>
  <c r="J485" i="4"/>
  <c r="L485" i="4" s="1"/>
  <c r="J484" i="4"/>
  <c r="L484" i="4" s="1"/>
  <c r="J483" i="4"/>
  <c r="L483" i="4" s="1"/>
  <c r="J482" i="4"/>
  <c r="L482" i="4" s="1"/>
  <c r="J481" i="4"/>
  <c r="L481" i="4" s="1"/>
  <c r="J480" i="4"/>
  <c r="L480" i="4" s="1"/>
  <c r="J479" i="4"/>
  <c r="L479" i="4" s="1"/>
  <c r="J478" i="4"/>
  <c r="L478" i="4" s="1"/>
  <c r="J477" i="4"/>
  <c r="L477" i="4" s="1"/>
  <c r="J476" i="4"/>
  <c r="L476" i="4" s="1"/>
  <c r="J475" i="4"/>
  <c r="L475" i="4" s="1"/>
  <c r="J474" i="4"/>
  <c r="L474" i="4" s="1"/>
  <c r="J473" i="4"/>
  <c r="L473" i="4" s="1"/>
  <c r="J472" i="4"/>
  <c r="L472" i="4" s="1"/>
  <c r="J471" i="4"/>
  <c r="L471" i="4" s="1"/>
  <c r="J470" i="4"/>
  <c r="L470" i="4" s="1"/>
  <c r="J469" i="4"/>
  <c r="L469" i="4" s="1"/>
  <c r="J468" i="4"/>
  <c r="L468" i="4" s="1"/>
  <c r="J467" i="4"/>
  <c r="L467" i="4" s="1"/>
  <c r="J466" i="4"/>
  <c r="L466" i="4" s="1"/>
  <c r="J465" i="4"/>
  <c r="L465" i="4" s="1"/>
  <c r="J464" i="4"/>
  <c r="L464" i="4" s="1"/>
  <c r="J463" i="4"/>
  <c r="L463" i="4" s="1"/>
  <c r="J462" i="4"/>
  <c r="L462" i="4" s="1"/>
  <c r="J461" i="4"/>
  <c r="L461" i="4" s="1"/>
  <c r="J460" i="4"/>
  <c r="L460" i="4" s="1"/>
  <c r="J459" i="4"/>
  <c r="L459" i="4" s="1"/>
  <c r="J458" i="4"/>
  <c r="L458" i="4" s="1"/>
  <c r="J457" i="4"/>
  <c r="L457" i="4" s="1"/>
  <c r="J456" i="4"/>
  <c r="L456" i="4" s="1"/>
  <c r="J455" i="4"/>
  <c r="L455" i="4" s="1"/>
  <c r="J454" i="4"/>
  <c r="L454" i="4" s="1"/>
  <c r="J453" i="4"/>
  <c r="L453" i="4" s="1"/>
  <c r="J452" i="4"/>
  <c r="L452" i="4" s="1"/>
  <c r="J451" i="4"/>
  <c r="L451" i="4" s="1"/>
  <c r="J450" i="4"/>
  <c r="L450" i="4" s="1"/>
  <c r="J449" i="4"/>
  <c r="L449" i="4" s="1"/>
  <c r="J448" i="4"/>
  <c r="L448" i="4" s="1"/>
  <c r="J447" i="4"/>
  <c r="L447" i="4" s="1"/>
  <c r="J446" i="4"/>
  <c r="L446" i="4" s="1"/>
  <c r="J445" i="4"/>
  <c r="L445" i="4" s="1"/>
  <c r="J444" i="4"/>
  <c r="L444" i="4" s="1"/>
  <c r="J443" i="4"/>
  <c r="L443" i="4" s="1"/>
  <c r="J442" i="4"/>
  <c r="L442" i="4" s="1"/>
  <c r="J441" i="4"/>
  <c r="L441" i="4" s="1"/>
  <c r="J440" i="4"/>
  <c r="L440" i="4" s="1"/>
  <c r="J439" i="4"/>
  <c r="L439" i="4" s="1"/>
  <c r="J438" i="4"/>
  <c r="L438" i="4" s="1"/>
  <c r="J437" i="4"/>
  <c r="L437" i="4" s="1"/>
  <c r="J436" i="4"/>
  <c r="L436" i="4" s="1"/>
  <c r="J435" i="4"/>
  <c r="L435" i="4" s="1"/>
  <c r="J434" i="4"/>
  <c r="L434" i="4" s="1"/>
  <c r="J433" i="4"/>
  <c r="L433" i="4" s="1"/>
  <c r="J432" i="4"/>
  <c r="L432" i="4" s="1"/>
  <c r="J431" i="4"/>
  <c r="L431" i="4" s="1"/>
  <c r="J430" i="4"/>
  <c r="L430" i="4" s="1"/>
  <c r="J429" i="4"/>
  <c r="L429" i="4" s="1"/>
  <c r="J428" i="4"/>
  <c r="L428" i="4" s="1"/>
  <c r="J427" i="4"/>
  <c r="L427" i="4" s="1"/>
  <c r="J426" i="4"/>
  <c r="L426" i="4" s="1"/>
  <c r="J425" i="4"/>
  <c r="L425" i="4" s="1"/>
  <c r="J424" i="4"/>
  <c r="L424" i="4" s="1"/>
  <c r="J423" i="4"/>
  <c r="L423" i="4" s="1"/>
  <c r="J422" i="4"/>
  <c r="L422" i="4" s="1"/>
  <c r="J421" i="4"/>
  <c r="L421" i="4" s="1"/>
  <c r="J420" i="4"/>
  <c r="L420" i="4" s="1"/>
  <c r="J419" i="4"/>
  <c r="L419" i="4" s="1"/>
  <c r="J418" i="4"/>
  <c r="L418" i="4" s="1"/>
  <c r="J417" i="4"/>
  <c r="L417" i="4" s="1"/>
  <c r="J416" i="4"/>
  <c r="L416" i="4" s="1"/>
  <c r="J415" i="4"/>
  <c r="L415" i="4" s="1"/>
  <c r="J414" i="4"/>
  <c r="L414" i="4" s="1"/>
  <c r="J413" i="4"/>
  <c r="L413" i="4" s="1"/>
  <c r="J412" i="4"/>
  <c r="L412" i="4" s="1"/>
  <c r="J411" i="4"/>
  <c r="L411" i="4" s="1"/>
  <c r="J410" i="4"/>
  <c r="L410" i="4" s="1"/>
  <c r="J409" i="4"/>
  <c r="L409" i="4" s="1"/>
  <c r="J408" i="4"/>
  <c r="L408" i="4" s="1"/>
  <c r="J407" i="4"/>
  <c r="L407" i="4" s="1"/>
  <c r="J406" i="4"/>
  <c r="L406" i="4" s="1"/>
  <c r="J405" i="4"/>
  <c r="L405" i="4" s="1"/>
  <c r="J404" i="4"/>
  <c r="L404" i="4" s="1"/>
  <c r="J403" i="4"/>
  <c r="L403" i="4" s="1"/>
  <c r="J402" i="4"/>
  <c r="L402" i="4" s="1"/>
  <c r="J401" i="4"/>
  <c r="L401" i="4" s="1"/>
  <c r="J400" i="4"/>
  <c r="L400" i="4" s="1"/>
  <c r="J399" i="4"/>
  <c r="L399" i="4" s="1"/>
  <c r="J398" i="4"/>
  <c r="L398" i="4" s="1"/>
  <c r="J397" i="4"/>
  <c r="L397" i="4" s="1"/>
  <c r="J396" i="4"/>
  <c r="L396" i="4" s="1"/>
  <c r="J395" i="4"/>
  <c r="L395" i="4" s="1"/>
  <c r="J394" i="4"/>
  <c r="L394" i="4" s="1"/>
  <c r="J393" i="4"/>
  <c r="L393" i="4" s="1"/>
  <c r="J392" i="4"/>
  <c r="L392" i="4" s="1"/>
  <c r="J391" i="4"/>
  <c r="L391" i="4" s="1"/>
  <c r="J390" i="4"/>
  <c r="L390" i="4" s="1"/>
  <c r="J389" i="4"/>
  <c r="L389" i="4" s="1"/>
  <c r="J388" i="4"/>
  <c r="L388" i="4" s="1"/>
  <c r="J387" i="4"/>
  <c r="L387" i="4" s="1"/>
  <c r="J386" i="4"/>
  <c r="L386" i="4" s="1"/>
  <c r="J385" i="4"/>
  <c r="L385" i="4" s="1"/>
  <c r="J384" i="4"/>
  <c r="L384" i="4" s="1"/>
  <c r="J383" i="4"/>
  <c r="L383" i="4" s="1"/>
  <c r="J382" i="4"/>
  <c r="L382" i="4" s="1"/>
  <c r="J381" i="4"/>
  <c r="L381" i="4" s="1"/>
  <c r="J380" i="4"/>
  <c r="L380" i="4" s="1"/>
  <c r="J379" i="4"/>
  <c r="L379" i="4" s="1"/>
  <c r="J378" i="4"/>
  <c r="L378" i="4" s="1"/>
  <c r="J377" i="4"/>
  <c r="L377" i="4" s="1"/>
  <c r="J376" i="4"/>
  <c r="L376" i="4" s="1"/>
  <c r="J375" i="4"/>
  <c r="L375" i="4" s="1"/>
  <c r="J374" i="4"/>
  <c r="L374" i="4" s="1"/>
  <c r="J373" i="4"/>
  <c r="L373" i="4" s="1"/>
  <c r="J372" i="4"/>
  <c r="L372" i="4" s="1"/>
  <c r="J371" i="4"/>
  <c r="L371" i="4" s="1"/>
  <c r="J370" i="4"/>
  <c r="L370" i="4" s="1"/>
  <c r="J369" i="4"/>
  <c r="L369" i="4" s="1"/>
  <c r="J368" i="4"/>
  <c r="L368" i="4" s="1"/>
  <c r="J367" i="4"/>
  <c r="L367" i="4" s="1"/>
  <c r="J366" i="4"/>
  <c r="L366" i="4" s="1"/>
  <c r="J365" i="4"/>
  <c r="L365" i="4" s="1"/>
  <c r="J364" i="4"/>
  <c r="L364" i="4" s="1"/>
  <c r="J363" i="4"/>
  <c r="L363" i="4" s="1"/>
  <c r="J362" i="4"/>
  <c r="L362" i="4" s="1"/>
  <c r="J361" i="4"/>
  <c r="L361" i="4" s="1"/>
  <c r="J360" i="4"/>
  <c r="L360" i="4" s="1"/>
  <c r="J359" i="4"/>
  <c r="L359" i="4" s="1"/>
  <c r="J358" i="4"/>
  <c r="L358" i="4" s="1"/>
  <c r="J357" i="4"/>
  <c r="L357" i="4" s="1"/>
  <c r="J356" i="4"/>
  <c r="L356" i="4" s="1"/>
  <c r="J355" i="4"/>
  <c r="L355" i="4" s="1"/>
  <c r="J354" i="4"/>
  <c r="L354" i="4" s="1"/>
  <c r="J353" i="4"/>
  <c r="L353" i="4" s="1"/>
  <c r="J352" i="4"/>
  <c r="L352" i="4" s="1"/>
  <c r="J351" i="4"/>
  <c r="L351" i="4" s="1"/>
  <c r="J350" i="4"/>
  <c r="L350" i="4" s="1"/>
  <c r="J349" i="4"/>
  <c r="L349" i="4" s="1"/>
  <c r="J348" i="4"/>
  <c r="L348" i="4" s="1"/>
  <c r="J347" i="4"/>
  <c r="L347" i="4" s="1"/>
  <c r="J346" i="4"/>
  <c r="L346" i="4" s="1"/>
  <c r="J345" i="4"/>
  <c r="L345" i="4" s="1"/>
  <c r="J344" i="4"/>
  <c r="L344" i="4" s="1"/>
  <c r="J343" i="4"/>
  <c r="L343" i="4" s="1"/>
  <c r="J342" i="4"/>
  <c r="L342" i="4" s="1"/>
  <c r="J341" i="4"/>
  <c r="L341" i="4" s="1"/>
  <c r="J340" i="4"/>
  <c r="L340" i="4" s="1"/>
  <c r="J339" i="4"/>
  <c r="L339" i="4" s="1"/>
  <c r="J338" i="4"/>
  <c r="L338" i="4" s="1"/>
  <c r="J337" i="4"/>
  <c r="L337" i="4" s="1"/>
  <c r="J336" i="4"/>
  <c r="L336" i="4" s="1"/>
  <c r="J335" i="4"/>
  <c r="L335" i="4" s="1"/>
  <c r="J334" i="4"/>
  <c r="L334" i="4" s="1"/>
  <c r="J333" i="4"/>
  <c r="L333" i="4" s="1"/>
  <c r="J332" i="4"/>
  <c r="L332" i="4" s="1"/>
  <c r="J331" i="4"/>
  <c r="L331" i="4" s="1"/>
  <c r="J330" i="4"/>
  <c r="L330" i="4" s="1"/>
  <c r="J329" i="4"/>
  <c r="L329" i="4" s="1"/>
  <c r="J328" i="4"/>
  <c r="L328" i="4" s="1"/>
  <c r="J327" i="4"/>
  <c r="L327" i="4" s="1"/>
  <c r="J326" i="4"/>
  <c r="L326" i="4" s="1"/>
  <c r="J325" i="4"/>
  <c r="L325" i="4" s="1"/>
  <c r="J324" i="4"/>
  <c r="L324" i="4" s="1"/>
  <c r="J323" i="4"/>
  <c r="L323" i="4" s="1"/>
  <c r="J322" i="4"/>
  <c r="L322" i="4" s="1"/>
  <c r="J321" i="4"/>
  <c r="L321" i="4" s="1"/>
  <c r="J320" i="4"/>
  <c r="L320" i="4" s="1"/>
  <c r="J319" i="4"/>
  <c r="L319" i="4" s="1"/>
  <c r="J318" i="4"/>
  <c r="L318" i="4" s="1"/>
  <c r="J317" i="4"/>
  <c r="L317" i="4" s="1"/>
  <c r="J316" i="4"/>
  <c r="L316" i="4" s="1"/>
  <c r="J315" i="4"/>
  <c r="L315" i="4" s="1"/>
  <c r="J314" i="4"/>
  <c r="L314" i="4" s="1"/>
  <c r="J313" i="4"/>
  <c r="L313" i="4" s="1"/>
  <c r="J312" i="4"/>
  <c r="L312" i="4" s="1"/>
  <c r="J311" i="4"/>
  <c r="L311" i="4" s="1"/>
  <c r="J310" i="4"/>
  <c r="L310" i="4" s="1"/>
  <c r="J309" i="4"/>
  <c r="L309" i="4" s="1"/>
  <c r="J308" i="4"/>
  <c r="L308" i="4" s="1"/>
  <c r="J307" i="4"/>
  <c r="L307" i="4" s="1"/>
  <c r="J306" i="4"/>
  <c r="L306" i="4" s="1"/>
  <c r="J305" i="4"/>
  <c r="L305" i="4" s="1"/>
  <c r="J304" i="4"/>
  <c r="L304" i="4" s="1"/>
  <c r="J303" i="4"/>
  <c r="L303" i="4" s="1"/>
  <c r="J302" i="4"/>
  <c r="L302" i="4" s="1"/>
  <c r="J301" i="4"/>
  <c r="L301" i="4" s="1"/>
  <c r="J300" i="4"/>
  <c r="L300" i="4" s="1"/>
  <c r="J299" i="4"/>
  <c r="L299" i="4" s="1"/>
  <c r="J298" i="4"/>
  <c r="L298" i="4" s="1"/>
  <c r="J297" i="4"/>
  <c r="L297" i="4" s="1"/>
  <c r="J296" i="4"/>
  <c r="L296" i="4" s="1"/>
  <c r="J295" i="4"/>
  <c r="L295" i="4" s="1"/>
  <c r="J294" i="4"/>
  <c r="L294" i="4" s="1"/>
  <c r="J293" i="4"/>
  <c r="L293" i="4" s="1"/>
  <c r="J292" i="4"/>
  <c r="L292" i="4" s="1"/>
  <c r="J291" i="4"/>
  <c r="L291" i="4" s="1"/>
  <c r="J290" i="4"/>
  <c r="L290" i="4" s="1"/>
  <c r="J289" i="4"/>
  <c r="L289" i="4" s="1"/>
  <c r="J288" i="4"/>
  <c r="L288" i="4" s="1"/>
  <c r="J287" i="4"/>
  <c r="L287" i="4" s="1"/>
  <c r="J286" i="4"/>
  <c r="L286" i="4" s="1"/>
  <c r="J285" i="4"/>
  <c r="L285" i="4" s="1"/>
  <c r="J284" i="4"/>
  <c r="L284" i="4" s="1"/>
  <c r="J283" i="4"/>
  <c r="L283" i="4" s="1"/>
  <c r="J282" i="4"/>
  <c r="L282" i="4" s="1"/>
  <c r="J281" i="4"/>
  <c r="L281" i="4" s="1"/>
  <c r="J280" i="4"/>
  <c r="L280" i="4" s="1"/>
  <c r="J279" i="4"/>
  <c r="L279" i="4" s="1"/>
  <c r="J278" i="4"/>
  <c r="L278" i="4" s="1"/>
  <c r="J277" i="4"/>
  <c r="L277" i="4" s="1"/>
  <c r="J276" i="4"/>
  <c r="L276" i="4" s="1"/>
  <c r="J275" i="4"/>
  <c r="L275" i="4" s="1"/>
  <c r="J274" i="4"/>
  <c r="L274" i="4" s="1"/>
  <c r="J273" i="4"/>
  <c r="L273" i="4" s="1"/>
  <c r="J272" i="4"/>
  <c r="L272" i="4" s="1"/>
  <c r="J271" i="4"/>
  <c r="L271" i="4" s="1"/>
  <c r="J270" i="4"/>
  <c r="L270" i="4" s="1"/>
  <c r="J269" i="4"/>
  <c r="L269" i="4" s="1"/>
  <c r="J268" i="4"/>
  <c r="L268" i="4" s="1"/>
  <c r="J267" i="4"/>
  <c r="L267" i="4" s="1"/>
  <c r="J266" i="4"/>
  <c r="L266" i="4" s="1"/>
  <c r="J265" i="4"/>
  <c r="L265" i="4" s="1"/>
  <c r="J264" i="4"/>
  <c r="L264" i="4" s="1"/>
  <c r="J263" i="4"/>
  <c r="L263" i="4" s="1"/>
  <c r="J262" i="4"/>
  <c r="L262" i="4" s="1"/>
  <c r="J261" i="4"/>
  <c r="L261" i="4" s="1"/>
  <c r="J260" i="4"/>
  <c r="L260" i="4" s="1"/>
  <c r="J259" i="4"/>
  <c r="L259" i="4" s="1"/>
  <c r="J258" i="4"/>
  <c r="L258" i="4" s="1"/>
  <c r="J257" i="4"/>
  <c r="L257" i="4" s="1"/>
  <c r="J256" i="4"/>
  <c r="L256" i="4" s="1"/>
  <c r="J255" i="4"/>
  <c r="L255" i="4" s="1"/>
  <c r="J254" i="4"/>
  <c r="L254" i="4" s="1"/>
  <c r="J253" i="4"/>
  <c r="L253" i="4" s="1"/>
  <c r="J252" i="4"/>
  <c r="L252" i="4" s="1"/>
  <c r="J251" i="4"/>
  <c r="L251" i="4" s="1"/>
  <c r="J250" i="4"/>
  <c r="L250" i="4" s="1"/>
  <c r="J249" i="4"/>
  <c r="L249" i="4" s="1"/>
  <c r="J248" i="4"/>
  <c r="L248" i="4" s="1"/>
  <c r="J247" i="4"/>
  <c r="L247" i="4" s="1"/>
  <c r="J246" i="4"/>
  <c r="L246" i="4" s="1"/>
  <c r="J245" i="4"/>
  <c r="L245" i="4" s="1"/>
  <c r="J244" i="4"/>
  <c r="L244" i="4" s="1"/>
  <c r="J243" i="4"/>
  <c r="L243" i="4" s="1"/>
  <c r="J242" i="4"/>
  <c r="L242" i="4" s="1"/>
  <c r="J241" i="4"/>
  <c r="L241" i="4" s="1"/>
  <c r="J240" i="4"/>
  <c r="L240" i="4" s="1"/>
  <c r="J239" i="4"/>
  <c r="L239" i="4" s="1"/>
  <c r="J238" i="4"/>
  <c r="L238" i="4" s="1"/>
  <c r="J237" i="4"/>
  <c r="L237" i="4" s="1"/>
  <c r="J236" i="4"/>
  <c r="L236" i="4" s="1"/>
  <c r="J235" i="4"/>
  <c r="L235" i="4" s="1"/>
  <c r="J234" i="4"/>
  <c r="L234" i="4" s="1"/>
  <c r="J233" i="4"/>
  <c r="L233" i="4" s="1"/>
  <c r="J232" i="4"/>
  <c r="L232" i="4" s="1"/>
  <c r="J231" i="4"/>
  <c r="L231" i="4" s="1"/>
  <c r="J230" i="4"/>
  <c r="L230" i="4" s="1"/>
  <c r="J229" i="4"/>
  <c r="L229" i="4" s="1"/>
  <c r="J228" i="4"/>
  <c r="L228" i="4" s="1"/>
  <c r="J227" i="4"/>
  <c r="L227" i="4" s="1"/>
  <c r="J226" i="4"/>
  <c r="L226" i="4" s="1"/>
  <c r="J225" i="4"/>
  <c r="L225" i="4" s="1"/>
  <c r="J224" i="4"/>
  <c r="L224" i="4" s="1"/>
  <c r="J223" i="4"/>
  <c r="L223" i="4" s="1"/>
  <c r="J222" i="4"/>
  <c r="L222" i="4" s="1"/>
  <c r="J221" i="4"/>
  <c r="L221" i="4" s="1"/>
  <c r="J220" i="4"/>
  <c r="L220" i="4" s="1"/>
  <c r="J219" i="4"/>
  <c r="L219" i="4" s="1"/>
  <c r="J218" i="4"/>
  <c r="L218" i="4" s="1"/>
  <c r="J217" i="4"/>
  <c r="L217" i="4" s="1"/>
  <c r="J216" i="4"/>
  <c r="L216" i="4" s="1"/>
  <c r="J215" i="4"/>
  <c r="L215" i="4" s="1"/>
  <c r="J214" i="4"/>
  <c r="L214" i="4" s="1"/>
  <c r="J213" i="4"/>
  <c r="L213" i="4" s="1"/>
  <c r="J212" i="4"/>
  <c r="L212" i="4" s="1"/>
  <c r="J211" i="4"/>
  <c r="L211" i="4" s="1"/>
  <c r="J210" i="4"/>
  <c r="L210" i="4" s="1"/>
  <c r="J209" i="4"/>
  <c r="L209" i="4" s="1"/>
  <c r="J208" i="4"/>
  <c r="L208" i="4" s="1"/>
  <c r="J207" i="4"/>
  <c r="L207" i="4" s="1"/>
  <c r="J206" i="4"/>
  <c r="L206" i="4" s="1"/>
  <c r="J205" i="4"/>
  <c r="L205" i="4" s="1"/>
  <c r="J204" i="4"/>
  <c r="L204" i="4" s="1"/>
  <c r="J203" i="4"/>
  <c r="L203" i="4" s="1"/>
  <c r="J202" i="4"/>
  <c r="L202" i="4" s="1"/>
  <c r="J201" i="4"/>
  <c r="L201" i="4" s="1"/>
  <c r="J200" i="4"/>
  <c r="L200" i="4" s="1"/>
  <c r="J199" i="4"/>
  <c r="L199" i="4" s="1"/>
  <c r="J198" i="4"/>
  <c r="L198" i="4" s="1"/>
  <c r="J197" i="4"/>
  <c r="L197" i="4" s="1"/>
  <c r="J196" i="4"/>
  <c r="L196" i="4" s="1"/>
  <c r="J195" i="4"/>
  <c r="L195" i="4" s="1"/>
  <c r="J194" i="4"/>
  <c r="L194" i="4" s="1"/>
  <c r="J193" i="4"/>
  <c r="L193" i="4" s="1"/>
  <c r="J192" i="4"/>
  <c r="L192" i="4" s="1"/>
  <c r="J191" i="4"/>
  <c r="L191" i="4" s="1"/>
  <c r="J190" i="4"/>
  <c r="L190" i="4" s="1"/>
  <c r="J189" i="4"/>
  <c r="L189" i="4" s="1"/>
  <c r="J188" i="4"/>
  <c r="L188" i="4" s="1"/>
  <c r="J187" i="4"/>
  <c r="L187" i="4" s="1"/>
  <c r="J186" i="4"/>
  <c r="L186" i="4" s="1"/>
  <c r="J185" i="4"/>
  <c r="L185" i="4" s="1"/>
  <c r="J184" i="4"/>
  <c r="L184" i="4" s="1"/>
  <c r="J183" i="4"/>
  <c r="L183" i="4" s="1"/>
  <c r="J182" i="4"/>
  <c r="L182" i="4" s="1"/>
  <c r="J181" i="4"/>
  <c r="L181" i="4" s="1"/>
  <c r="J180" i="4"/>
  <c r="L180" i="4" s="1"/>
  <c r="J179" i="4"/>
  <c r="L179" i="4" s="1"/>
  <c r="J178" i="4"/>
  <c r="L178" i="4" s="1"/>
  <c r="J177" i="4"/>
  <c r="L177" i="4" s="1"/>
  <c r="J176" i="4"/>
  <c r="L176" i="4" s="1"/>
  <c r="J175" i="4"/>
  <c r="L175" i="4" s="1"/>
  <c r="J174" i="4"/>
  <c r="L174" i="4" s="1"/>
  <c r="J173" i="4"/>
  <c r="L173" i="4" s="1"/>
  <c r="J172" i="4"/>
  <c r="L172" i="4" s="1"/>
  <c r="J171" i="4"/>
  <c r="L171" i="4" s="1"/>
  <c r="J170" i="4"/>
  <c r="L170" i="4" s="1"/>
  <c r="J169" i="4"/>
  <c r="L169" i="4" s="1"/>
  <c r="J168" i="4"/>
  <c r="L168" i="4" s="1"/>
  <c r="J167" i="4"/>
  <c r="L167" i="4" s="1"/>
  <c r="J166" i="4"/>
  <c r="L166" i="4" s="1"/>
  <c r="J165" i="4"/>
  <c r="L165" i="4" s="1"/>
  <c r="J164" i="4"/>
  <c r="L164" i="4" s="1"/>
  <c r="J163" i="4"/>
  <c r="L163" i="4" s="1"/>
  <c r="J162" i="4"/>
  <c r="L162" i="4" s="1"/>
  <c r="J161" i="4"/>
  <c r="L161" i="4" s="1"/>
  <c r="J160" i="4"/>
  <c r="L160" i="4" s="1"/>
  <c r="J159" i="4"/>
  <c r="L159" i="4" s="1"/>
  <c r="J158" i="4"/>
  <c r="L158" i="4" s="1"/>
  <c r="J157" i="4"/>
  <c r="L157" i="4" s="1"/>
  <c r="J156" i="4"/>
  <c r="L156" i="4" s="1"/>
  <c r="J155" i="4"/>
  <c r="L155" i="4" s="1"/>
  <c r="J154" i="4"/>
  <c r="L154" i="4" s="1"/>
  <c r="J153" i="4"/>
  <c r="L153" i="4" s="1"/>
  <c r="J152" i="4"/>
  <c r="L152" i="4" s="1"/>
  <c r="J151" i="4"/>
  <c r="L151" i="4" s="1"/>
  <c r="J150" i="4"/>
  <c r="L150" i="4" s="1"/>
  <c r="J149" i="4"/>
  <c r="L149" i="4" s="1"/>
  <c r="J148" i="4"/>
  <c r="L148" i="4" s="1"/>
  <c r="J147" i="4"/>
  <c r="L147" i="4" s="1"/>
  <c r="J146" i="4"/>
  <c r="L146" i="4" s="1"/>
  <c r="J145" i="4"/>
  <c r="L145" i="4" s="1"/>
  <c r="J144" i="4"/>
  <c r="L144" i="4" s="1"/>
  <c r="J143" i="4"/>
  <c r="L143" i="4" s="1"/>
  <c r="J142" i="4"/>
  <c r="L142" i="4" s="1"/>
  <c r="J141" i="4"/>
  <c r="L141" i="4" s="1"/>
  <c r="J140" i="4"/>
  <c r="L140" i="4" s="1"/>
  <c r="J139" i="4"/>
  <c r="L139" i="4" s="1"/>
  <c r="J138" i="4"/>
  <c r="L138" i="4" s="1"/>
  <c r="J137" i="4"/>
  <c r="L137" i="4" s="1"/>
  <c r="J136" i="4"/>
  <c r="L136" i="4" s="1"/>
  <c r="J135" i="4"/>
  <c r="L135" i="4" s="1"/>
  <c r="J134" i="4"/>
  <c r="L134" i="4" s="1"/>
  <c r="J133" i="4"/>
  <c r="L133" i="4" s="1"/>
  <c r="J132" i="4"/>
  <c r="L132" i="4" s="1"/>
  <c r="J131" i="4"/>
  <c r="L131" i="4" s="1"/>
  <c r="J130" i="4"/>
  <c r="L130" i="4" s="1"/>
  <c r="J129" i="4"/>
  <c r="L129" i="4" s="1"/>
  <c r="J128" i="4"/>
  <c r="L128" i="4" s="1"/>
  <c r="J127" i="4"/>
  <c r="L127" i="4" s="1"/>
  <c r="J126" i="4"/>
  <c r="L126" i="4" s="1"/>
  <c r="J125" i="4"/>
  <c r="L125" i="4" s="1"/>
  <c r="J124" i="4"/>
  <c r="L124" i="4" s="1"/>
  <c r="J123" i="4"/>
  <c r="L123" i="4" s="1"/>
  <c r="J122" i="4"/>
  <c r="L122" i="4" s="1"/>
  <c r="J121" i="4"/>
  <c r="L121" i="4" s="1"/>
  <c r="J120" i="4"/>
  <c r="L120" i="4" s="1"/>
  <c r="J119" i="4"/>
  <c r="L119" i="4" s="1"/>
  <c r="J118" i="4"/>
  <c r="L118" i="4" s="1"/>
  <c r="J117" i="4"/>
  <c r="L117" i="4" s="1"/>
  <c r="J116" i="4"/>
  <c r="L116" i="4" s="1"/>
  <c r="J115" i="4"/>
  <c r="L115" i="4" s="1"/>
  <c r="J114" i="4"/>
  <c r="L114" i="4" s="1"/>
  <c r="J113" i="4"/>
  <c r="L113" i="4" s="1"/>
  <c r="J112" i="4"/>
  <c r="L112" i="4" s="1"/>
  <c r="J111" i="4"/>
  <c r="L111" i="4" s="1"/>
  <c r="J110" i="4"/>
  <c r="L110" i="4" s="1"/>
  <c r="J109" i="4"/>
  <c r="L109" i="4" s="1"/>
  <c r="J108" i="4"/>
  <c r="L108" i="4" s="1"/>
  <c r="J107" i="4"/>
  <c r="L107" i="4" s="1"/>
  <c r="J106" i="4"/>
  <c r="L106" i="4" s="1"/>
  <c r="J105" i="4"/>
  <c r="L105" i="4" s="1"/>
  <c r="J104" i="4"/>
  <c r="L104" i="4" s="1"/>
  <c r="J103" i="4"/>
  <c r="L103" i="4" s="1"/>
  <c r="J102" i="4"/>
  <c r="L102" i="4" s="1"/>
  <c r="J101" i="4"/>
  <c r="L101" i="4" s="1"/>
  <c r="J100" i="4"/>
  <c r="L100" i="4" s="1"/>
  <c r="J99" i="4"/>
  <c r="L99" i="4" s="1"/>
  <c r="J98" i="4"/>
  <c r="L98" i="4" s="1"/>
  <c r="J97" i="4"/>
  <c r="L97" i="4" s="1"/>
  <c r="J96" i="4"/>
  <c r="L96" i="4" s="1"/>
  <c r="J95" i="4"/>
  <c r="L95" i="4" s="1"/>
  <c r="J94" i="4"/>
  <c r="L94" i="4" s="1"/>
  <c r="J93" i="4"/>
  <c r="L93" i="4" s="1"/>
  <c r="J92" i="4"/>
  <c r="L92" i="4" s="1"/>
  <c r="J91" i="4"/>
  <c r="L91" i="4" s="1"/>
  <c r="J90" i="4"/>
  <c r="L90" i="4" s="1"/>
  <c r="J89" i="4"/>
  <c r="L89" i="4" s="1"/>
  <c r="J88" i="4"/>
  <c r="L88" i="4" s="1"/>
  <c r="J87" i="4"/>
  <c r="L87" i="4" s="1"/>
  <c r="J86" i="4"/>
  <c r="L86" i="4" s="1"/>
  <c r="J85" i="4"/>
  <c r="L85" i="4" s="1"/>
  <c r="J84" i="4"/>
  <c r="L84" i="4" s="1"/>
  <c r="J83" i="4"/>
  <c r="L83" i="4" s="1"/>
  <c r="J82" i="4"/>
  <c r="L82" i="4" s="1"/>
  <c r="J81" i="4"/>
  <c r="L81" i="4" s="1"/>
  <c r="J80" i="4"/>
  <c r="L80" i="4" s="1"/>
  <c r="J79" i="4"/>
  <c r="L79" i="4" s="1"/>
  <c r="J78" i="4"/>
  <c r="L78" i="4" s="1"/>
  <c r="J77" i="4"/>
  <c r="L77" i="4" s="1"/>
  <c r="J76" i="4"/>
  <c r="L76" i="4" s="1"/>
  <c r="J75" i="4"/>
  <c r="L75" i="4" s="1"/>
  <c r="J74" i="4"/>
  <c r="L74" i="4" s="1"/>
  <c r="J73" i="4"/>
  <c r="L73" i="4" s="1"/>
  <c r="J72" i="4"/>
  <c r="L72" i="4" s="1"/>
  <c r="J71" i="4"/>
  <c r="L71" i="4" s="1"/>
  <c r="J70" i="4"/>
  <c r="L70" i="4" s="1"/>
  <c r="J69" i="4"/>
  <c r="L69" i="4" s="1"/>
  <c r="J68" i="4"/>
  <c r="L68" i="4" s="1"/>
  <c r="J67" i="4"/>
  <c r="L67" i="4" s="1"/>
  <c r="J66" i="4"/>
  <c r="L66" i="4" s="1"/>
  <c r="J65" i="4"/>
  <c r="L65" i="4" s="1"/>
  <c r="J64" i="4"/>
  <c r="L64" i="4" s="1"/>
  <c r="J63" i="4"/>
  <c r="L63" i="4" s="1"/>
  <c r="J62" i="4"/>
  <c r="L62" i="4" s="1"/>
  <c r="J61" i="4"/>
  <c r="L61" i="4" s="1"/>
  <c r="J60" i="4"/>
  <c r="L60" i="4" s="1"/>
  <c r="J59" i="4"/>
  <c r="L59" i="4" s="1"/>
  <c r="J58" i="4"/>
  <c r="L58" i="4" s="1"/>
  <c r="J57" i="4"/>
  <c r="L57" i="4" s="1"/>
  <c r="J56" i="4"/>
  <c r="L56" i="4" s="1"/>
  <c r="J55" i="4"/>
  <c r="L55" i="4" s="1"/>
  <c r="J54" i="4"/>
  <c r="L54" i="4" s="1"/>
  <c r="J53" i="4"/>
  <c r="L53" i="4" s="1"/>
  <c r="J52" i="4"/>
  <c r="L52" i="4" s="1"/>
  <c r="J51" i="4"/>
  <c r="L51" i="4" s="1"/>
  <c r="J50" i="4"/>
  <c r="L50" i="4" s="1"/>
  <c r="J49" i="4"/>
  <c r="L49" i="4" s="1"/>
  <c r="J48" i="4"/>
  <c r="L48" i="4" s="1"/>
  <c r="J47" i="4"/>
  <c r="L47" i="4" s="1"/>
  <c r="J46" i="4"/>
  <c r="L46" i="4" s="1"/>
  <c r="J45" i="4"/>
  <c r="L45" i="4" s="1"/>
  <c r="J44" i="4"/>
  <c r="L44" i="4" s="1"/>
  <c r="J43" i="4"/>
  <c r="L43" i="4" s="1"/>
  <c r="J42" i="4"/>
  <c r="L42" i="4" s="1"/>
  <c r="J41" i="4"/>
  <c r="L41" i="4" s="1"/>
  <c r="J40" i="4"/>
  <c r="L40" i="4" s="1"/>
  <c r="J39" i="4"/>
  <c r="L39" i="4" s="1"/>
  <c r="J38" i="4"/>
  <c r="L38" i="4" s="1"/>
  <c r="J37" i="4"/>
  <c r="L37" i="4" s="1"/>
  <c r="J36" i="4"/>
  <c r="L36" i="4" s="1"/>
  <c r="J35" i="4"/>
  <c r="L35" i="4" s="1"/>
  <c r="J34" i="4"/>
  <c r="L34" i="4" s="1"/>
  <c r="J33" i="4"/>
  <c r="L33" i="4" s="1"/>
  <c r="J32" i="4"/>
  <c r="L32" i="4" s="1"/>
  <c r="J31" i="4"/>
  <c r="L31" i="4" s="1"/>
  <c r="J30" i="4"/>
  <c r="L30" i="4" s="1"/>
  <c r="J29" i="4"/>
  <c r="L29" i="4" s="1"/>
  <c r="J28" i="4"/>
  <c r="L28" i="4" s="1"/>
  <c r="J27" i="4"/>
  <c r="L27" i="4" s="1"/>
  <c r="J26" i="4"/>
  <c r="L26" i="4" s="1"/>
  <c r="J25" i="4"/>
  <c r="L25" i="4" s="1"/>
  <c r="J24" i="4"/>
  <c r="L24" i="4" s="1"/>
  <c r="J23" i="4"/>
  <c r="L23" i="4" s="1"/>
  <c r="J22" i="4"/>
  <c r="L22" i="4" s="1"/>
  <c r="J21" i="4"/>
  <c r="L21" i="4" s="1"/>
  <c r="J20" i="4"/>
  <c r="L20" i="4" s="1"/>
  <c r="J19" i="4"/>
  <c r="L19" i="4" s="1"/>
  <c r="J18" i="4"/>
  <c r="L18" i="4" s="1"/>
  <c r="J17" i="4"/>
  <c r="L17" i="4" s="1"/>
  <c r="J16" i="4"/>
  <c r="L16" i="4" s="1"/>
  <c r="J15" i="4"/>
  <c r="L15" i="4" s="1"/>
  <c r="J14" i="4"/>
  <c r="L14" i="4" s="1"/>
  <c r="J13" i="4"/>
  <c r="L13" i="4" s="1"/>
  <c r="J12" i="4"/>
  <c r="L12" i="4" s="1"/>
  <c r="J11" i="4"/>
  <c r="L11" i="4" s="1"/>
  <c r="J10" i="4"/>
  <c r="L10" i="4" s="1"/>
  <c r="J9" i="4"/>
  <c r="L9" i="4" s="1"/>
  <c r="J8" i="4"/>
  <c r="L8" i="4" s="1"/>
  <c r="J7" i="4"/>
  <c r="L7" i="4" s="1"/>
  <c r="J6" i="4"/>
  <c r="L6" i="4" s="1"/>
  <c r="J5" i="4"/>
  <c r="L5" i="4" s="1"/>
  <c r="J4" i="4"/>
  <c r="L4" i="4" s="1"/>
  <c r="J3" i="4"/>
  <c r="L3" i="4" s="1"/>
  <c r="J2" i="4"/>
  <c r="L2" i="4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2" i="3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2" i="2"/>
</calcChain>
</file>

<file path=xl/sharedStrings.xml><?xml version="1.0" encoding="utf-8"?>
<sst xmlns="http://schemas.openxmlformats.org/spreadsheetml/2006/main" count="19698" uniqueCount="1500">
  <si>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</si>
  <si>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</si>
  <si>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</si>
  <si>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</si>
  <si>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</si>
  <si>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</si>
  <si>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</si>
  <si>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</si>
  <si>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</si>
  <si>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</si>
  <si>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</si>
  <si>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</si>
  <si>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</si>
  <si>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</si>
  <si>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</si>
  <si>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</si>
  <si>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</si>
  <si>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</si>
  <si>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ORD_000026</t>
  </si>
  <si>
    <t>CUST_00026</t>
  </si>
  <si>
    <t>Male</t>
  </si>
  <si>
    <t>Izmir</t>
  </si>
  <si>
    <t>Fashion</t>
  </si>
  <si>
    <t>Digital Wallet</t>
  </si>
  <si>
    <t>Desktop</t>
  </si>
  <si>
    <t>ORD_000027</t>
  </si>
  <si>
    <t>CUST_00027</t>
  </si>
  <si>
    <t>Adana</t>
  </si>
  <si>
    <t>Toys</t>
  </si>
  <si>
    <t>Tablet</t>
  </si>
  <si>
    <t>ORD_000029</t>
  </si>
  <si>
    <t>CUST_00029</t>
  </si>
  <si>
    <t>Istanbul</t>
  </si>
  <si>
    <t>Mobile</t>
  </si>
  <si>
    <t>ORD_000038</t>
  </si>
  <si>
    <t>CUST_00038</t>
  </si>
  <si>
    <t>Female</t>
  </si>
  <si>
    <t>Beauty</t>
  </si>
  <si>
    <t>ORD_000042</t>
  </si>
  <si>
    <t>CUST_00042</t>
  </si>
  <si>
    <t>ORD_000045</t>
  </si>
  <si>
    <t>CUST_00045</t>
  </si>
  <si>
    <t>ORD_000046</t>
  </si>
  <si>
    <t>CUST_00046</t>
  </si>
  <si>
    <t>ORD_000050</t>
  </si>
  <si>
    <t>CUST_00050</t>
  </si>
  <si>
    <t>Sports</t>
  </si>
  <si>
    <t>ORD_000057</t>
  </si>
  <si>
    <t>CUST_00057</t>
  </si>
  <si>
    <t>Antalya</t>
  </si>
  <si>
    <t>ORD_000060</t>
  </si>
  <si>
    <t>CUST_00060</t>
  </si>
  <si>
    <t>Ankara</t>
  </si>
  <si>
    <t>Books</t>
  </si>
  <si>
    <t>ORD_000066</t>
  </si>
  <si>
    <t>CUST_00066</t>
  </si>
  <si>
    <t>Home &amp; Garden</t>
  </si>
  <si>
    <t>ORD_000069</t>
  </si>
  <si>
    <t>CUST_00069</t>
  </si>
  <si>
    <t>Gaziantep</t>
  </si>
  <si>
    <t>ORD_000073</t>
  </si>
  <si>
    <t>CUST_00073</t>
  </si>
  <si>
    <t>ORD_000074</t>
  </si>
  <si>
    <t>CUST_00074</t>
  </si>
  <si>
    <t>Electronics</t>
  </si>
  <si>
    <t>ORD_000077</t>
  </si>
  <si>
    <t>CUST_00077</t>
  </si>
  <si>
    <t>ORD_000078</t>
  </si>
  <si>
    <t>CUST_00078</t>
  </si>
  <si>
    <t>ORD_000083</t>
  </si>
  <si>
    <t>CUST_00083</t>
  </si>
  <si>
    <t>ORD_000084</t>
  </si>
  <si>
    <t>CUST_00084</t>
  </si>
  <si>
    <t>Bursa</t>
  </si>
  <si>
    <t>ORD_000087</t>
  </si>
  <si>
    <t>CUST_00087</t>
  </si>
  <si>
    <t>Kayseri</t>
  </si>
  <si>
    <t>ORD_000088</t>
  </si>
  <si>
    <t>CUST_00088</t>
  </si>
  <si>
    <t>ORD_000092</t>
  </si>
  <si>
    <t>CUST_00092</t>
  </si>
  <si>
    <t>ORD_000097</t>
  </si>
  <si>
    <t>CUST_00097</t>
  </si>
  <si>
    <t>Eskisehir</t>
  </si>
  <si>
    <t>ORD_000098</t>
  </si>
  <si>
    <t>CUST_00098</t>
  </si>
  <si>
    <t>ORD_000103</t>
  </si>
  <si>
    <t>CUST_00103</t>
  </si>
  <si>
    <t>Konya</t>
  </si>
  <si>
    <t>ORD_000106</t>
  </si>
  <si>
    <t>CUST_00106</t>
  </si>
  <si>
    <t>ORD_000110</t>
  </si>
  <si>
    <t>CUST_00110</t>
  </si>
  <si>
    <t>ORD_000111</t>
  </si>
  <si>
    <t>CUST_00111</t>
  </si>
  <si>
    <t>ORD_000112</t>
  </si>
  <si>
    <t>CUST_00112</t>
  </si>
  <si>
    <t>ORD_000118</t>
  </si>
  <si>
    <t>CUST_00118</t>
  </si>
  <si>
    <t>ORD_000119</t>
  </si>
  <si>
    <t>CUST_00119</t>
  </si>
  <si>
    <t>ORD_000126</t>
  </si>
  <si>
    <t>CUST_00126</t>
  </si>
  <si>
    <t>ORD_000135</t>
  </si>
  <si>
    <t>CUST_00135</t>
  </si>
  <si>
    <t>ORD_000148</t>
  </si>
  <si>
    <t>CUST_00148</t>
  </si>
  <si>
    <t>ORD_000150</t>
  </si>
  <si>
    <t>CUST_00150</t>
  </si>
  <si>
    <t>ORD_000159</t>
  </si>
  <si>
    <t>CUST_00159</t>
  </si>
  <si>
    <t>ORD_000163</t>
  </si>
  <si>
    <t>CUST_00163</t>
  </si>
  <si>
    <t>ORD_000165</t>
  </si>
  <si>
    <t>CUST_00165</t>
  </si>
  <si>
    <t>Food</t>
  </si>
  <si>
    <t>ORD_000174</t>
  </si>
  <si>
    <t>CUST_00174</t>
  </si>
  <si>
    <t>ORD_000178</t>
  </si>
  <si>
    <t>CUST_00178</t>
  </si>
  <si>
    <t>ORD_000183</t>
  </si>
  <si>
    <t>CUST_00183</t>
  </si>
  <si>
    <t>Other</t>
  </si>
  <si>
    <t>ORD_000184</t>
  </si>
  <si>
    <t>CUST_00184</t>
  </si>
  <si>
    <t>ORD_000185</t>
  </si>
  <si>
    <t>CUST_00185</t>
  </si>
  <si>
    <t>ORD_000202</t>
  </si>
  <si>
    <t>CUST_00202</t>
  </si>
  <si>
    <t>ORD_000205</t>
  </si>
  <si>
    <t>CUST_00205</t>
  </si>
  <si>
    <t>ORD_000206</t>
  </si>
  <si>
    <t>CUST_00206</t>
  </si>
  <si>
    <t>ORD_000210</t>
  </si>
  <si>
    <t>CUST_00210</t>
  </si>
  <si>
    <t>ORD_000217</t>
  </si>
  <si>
    <t>CUST_00217</t>
  </si>
  <si>
    <t>ORD_000224</t>
  </si>
  <si>
    <t>CUST_00224</t>
  </si>
  <si>
    <t>ORD_000226</t>
  </si>
  <si>
    <t>CUST_00226</t>
  </si>
  <si>
    <t>ORD_000227</t>
  </si>
  <si>
    <t>CUST_00227</t>
  </si>
  <si>
    <t>ORD_000229</t>
  </si>
  <si>
    <t>CUST_00229</t>
  </si>
  <si>
    <t>ORD_000236</t>
  </si>
  <si>
    <t>CUST_00236</t>
  </si>
  <si>
    <t>ORD_000238</t>
  </si>
  <si>
    <t>CUST_00238</t>
  </si>
  <si>
    <t>ORD_000239</t>
  </si>
  <si>
    <t>CUST_00239</t>
  </si>
  <si>
    <t>ORD_000251</t>
  </si>
  <si>
    <t>CUST_00251</t>
  </si>
  <si>
    <t>ORD_000257</t>
  </si>
  <si>
    <t>CUST_00257</t>
  </si>
  <si>
    <t>ORD_000264</t>
  </si>
  <si>
    <t>CUST_00264</t>
  </si>
  <si>
    <t>ORD_000269</t>
  </si>
  <si>
    <t>CUST_00269</t>
  </si>
  <si>
    <t>ORD_000270</t>
  </si>
  <si>
    <t>CUST_00270</t>
  </si>
  <si>
    <t>ORD_000275</t>
  </si>
  <si>
    <t>CUST_00275</t>
  </si>
  <si>
    <t>ORD_000279</t>
  </si>
  <si>
    <t>CUST_00279</t>
  </si>
  <si>
    <t>ORD_000283</t>
  </si>
  <si>
    <t>CUST_00283</t>
  </si>
  <si>
    <t>ORD_000287</t>
  </si>
  <si>
    <t>CUST_00287</t>
  </si>
  <si>
    <t>ORD_000291</t>
  </si>
  <si>
    <t>CUST_00291</t>
  </si>
  <si>
    <t>ORD_000294</t>
  </si>
  <si>
    <t>CUST_00294</t>
  </si>
  <si>
    <t>ORD_000295</t>
  </si>
  <si>
    <t>CUST_00295</t>
  </si>
  <si>
    <t>ORD_000296</t>
  </si>
  <si>
    <t>CUST_00296</t>
  </si>
  <si>
    <t>ORD_000300</t>
  </si>
  <si>
    <t>CUST_00300</t>
  </si>
  <si>
    <t>ORD_000304</t>
  </si>
  <si>
    <t>CUST_00304</t>
  </si>
  <si>
    <t>ORD_000305</t>
  </si>
  <si>
    <t>CUST_00305</t>
  </si>
  <si>
    <t>ORD_000327</t>
  </si>
  <si>
    <t>CUST_00327</t>
  </si>
  <si>
    <t>ORD_000328</t>
  </si>
  <si>
    <t>CUST_00328</t>
  </si>
  <si>
    <t>ORD_000331</t>
  </si>
  <si>
    <t>CUST_00331</t>
  </si>
  <si>
    <t>ORD_000333</t>
  </si>
  <si>
    <t>CUST_00333</t>
  </si>
  <si>
    <t>ORD_000344</t>
  </si>
  <si>
    <t>CUST_00344</t>
  </si>
  <si>
    <t>ORD_000350</t>
  </si>
  <si>
    <t>CUST_00350</t>
  </si>
  <si>
    <t>ORD_000352</t>
  </si>
  <si>
    <t>CUST_00352</t>
  </si>
  <si>
    <t>ORD_000362</t>
  </si>
  <si>
    <t>CUST_00362</t>
  </si>
  <si>
    <t>ORD_000364</t>
  </si>
  <si>
    <t>CUST_00364</t>
  </si>
  <si>
    <t>ORD_000367</t>
  </si>
  <si>
    <t>CUST_00367</t>
  </si>
  <si>
    <t>ORD_000371</t>
  </si>
  <si>
    <t>CUST_00371</t>
  </si>
  <si>
    <t>ORD_000373</t>
  </si>
  <si>
    <t>CUST_00373</t>
  </si>
  <si>
    <t>ORD_000380</t>
  </si>
  <si>
    <t>CUST_00380</t>
  </si>
  <si>
    <t>ORD_000383</t>
  </si>
  <si>
    <t>CUST_00383</t>
  </si>
  <si>
    <t>ORD_000386</t>
  </si>
  <si>
    <t>CUST_00386</t>
  </si>
  <si>
    <t>ORD_000387</t>
  </si>
  <si>
    <t>CUST_00387</t>
  </si>
  <si>
    <t>ORD_000391</t>
  </si>
  <si>
    <t>CUST_00391</t>
  </si>
  <si>
    <t>ORD_000399</t>
  </si>
  <si>
    <t>CUST_00399</t>
  </si>
  <si>
    <t>ORD_000405</t>
  </si>
  <si>
    <t>CUST_00405</t>
  </si>
  <si>
    <t>ORD_000411</t>
  </si>
  <si>
    <t>CUST_00411</t>
  </si>
  <si>
    <t>ORD_000426</t>
  </si>
  <si>
    <t>CUST_00426</t>
  </si>
  <si>
    <t>ORD_000429</t>
  </si>
  <si>
    <t>CUST_00429</t>
  </si>
  <si>
    <t>ORD_000435</t>
  </si>
  <si>
    <t>CUST_00435</t>
  </si>
  <si>
    <t>ORD_000436</t>
  </si>
  <si>
    <t>CUST_00436</t>
  </si>
  <si>
    <t>ORD_000445</t>
  </si>
  <si>
    <t>CUST_00445</t>
  </si>
  <si>
    <t>ORD_000449</t>
  </si>
  <si>
    <t>CUST_00449</t>
  </si>
  <si>
    <t>ORD_000451</t>
  </si>
  <si>
    <t>CUST_00451</t>
  </si>
  <si>
    <t>ORD_000458</t>
  </si>
  <si>
    <t>CUST_00458</t>
  </si>
  <si>
    <t>ORD_000460</t>
  </si>
  <si>
    <t>CUST_00460</t>
  </si>
  <si>
    <t>ORD_000472</t>
  </si>
  <si>
    <t>CUST_00472</t>
  </si>
  <si>
    <t>ORD_000473</t>
  </si>
  <si>
    <t>CUST_00473</t>
  </si>
  <si>
    <t>ORD_000489</t>
  </si>
  <si>
    <t>CUST_00489</t>
  </si>
  <si>
    <t>ORD_000496</t>
  </si>
  <si>
    <t>CUST_00496</t>
  </si>
  <si>
    <t>ORD_000497</t>
  </si>
  <si>
    <t>CUST_00497</t>
  </si>
  <si>
    <t>ORD_000502</t>
  </si>
  <si>
    <t>CUST_00502</t>
  </si>
  <si>
    <t>ORD_000507</t>
  </si>
  <si>
    <t>CUST_00507</t>
  </si>
  <si>
    <t>ORD_000514</t>
  </si>
  <si>
    <t>CUST_00514</t>
  </si>
  <si>
    <t>ORD_000515</t>
  </si>
  <si>
    <t>CUST_00515</t>
  </si>
  <si>
    <t>ORD_000533</t>
  </si>
  <si>
    <t>CUST_00533</t>
  </si>
  <si>
    <t>ORD_000538</t>
  </si>
  <si>
    <t>CUST_00538</t>
  </si>
  <si>
    <t>ORD_000541</t>
  </si>
  <si>
    <t>CUST_00541</t>
  </si>
  <si>
    <t>ORD_000545</t>
  </si>
  <si>
    <t>CUST_00545</t>
  </si>
  <si>
    <t>ORD_000552</t>
  </si>
  <si>
    <t>CUST_00552</t>
  </si>
  <si>
    <t>ORD_000559</t>
  </si>
  <si>
    <t>CUST_00559</t>
  </si>
  <si>
    <t>ORD_000564</t>
  </si>
  <si>
    <t>CUST_00564</t>
  </si>
  <si>
    <t>ORD_000569</t>
  </si>
  <si>
    <t>CUST_00569</t>
  </si>
  <si>
    <t>ORD_000584</t>
  </si>
  <si>
    <t>CUST_00584</t>
  </si>
  <si>
    <t>ORD_000586</t>
  </si>
  <si>
    <t>CUST_00586</t>
  </si>
  <si>
    <t>ORD_000588</t>
  </si>
  <si>
    <t>CUST_00588</t>
  </si>
  <si>
    <t>ORD_000593</t>
  </si>
  <si>
    <t>CUST_00593</t>
  </si>
  <si>
    <t>ORD_000595</t>
  </si>
  <si>
    <t>CUST_00595</t>
  </si>
  <si>
    <t>ORD_000607</t>
  </si>
  <si>
    <t>CUST_00607</t>
  </si>
  <si>
    <t>ORD_000612</t>
  </si>
  <si>
    <t>CUST_00612</t>
  </si>
  <si>
    <t>ORD_000614</t>
  </si>
  <si>
    <t>CUST_00614</t>
  </si>
  <si>
    <t>ORD_000618</t>
  </si>
  <si>
    <t>CUST_00618</t>
  </si>
  <si>
    <t>ORD_000622</t>
  </si>
  <si>
    <t>CUST_00622</t>
  </si>
  <si>
    <t>ORD_000627</t>
  </si>
  <si>
    <t>CUST_00627</t>
  </si>
  <si>
    <t>ORD_000635</t>
  </si>
  <si>
    <t>CUST_00635</t>
  </si>
  <si>
    <t>ORD_000649</t>
  </si>
  <si>
    <t>CUST_00649</t>
  </si>
  <si>
    <t>ORD_000650</t>
  </si>
  <si>
    <t>CUST_00650</t>
  </si>
  <si>
    <t>ORD_000655</t>
  </si>
  <si>
    <t>CUST_00655</t>
  </si>
  <si>
    <t>ORD_000657</t>
  </si>
  <si>
    <t>CUST_00657</t>
  </si>
  <si>
    <t>ORD_000659</t>
  </si>
  <si>
    <t>CUST_00659</t>
  </si>
  <si>
    <t>ORD_000663</t>
  </si>
  <si>
    <t>CUST_00663</t>
  </si>
  <si>
    <t>ORD_000666</t>
  </si>
  <si>
    <t>CUST_00666</t>
  </si>
  <si>
    <t>ORD_000669</t>
  </si>
  <si>
    <t>CUST_00669</t>
  </si>
  <si>
    <t>ORD_000670</t>
  </si>
  <si>
    <t>CUST_00670</t>
  </si>
  <si>
    <t>ORD_000676</t>
  </si>
  <si>
    <t>CUST_00676</t>
  </si>
  <si>
    <t>ORD_000680</t>
  </si>
  <si>
    <t>CUST_00680</t>
  </si>
  <si>
    <t>ORD_000687</t>
  </si>
  <si>
    <t>CUST_00687</t>
  </si>
  <si>
    <t>ORD_000699</t>
  </si>
  <si>
    <t>CUST_00699</t>
  </si>
  <si>
    <t>ORD_000001</t>
  </si>
  <si>
    <t>CUST_00001</t>
  </si>
  <si>
    <t>Debit Card</t>
  </si>
  <si>
    <t>ORD_000002</t>
  </si>
  <si>
    <t>CUST_00002</t>
  </si>
  <si>
    <t>ORD_000003</t>
  </si>
  <si>
    <t>CUST_00003</t>
  </si>
  <si>
    <t>ORD_000008</t>
  </si>
  <si>
    <t>CUST_00008</t>
  </si>
  <si>
    <t>ORD_000013</t>
  </si>
  <si>
    <t>CUST_00013</t>
  </si>
  <si>
    <t>ORD_000028</t>
  </si>
  <si>
    <t>CUST_00028</t>
  </si>
  <si>
    <t>ORD_000031</t>
  </si>
  <si>
    <t>CUST_00031</t>
  </si>
  <si>
    <t>ORD_000034</t>
  </si>
  <si>
    <t>CUST_00034</t>
  </si>
  <si>
    <t>ORD_000037</t>
  </si>
  <si>
    <t>CUST_00037</t>
  </si>
  <si>
    <t>ORD_000040</t>
  </si>
  <si>
    <t>CUST_00040</t>
  </si>
  <si>
    <t>ORD_000041</t>
  </si>
  <si>
    <t>CUST_00041</t>
  </si>
  <si>
    <t>ORD_000052</t>
  </si>
  <si>
    <t>CUST_00052</t>
  </si>
  <si>
    <t>ORD_000054</t>
  </si>
  <si>
    <t>CUST_00054</t>
  </si>
  <si>
    <t>ORD_000055</t>
  </si>
  <si>
    <t>CUST_00055</t>
  </si>
  <si>
    <t>ORD_000056</t>
  </si>
  <si>
    <t>CUST_00056</t>
  </si>
  <si>
    <t>ORD_000058</t>
  </si>
  <si>
    <t>CUST_00058</t>
  </si>
  <si>
    <t>ORD_000061</t>
  </si>
  <si>
    <t>CUST_00061</t>
  </si>
  <si>
    <t>ORD_000062</t>
  </si>
  <si>
    <t>CUST_00062</t>
  </si>
  <si>
    <t>ORD_000065</t>
  </si>
  <si>
    <t>CUST_00065</t>
  </si>
  <si>
    <t>ORD_000071</t>
  </si>
  <si>
    <t>CUST_00071</t>
  </si>
  <si>
    <t>ORD_000072</t>
  </si>
  <si>
    <t>CUST_00072</t>
  </si>
  <si>
    <t>ORD_000085</t>
  </si>
  <si>
    <t>CUST_00085</t>
  </si>
  <si>
    <t>ORD_000090</t>
  </si>
  <si>
    <t>CUST_00090</t>
  </si>
  <si>
    <t>ORD_000091</t>
  </si>
  <si>
    <t>CUST_00091</t>
  </si>
  <si>
    <t>ORD_000093</t>
  </si>
  <si>
    <t>CUST_00093</t>
  </si>
  <si>
    <t>ORD_000096</t>
  </si>
  <si>
    <t>CUST_00096</t>
  </si>
  <si>
    <t>ORD_000099</t>
  </si>
  <si>
    <t>CUST_00099</t>
  </si>
  <si>
    <t>ORD_000105</t>
  </si>
  <si>
    <t>CUST_00105</t>
  </si>
  <si>
    <t>ORD_000115</t>
  </si>
  <si>
    <t>CUST_00115</t>
  </si>
  <si>
    <t>ORD_000116</t>
  </si>
  <si>
    <t>CUST_00116</t>
  </si>
  <si>
    <t>ORD_000117</t>
  </si>
  <si>
    <t>CUST_00117</t>
  </si>
  <si>
    <t>ORD_000121</t>
  </si>
  <si>
    <t>CUST_00121</t>
  </si>
  <si>
    <t>ORD_000131</t>
  </si>
  <si>
    <t>CUST_00131</t>
  </si>
  <si>
    <t>ORD_000133</t>
  </si>
  <si>
    <t>CUST_00133</t>
  </si>
  <si>
    <t>ORD_000139</t>
  </si>
  <si>
    <t>CUST_00139</t>
  </si>
  <si>
    <t>ORD_000140</t>
  </si>
  <si>
    <t>CUST_00140</t>
  </si>
  <si>
    <t>ORD_000141</t>
  </si>
  <si>
    <t>CUST_00141</t>
  </si>
  <si>
    <t>ORD_000144</t>
  </si>
  <si>
    <t>CUST_00144</t>
  </si>
  <si>
    <t>ORD_000146</t>
  </si>
  <si>
    <t>CUST_00146</t>
  </si>
  <si>
    <t>ORD_000152</t>
  </si>
  <si>
    <t>CUST_00152</t>
  </si>
  <si>
    <t>ORD_000153</t>
  </si>
  <si>
    <t>CUST_00153</t>
  </si>
  <si>
    <t>ORD_000154</t>
  </si>
  <si>
    <t>CUST_00154</t>
  </si>
  <si>
    <t>ORD_000157</t>
  </si>
  <si>
    <t>CUST_00157</t>
  </si>
  <si>
    <t>ORD_000162</t>
  </si>
  <si>
    <t>CUST_00162</t>
  </si>
  <si>
    <t>ORD_000164</t>
  </si>
  <si>
    <t>CUST_00164</t>
  </si>
  <si>
    <t>ORD_000167</t>
  </si>
  <si>
    <t>CUST_00167</t>
  </si>
  <si>
    <t>ORD_000176</t>
  </si>
  <si>
    <t>CUST_00176</t>
  </si>
  <si>
    <t>ORD_000177</t>
  </si>
  <si>
    <t>CUST_00177</t>
  </si>
  <si>
    <t>ORD_000181</t>
  </si>
  <si>
    <t>CUST_00181</t>
  </si>
  <si>
    <t>ORD_000186</t>
  </si>
  <si>
    <t>CUST_00186</t>
  </si>
  <si>
    <t>ORD_000190</t>
  </si>
  <si>
    <t>CUST_00190</t>
  </si>
  <si>
    <t>ORD_000196</t>
  </si>
  <si>
    <t>CUST_00196</t>
  </si>
  <si>
    <t>ORD_000203</t>
  </si>
  <si>
    <t>CUST_00203</t>
  </si>
  <si>
    <t>ORD_000207</t>
  </si>
  <si>
    <t>CUST_00207</t>
  </si>
  <si>
    <t>ORD_000212</t>
  </si>
  <si>
    <t>CUST_00212</t>
  </si>
  <si>
    <t>ORD_000213</t>
  </si>
  <si>
    <t>CUST_00213</t>
  </si>
  <si>
    <t>ORD_000214</t>
  </si>
  <si>
    <t>CUST_00214</t>
  </si>
  <si>
    <t>ORD_000215</t>
  </si>
  <si>
    <t>CUST_00215</t>
  </si>
  <si>
    <t>ORD_000216</t>
  </si>
  <si>
    <t>CUST_00216</t>
  </si>
  <si>
    <t>ORD_000218</t>
  </si>
  <si>
    <t>CUST_00218</t>
  </si>
  <si>
    <t>ORD_000222</t>
  </si>
  <si>
    <t>CUST_00222</t>
  </si>
  <si>
    <t>ORD_000233</t>
  </si>
  <si>
    <t>CUST_00233</t>
  </si>
  <si>
    <t>ORD_000234</t>
  </si>
  <si>
    <t>CUST_00234</t>
  </si>
  <si>
    <t>ORD_000237</t>
  </si>
  <si>
    <t>CUST_00237</t>
  </si>
  <si>
    <t>ORD_000240</t>
  </si>
  <si>
    <t>CUST_00240</t>
  </si>
  <si>
    <t>ORD_000249</t>
  </si>
  <si>
    <t>CUST_00249</t>
  </si>
  <si>
    <t>ORD_000256</t>
  </si>
  <si>
    <t>CUST_00256</t>
  </si>
  <si>
    <t>ORD_000260</t>
  </si>
  <si>
    <t>CUST_00260</t>
  </si>
  <si>
    <t>ORD_000262</t>
  </si>
  <si>
    <t>CUST_00262</t>
  </si>
  <si>
    <t>ORD_000265</t>
  </si>
  <si>
    <t>CUST_00265</t>
  </si>
  <si>
    <t>ORD_000266</t>
  </si>
  <si>
    <t>CUST_00266</t>
  </si>
  <si>
    <t>ORD_000271</t>
  </si>
  <si>
    <t>CUST_00271</t>
  </si>
  <si>
    <t>ORD_000272</t>
  </si>
  <si>
    <t>CUST_00272</t>
  </si>
  <si>
    <t>ORD_000276</t>
  </si>
  <si>
    <t>CUST_00276</t>
  </si>
  <si>
    <t>ORD_000297</t>
  </si>
  <si>
    <t>CUST_00297</t>
  </si>
  <si>
    <t>ORD_000301</t>
  </si>
  <si>
    <t>CUST_00301</t>
  </si>
  <si>
    <t>ORD_000302</t>
  </si>
  <si>
    <t>CUST_00302</t>
  </si>
  <si>
    <t>ORD_000303</t>
  </si>
  <si>
    <t>CUST_00303</t>
  </si>
  <si>
    <t>ORD_000307</t>
  </si>
  <si>
    <t>CUST_00307</t>
  </si>
  <si>
    <t>ORD_000308</t>
  </si>
  <si>
    <t>CUST_00308</t>
  </si>
  <si>
    <t>ORD_000311</t>
  </si>
  <si>
    <t>CUST_00311</t>
  </si>
  <si>
    <t>ORD_000312</t>
  </si>
  <si>
    <t>CUST_00312</t>
  </si>
  <si>
    <t>ORD_000319</t>
  </si>
  <si>
    <t>CUST_00319</t>
  </si>
  <si>
    <t>ORD_000321</t>
  </si>
  <si>
    <t>CUST_00321</t>
  </si>
  <si>
    <t>ORD_000324</t>
  </si>
  <si>
    <t>CUST_00324</t>
  </si>
  <si>
    <t>ORD_000329</t>
  </si>
  <si>
    <t>CUST_00329</t>
  </si>
  <si>
    <t>ORD_000334</t>
  </si>
  <si>
    <t>CUST_00334</t>
  </si>
  <si>
    <t>ORD_000340</t>
  </si>
  <si>
    <t>CUST_00340</t>
  </si>
  <si>
    <t>ORD_000341</t>
  </si>
  <si>
    <t>CUST_00341</t>
  </si>
  <si>
    <t>ORD_000342</t>
  </si>
  <si>
    <t>CUST_00342</t>
  </si>
  <si>
    <t>ORD_000343</t>
  </si>
  <si>
    <t>CUST_00343</t>
  </si>
  <si>
    <t>ORD_000347</t>
  </si>
  <si>
    <t>CUST_00347</t>
  </si>
  <si>
    <t>ORD_000351</t>
  </si>
  <si>
    <t>CUST_00351</t>
  </si>
  <si>
    <t>ORD_000353</t>
  </si>
  <si>
    <t>CUST_00353</t>
  </si>
  <si>
    <t>ORD_000360</t>
  </si>
  <si>
    <t>CUST_00360</t>
  </si>
  <si>
    <t>ORD_000361</t>
  </si>
  <si>
    <t>CUST_00361</t>
  </si>
  <si>
    <t>ORD_000363</t>
  </si>
  <si>
    <t>CUST_00363</t>
  </si>
  <si>
    <t>ORD_000365</t>
  </si>
  <si>
    <t>CUST_00365</t>
  </si>
  <si>
    <t>ORD_000368</t>
  </si>
  <si>
    <t>CUST_00368</t>
  </si>
  <si>
    <t>ORD_000372</t>
  </si>
  <si>
    <t>CUST_00372</t>
  </si>
  <si>
    <t>ORD_000374</t>
  </si>
  <si>
    <t>CUST_00374</t>
  </si>
  <si>
    <t>ORD_000377</t>
  </si>
  <si>
    <t>CUST_00377</t>
  </si>
  <si>
    <t>ORD_000379</t>
  </si>
  <si>
    <t>CUST_00379</t>
  </si>
  <si>
    <t>ORD_000384</t>
  </si>
  <si>
    <t>CUST_00384</t>
  </si>
  <si>
    <t>ORD_000392</t>
  </si>
  <si>
    <t>CUST_00392</t>
  </si>
  <si>
    <t>ORD_000393</t>
  </si>
  <si>
    <t>CUST_00393</t>
  </si>
  <si>
    <t>ORD_000400</t>
  </si>
  <si>
    <t>CUST_00400</t>
  </si>
  <si>
    <t>ORD_000406</t>
  </si>
  <si>
    <t>CUST_00406</t>
  </si>
  <si>
    <t>ORD_000408</t>
  </si>
  <si>
    <t>CUST_00408</t>
  </si>
  <si>
    <t>ORD_000412</t>
  </si>
  <si>
    <t>CUST_00412</t>
  </si>
  <si>
    <t>ORD_000413</t>
  </si>
  <si>
    <t>CUST_00413</t>
  </si>
  <si>
    <t>ORD_000414</t>
  </si>
  <si>
    <t>CUST_00414</t>
  </si>
  <si>
    <t>ORD_000417</t>
  </si>
  <si>
    <t>CUST_00417</t>
  </si>
  <si>
    <t>ORD_000420</t>
  </si>
  <si>
    <t>CUST_00420</t>
  </si>
  <si>
    <t>ORD_000425</t>
  </si>
  <si>
    <t>CUST_00425</t>
  </si>
  <si>
    <t>ORD_000433</t>
  </si>
  <si>
    <t>CUST_00433</t>
  </si>
  <si>
    <t>ORD_000439</t>
  </si>
  <si>
    <t>CUST_00439</t>
  </si>
  <si>
    <t>ORD_000446</t>
  </si>
  <si>
    <t>CUST_00446</t>
  </si>
  <si>
    <t>ORD_000453</t>
  </si>
  <si>
    <t>CUST_00453</t>
  </si>
  <si>
    <t>ORD_000466</t>
  </si>
  <si>
    <t>CUST_00466</t>
  </si>
  <si>
    <t>ORD_000479</t>
  </si>
  <si>
    <t>CUST_00479</t>
  </si>
  <si>
    <t>ORD_000480</t>
  </si>
  <si>
    <t>CUST_00480</t>
  </si>
  <si>
    <t>ORD_000481</t>
  </si>
  <si>
    <t>CUST_00481</t>
  </si>
  <si>
    <t>ORD_000483</t>
  </si>
  <si>
    <t>CUST_00483</t>
  </si>
  <si>
    <t>ORD_000491</t>
  </si>
  <si>
    <t>CUST_00491</t>
  </si>
  <si>
    <t>ORD_000494</t>
  </si>
  <si>
    <t>CUST_00494</t>
  </si>
  <si>
    <t>ORD_000500</t>
  </si>
  <si>
    <t>CUST_00500</t>
  </si>
  <si>
    <t>ORD_000504</t>
  </si>
  <si>
    <t>CUST_00504</t>
  </si>
  <si>
    <t>ORD_000506</t>
  </si>
  <si>
    <t>CUST_00506</t>
  </si>
  <si>
    <t>ORD_000508</t>
  </si>
  <si>
    <t>CUST_00508</t>
  </si>
  <si>
    <t>ORD_000516</t>
  </si>
  <si>
    <t>CUST_00516</t>
  </si>
  <si>
    <t>ORD_000520</t>
  </si>
  <si>
    <t>CUST_00520</t>
  </si>
  <si>
    <t>ORD_000521</t>
  </si>
  <si>
    <t>CUST_00521</t>
  </si>
  <si>
    <t>ORD_000529</t>
  </si>
  <si>
    <t>CUST_00529</t>
  </si>
  <si>
    <t>ORD_000531</t>
  </si>
  <si>
    <t>CUST_00531</t>
  </si>
  <si>
    <t>ORD_000532</t>
  </si>
  <si>
    <t>CUST_00532</t>
  </si>
  <si>
    <t>ORD_000542</t>
  </si>
  <si>
    <t>CUST_00542</t>
  </si>
  <si>
    <t>ORD_000548</t>
  </si>
  <si>
    <t>CUST_00548</t>
  </si>
  <si>
    <t>ORD_000550</t>
  </si>
  <si>
    <t>CUST_00550</t>
  </si>
  <si>
    <t>ORD_000555</t>
  </si>
  <si>
    <t>CUST_00555</t>
  </si>
  <si>
    <t>ORD_000556</t>
  </si>
  <si>
    <t>CUST_00556</t>
  </si>
  <si>
    <t>ORD_000557</t>
  </si>
  <si>
    <t>CUST_00557</t>
  </si>
  <si>
    <t>ORD_000561</t>
  </si>
  <si>
    <t>CUST_00561</t>
  </si>
  <si>
    <t>ORD_000562</t>
  </si>
  <si>
    <t>CUST_00562</t>
  </si>
  <si>
    <t>ORD_000565</t>
  </si>
  <si>
    <t>CUST_00565</t>
  </si>
  <si>
    <t>ORD_000566</t>
  </si>
  <si>
    <t>CUST_00566</t>
  </si>
  <si>
    <t>ORD_000567</t>
  </si>
  <si>
    <t>CUST_00567</t>
  </si>
  <si>
    <t>ORD_000575</t>
  </si>
  <si>
    <t>CUST_00575</t>
  </si>
  <si>
    <t>ORD_000578</t>
  </si>
  <si>
    <t>CUST_00578</t>
  </si>
  <si>
    <t>ORD_000581</t>
  </si>
  <si>
    <t>CUST_00581</t>
  </si>
  <si>
    <t>ORD_000590</t>
  </si>
  <si>
    <t>CUST_00590</t>
  </si>
  <si>
    <t>ORD_000592</t>
  </si>
  <si>
    <t>CUST_00592</t>
  </si>
  <si>
    <t>ORD_000596</t>
  </si>
  <si>
    <t>CUST_00596</t>
  </si>
  <si>
    <t>ORD_000597</t>
  </si>
  <si>
    <t>CUST_00597</t>
  </si>
  <si>
    <t>ORD_000600</t>
  </si>
  <si>
    <t>CUST_00600</t>
  </si>
  <si>
    <t>ORD_000601</t>
  </si>
  <si>
    <t>CUST_00601</t>
  </si>
  <si>
    <t>ORD_000605</t>
  </si>
  <si>
    <t>CUST_00605</t>
  </si>
  <si>
    <t>ORD_000609</t>
  </si>
  <si>
    <t>CUST_00609</t>
  </si>
  <si>
    <t>ORD_000610</t>
  </si>
  <si>
    <t>CUST_00610</t>
  </si>
  <si>
    <t>ORD_000613</t>
  </si>
  <si>
    <t>CUST_00613</t>
  </si>
  <si>
    <t>ORD_000615</t>
  </si>
  <si>
    <t>CUST_00615</t>
  </si>
  <si>
    <t>ORD_000626</t>
  </si>
  <si>
    <t>CUST_00626</t>
  </si>
  <si>
    <t>ORD_000637</t>
  </si>
  <si>
    <t>CUST_00637</t>
  </si>
  <si>
    <t>ORD_000638</t>
  </si>
  <si>
    <t>CUST_00638</t>
  </si>
  <si>
    <t>ORD_000640</t>
  </si>
  <si>
    <t>CUST_00640</t>
  </si>
  <si>
    <t>ORD_000641</t>
  </si>
  <si>
    <t>CUST_00641</t>
  </si>
  <si>
    <t>ORD_000643</t>
  </si>
  <si>
    <t>CUST_00643</t>
  </si>
  <si>
    <t>ORD_000656</t>
  </si>
  <si>
    <t>CUST_00656</t>
  </si>
  <si>
    <t>ORD_000658</t>
  </si>
  <si>
    <t>CUST_00658</t>
  </si>
  <si>
    <t>ORD_000660</t>
  </si>
  <si>
    <t>CUST_00660</t>
  </si>
  <si>
    <t>ORD_000662</t>
  </si>
  <si>
    <t>CUST_00662</t>
  </si>
  <si>
    <t>ORD_000664</t>
  </si>
  <si>
    <t>CUST_00664</t>
  </si>
  <si>
    <t>ORD_000665</t>
  </si>
  <si>
    <t>CUST_00665</t>
  </si>
  <si>
    <t>ORD_000668</t>
  </si>
  <si>
    <t>CUST_00668</t>
  </si>
  <si>
    <t>ORD_000671</t>
  </si>
  <si>
    <t>CUST_00671</t>
  </si>
  <si>
    <t>ORD_000672</t>
  </si>
  <si>
    <t>CUST_00672</t>
  </si>
  <si>
    <t>ORD_000688</t>
  </si>
  <si>
    <t>CUST_00688</t>
  </si>
  <si>
    <t>ORD_000689</t>
  </si>
  <si>
    <t>CUST_00689</t>
  </si>
  <si>
    <t>ORD_000691</t>
  </si>
  <si>
    <t>CUST_00691</t>
  </si>
  <si>
    <t>ORD_000694</t>
  </si>
  <si>
    <t>CUST_00694</t>
  </si>
  <si>
    <t>ORD_000696</t>
  </si>
  <si>
    <t>CUST_00696</t>
  </si>
  <si>
    <t>ORD_000697</t>
  </si>
  <si>
    <t>CUST_00697</t>
  </si>
  <si>
    <t>ORD_000006</t>
  </si>
  <si>
    <t>CUST_00006</t>
  </si>
  <si>
    <t>Credit Card</t>
  </si>
  <si>
    <t>ORD_000007</t>
  </si>
  <si>
    <t>CUST_00007</t>
  </si>
  <si>
    <t>ORD_000009</t>
  </si>
  <si>
    <t>CUST_00009</t>
  </si>
  <si>
    <t>ORD_000010</t>
  </si>
  <si>
    <t>CUST_00010</t>
  </si>
  <si>
    <t>ORD_000011</t>
  </si>
  <si>
    <t>CUST_00011</t>
  </si>
  <si>
    <t>ORD_000012</t>
  </si>
  <si>
    <t>CUST_00012</t>
  </si>
  <si>
    <t>ORD_000014</t>
  </si>
  <si>
    <t>CUST_00014</t>
  </si>
  <si>
    <t>ORD_000015</t>
  </si>
  <si>
    <t>CUST_00015</t>
  </si>
  <si>
    <t>ORD_000019</t>
  </si>
  <si>
    <t>CUST_00019</t>
  </si>
  <si>
    <t>ORD_000020</t>
  </si>
  <si>
    <t>CUST_00020</t>
  </si>
  <si>
    <t>ORD_000021</t>
  </si>
  <si>
    <t>CUST_00021</t>
  </si>
  <si>
    <t>ORD_000022</t>
  </si>
  <si>
    <t>CUST_00022</t>
  </si>
  <si>
    <t>ORD_000023</t>
  </si>
  <si>
    <t>CUST_00023</t>
  </si>
  <si>
    <t>ORD_000032</t>
  </si>
  <si>
    <t>CUST_00032</t>
  </si>
  <si>
    <t>ORD_000033</t>
  </si>
  <si>
    <t>CUST_00033</t>
  </si>
  <si>
    <t>ORD_000035</t>
  </si>
  <si>
    <t>CUST_00035</t>
  </si>
  <si>
    <t>ORD_000039</t>
  </si>
  <si>
    <t>CUST_00039</t>
  </si>
  <si>
    <t>ORD_000043</t>
  </si>
  <si>
    <t>CUST_00043</t>
  </si>
  <si>
    <t>ORD_000049</t>
  </si>
  <si>
    <t>CUST_00049</t>
  </si>
  <si>
    <t>ORD_000051</t>
  </si>
  <si>
    <t>CUST_00051</t>
  </si>
  <si>
    <t>ORD_000053</t>
  </si>
  <si>
    <t>CUST_00053</t>
  </si>
  <si>
    <t>ORD_000059</t>
  </si>
  <si>
    <t>CUST_00059</t>
  </si>
  <si>
    <t>ORD_000064</t>
  </si>
  <si>
    <t>CUST_00064</t>
  </si>
  <si>
    <t>ORD_000067</t>
  </si>
  <si>
    <t>CUST_00067</t>
  </si>
  <si>
    <t>ORD_000068</t>
  </si>
  <si>
    <t>CUST_00068</t>
  </si>
  <si>
    <t>ORD_000070</t>
  </si>
  <si>
    <t>CUST_00070</t>
  </si>
  <si>
    <t>ORD_000076</t>
  </si>
  <si>
    <t>CUST_00076</t>
  </si>
  <si>
    <t>ORD_000079</t>
  </si>
  <si>
    <t>CUST_00079</t>
  </si>
  <si>
    <t>ORD_000082</t>
  </si>
  <si>
    <t>CUST_00082</t>
  </si>
  <si>
    <t>ORD_000089</t>
  </si>
  <si>
    <t>CUST_00089</t>
  </si>
  <si>
    <t>ORD_000094</t>
  </si>
  <si>
    <t>CUST_00094</t>
  </si>
  <si>
    <t>ORD_000095</t>
  </si>
  <si>
    <t>CUST_00095</t>
  </si>
  <si>
    <t>ORD_000100</t>
  </si>
  <si>
    <t>CUST_00100</t>
  </si>
  <si>
    <t>ORD_000101</t>
  </si>
  <si>
    <t>CUST_00101</t>
  </si>
  <si>
    <t>ORD_000102</t>
  </si>
  <si>
    <t>CUST_00102</t>
  </si>
  <si>
    <t>ORD_000104</t>
  </si>
  <si>
    <t>CUST_00104</t>
  </si>
  <si>
    <t>ORD_000122</t>
  </si>
  <si>
    <t>CUST_00122</t>
  </si>
  <si>
    <t>ORD_000124</t>
  </si>
  <si>
    <t>CUST_00124</t>
  </si>
  <si>
    <t>ORD_000125</t>
  </si>
  <si>
    <t>CUST_00125</t>
  </si>
  <si>
    <t>ORD_000127</t>
  </si>
  <si>
    <t>CUST_00127</t>
  </si>
  <si>
    <t>ORD_000128</t>
  </si>
  <si>
    <t>CUST_00128</t>
  </si>
  <si>
    <t>ORD_000129</t>
  </si>
  <si>
    <t>CUST_00129</t>
  </si>
  <si>
    <t>ORD_000130</t>
  </si>
  <si>
    <t>CUST_00130</t>
  </si>
  <si>
    <t>ORD_000132</t>
  </si>
  <si>
    <t>CUST_00132</t>
  </si>
  <si>
    <t>ORD_000134</t>
  </si>
  <si>
    <t>CUST_00134</t>
  </si>
  <si>
    <t>ORD_000136</t>
  </si>
  <si>
    <t>CUST_00136</t>
  </si>
  <si>
    <t>ORD_000137</t>
  </si>
  <si>
    <t>CUST_00137</t>
  </si>
  <si>
    <t>ORD_000138</t>
  </si>
  <si>
    <t>CUST_00138</t>
  </si>
  <si>
    <t>ORD_000145</t>
  </si>
  <si>
    <t>CUST_00145</t>
  </si>
  <si>
    <t>ORD_000147</t>
  </si>
  <si>
    <t>CUST_00147</t>
  </si>
  <si>
    <t>ORD_000149</t>
  </si>
  <si>
    <t>CUST_00149</t>
  </si>
  <si>
    <t>ORD_000155</t>
  </si>
  <si>
    <t>CUST_00155</t>
  </si>
  <si>
    <t>ORD_000158</t>
  </si>
  <si>
    <t>CUST_00158</t>
  </si>
  <si>
    <t>ORD_000160</t>
  </si>
  <si>
    <t>CUST_00160</t>
  </si>
  <si>
    <t>ORD_000161</t>
  </si>
  <si>
    <t>CUST_00161</t>
  </si>
  <si>
    <t>ORD_000166</t>
  </si>
  <si>
    <t>CUST_00166</t>
  </si>
  <si>
    <t>ORD_000168</t>
  </si>
  <si>
    <t>CUST_00168</t>
  </si>
  <si>
    <t>ORD_000170</t>
  </si>
  <si>
    <t>CUST_00170</t>
  </si>
  <si>
    <t>ORD_000171</t>
  </si>
  <si>
    <t>CUST_00171</t>
  </si>
  <si>
    <t>ORD_000175</t>
  </si>
  <si>
    <t>CUST_00175</t>
  </si>
  <si>
    <t>ORD_000179</t>
  </si>
  <si>
    <t>CUST_00179</t>
  </si>
  <si>
    <t>ORD_000180</t>
  </si>
  <si>
    <t>CUST_00180</t>
  </si>
  <si>
    <t>ORD_000182</t>
  </si>
  <si>
    <t>CUST_00182</t>
  </si>
  <si>
    <t>ORD_000188</t>
  </si>
  <si>
    <t>CUST_00188</t>
  </si>
  <si>
    <t>ORD_000189</t>
  </si>
  <si>
    <t>CUST_00189</t>
  </si>
  <si>
    <t>ORD_000191</t>
  </si>
  <si>
    <t>CUST_00191</t>
  </si>
  <si>
    <t>ORD_000192</t>
  </si>
  <si>
    <t>CUST_00192</t>
  </si>
  <si>
    <t>ORD_000193</t>
  </si>
  <si>
    <t>CUST_00193</t>
  </si>
  <si>
    <t>ORD_000197</t>
  </si>
  <si>
    <t>CUST_00197</t>
  </si>
  <si>
    <t>ORD_000198</t>
  </si>
  <si>
    <t>CUST_00198</t>
  </si>
  <si>
    <t>ORD_000199</t>
  </si>
  <si>
    <t>CUST_00199</t>
  </si>
  <si>
    <t>ORD_000200</t>
  </si>
  <si>
    <t>CUST_00200</t>
  </si>
  <si>
    <t>ORD_000201</t>
  </si>
  <si>
    <t>CUST_00201</t>
  </si>
  <si>
    <t>ORD_000204</t>
  </si>
  <si>
    <t>CUST_00204</t>
  </si>
  <si>
    <t>ORD_000208</t>
  </si>
  <si>
    <t>CUST_00208</t>
  </si>
  <si>
    <t>ORD_000211</t>
  </si>
  <si>
    <t>CUST_00211</t>
  </si>
  <si>
    <t>ORD_000219</t>
  </si>
  <si>
    <t>CUST_00219</t>
  </si>
  <si>
    <t>ORD_000220</t>
  </si>
  <si>
    <t>CUST_00220</t>
  </si>
  <si>
    <t>ORD_000221</t>
  </si>
  <si>
    <t>CUST_00221</t>
  </si>
  <si>
    <t>ORD_000223</t>
  </si>
  <si>
    <t>CUST_00223</t>
  </si>
  <si>
    <t>ORD_000225</t>
  </si>
  <si>
    <t>CUST_00225</t>
  </si>
  <si>
    <t>ORD_000228</t>
  </si>
  <si>
    <t>CUST_00228</t>
  </si>
  <si>
    <t>ORD_000231</t>
  </si>
  <si>
    <t>CUST_00231</t>
  </si>
  <si>
    <t>ORD_000235</t>
  </si>
  <si>
    <t>CUST_00235</t>
  </si>
  <si>
    <t>ORD_000241</t>
  </si>
  <si>
    <t>CUST_00241</t>
  </si>
  <si>
    <t>ORD_000242</t>
  </si>
  <si>
    <t>CUST_00242</t>
  </si>
  <si>
    <t>ORD_000243</t>
  </si>
  <si>
    <t>CUST_00243</t>
  </si>
  <si>
    <t>ORD_000245</t>
  </si>
  <si>
    <t>CUST_00245</t>
  </si>
  <si>
    <t>ORD_000246</t>
  </si>
  <si>
    <t>CUST_00246</t>
  </si>
  <si>
    <t>ORD_000247</t>
  </si>
  <si>
    <t>CUST_00247</t>
  </si>
  <si>
    <t>ORD_000253</t>
  </si>
  <si>
    <t>CUST_00253</t>
  </si>
  <si>
    <t>ORD_000254</t>
  </si>
  <si>
    <t>CUST_00254</t>
  </si>
  <si>
    <t>ORD_000255</t>
  </si>
  <si>
    <t>CUST_00255</t>
  </si>
  <si>
    <t>ORD_000258</t>
  </si>
  <si>
    <t>CUST_00258</t>
  </si>
  <si>
    <t>ORD_000259</t>
  </si>
  <si>
    <t>CUST_00259</t>
  </si>
  <si>
    <t>ORD_000261</t>
  </si>
  <si>
    <t>CUST_00261</t>
  </si>
  <si>
    <t>ORD_000263</t>
  </si>
  <si>
    <t>CUST_00263</t>
  </si>
  <si>
    <t>ORD_000267</t>
  </si>
  <si>
    <t>CUST_00267</t>
  </si>
  <si>
    <t>ORD_000268</t>
  </si>
  <si>
    <t>CUST_00268</t>
  </si>
  <si>
    <t>ORD_000273</t>
  </si>
  <si>
    <t>CUST_00273</t>
  </si>
  <si>
    <t>ORD_000278</t>
  </si>
  <si>
    <t>CUST_00278</t>
  </si>
  <si>
    <t>ORD_000281</t>
  </si>
  <si>
    <t>CUST_00281</t>
  </si>
  <si>
    <t>ORD_000282</t>
  </si>
  <si>
    <t>CUST_00282</t>
  </si>
  <si>
    <t>ORD_000284</t>
  </si>
  <si>
    <t>CUST_00284</t>
  </si>
  <si>
    <t>ORD_000286</t>
  </si>
  <si>
    <t>CUST_00286</t>
  </si>
  <si>
    <t>ORD_000288</t>
  </si>
  <si>
    <t>CUST_00288</t>
  </si>
  <si>
    <t>ORD_000289</t>
  </si>
  <si>
    <t>CUST_00289</t>
  </si>
  <si>
    <t>ORD_000292</t>
  </si>
  <si>
    <t>CUST_00292</t>
  </si>
  <si>
    <t>ORD_000293</t>
  </si>
  <si>
    <t>CUST_00293</t>
  </si>
  <si>
    <t>ORD_000298</t>
  </si>
  <si>
    <t>CUST_00298</t>
  </si>
  <si>
    <t>ORD_000310</t>
  </si>
  <si>
    <t>CUST_00310</t>
  </si>
  <si>
    <t>ORD_000314</t>
  </si>
  <si>
    <t>CUST_00314</t>
  </si>
  <si>
    <t>ORD_000315</t>
  </si>
  <si>
    <t>CUST_00315</t>
  </si>
  <si>
    <t>ORD_000316</t>
  </si>
  <si>
    <t>CUST_00316</t>
  </si>
  <si>
    <t>ORD_000317</t>
  </si>
  <si>
    <t>CUST_00317</t>
  </si>
  <si>
    <t>ORD_000318</t>
  </si>
  <si>
    <t>CUST_00318</t>
  </si>
  <si>
    <t>ORD_000322</t>
  </si>
  <si>
    <t>CUST_00322</t>
  </si>
  <si>
    <t>ORD_000325</t>
  </si>
  <si>
    <t>CUST_00325</t>
  </si>
  <si>
    <t>ORD_000326</t>
  </si>
  <si>
    <t>CUST_00326</t>
  </si>
  <si>
    <t>ORD_000330</t>
  </si>
  <si>
    <t>CUST_00330</t>
  </si>
  <si>
    <t>ORD_000332</t>
  </si>
  <si>
    <t>CUST_00332</t>
  </si>
  <si>
    <t>ORD_000335</t>
  </si>
  <si>
    <t>CUST_00335</t>
  </si>
  <si>
    <t>ORD_000336</t>
  </si>
  <si>
    <t>CUST_00336</t>
  </si>
  <si>
    <t>ORD_000337</t>
  </si>
  <si>
    <t>CUST_00337</t>
  </si>
  <si>
    <t>ORD_000338</t>
  </si>
  <si>
    <t>CUST_00338</t>
  </si>
  <si>
    <t>ORD_000339</t>
  </si>
  <si>
    <t>CUST_00339</t>
  </si>
  <si>
    <t>ORD_000346</t>
  </si>
  <si>
    <t>CUST_00346</t>
  </si>
  <si>
    <t>ORD_000348</t>
  </si>
  <si>
    <t>CUST_00348</t>
  </si>
  <si>
    <t>ORD_000349</t>
  </si>
  <si>
    <t>CUST_00349</t>
  </si>
  <si>
    <t>ORD_000354</t>
  </si>
  <si>
    <t>CUST_00354</t>
  </si>
  <si>
    <t>ORD_000356</t>
  </si>
  <si>
    <t>CUST_00356</t>
  </si>
  <si>
    <t>ORD_000357</t>
  </si>
  <si>
    <t>CUST_00357</t>
  </si>
  <si>
    <t>ORD_000358</t>
  </si>
  <si>
    <t>CUST_00358</t>
  </si>
  <si>
    <t>ORD_000369</t>
  </si>
  <si>
    <t>CUST_00369</t>
  </si>
  <si>
    <t>ORD_000375</t>
  </si>
  <si>
    <t>CUST_00375</t>
  </si>
  <si>
    <t>ORD_000376</t>
  </si>
  <si>
    <t>CUST_00376</t>
  </si>
  <si>
    <t>ORD_000378</t>
  </si>
  <si>
    <t>CUST_00378</t>
  </si>
  <si>
    <t>ORD_000381</t>
  </si>
  <si>
    <t>CUST_00381</t>
  </si>
  <si>
    <t>ORD_000382</t>
  </si>
  <si>
    <t>CUST_00382</t>
  </si>
  <si>
    <t>ORD_000385</t>
  </si>
  <si>
    <t>CUST_00385</t>
  </si>
  <si>
    <t>ORD_000388</t>
  </si>
  <si>
    <t>CUST_00388</t>
  </si>
  <si>
    <t>ORD_000389</t>
  </si>
  <si>
    <t>CUST_00389</t>
  </si>
  <si>
    <t>ORD_000390</t>
  </si>
  <si>
    <t>CUST_00390</t>
  </si>
  <si>
    <t>ORD_000395</t>
  </si>
  <si>
    <t>CUST_00395</t>
  </si>
  <si>
    <t>ORD_000396</t>
  </si>
  <si>
    <t>CUST_00396</t>
  </si>
  <si>
    <t>ORD_000397</t>
  </si>
  <si>
    <t>CUST_00397</t>
  </si>
  <si>
    <t>ORD_000398</t>
  </si>
  <si>
    <t>CUST_00398</t>
  </si>
  <si>
    <t>ORD_000401</t>
  </si>
  <si>
    <t>CUST_00401</t>
  </si>
  <si>
    <t>ORD_000402</t>
  </si>
  <si>
    <t>CUST_00402</t>
  </si>
  <si>
    <t>ORD_000403</t>
  </si>
  <si>
    <t>CUST_00403</t>
  </si>
  <si>
    <t>ORD_000407</t>
  </si>
  <si>
    <t>CUST_00407</t>
  </si>
  <si>
    <t>ORD_000409</t>
  </si>
  <si>
    <t>CUST_00409</t>
  </si>
  <si>
    <t>ORD_000415</t>
  </si>
  <si>
    <t>CUST_00415</t>
  </si>
  <si>
    <t>ORD_000416</t>
  </si>
  <si>
    <t>CUST_00416</t>
  </si>
  <si>
    <t>ORD_000418</t>
  </si>
  <si>
    <t>CUST_00418</t>
  </si>
  <si>
    <t>ORD_000419</t>
  </si>
  <si>
    <t>CUST_00419</t>
  </si>
  <si>
    <t>ORD_000423</t>
  </si>
  <si>
    <t>CUST_00423</t>
  </si>
  <si>
    <t>ORD_000424</t>
  </si>
  <si>
    <t>CUST_00424</t>
  </si>
  <si>
    <t>ORD_000430</t>
  </si>
  <si>
    <t>CUST_00430</t>
  </si>
  <si>
    <t>ORD_000431</t>
  </si>
  <si>
    <t>CUST_00431</t>
  </si>
  <si>
    <t>ORD_000432</t>
  </si>
  <si>
    <t>CUST_00432</t>
  </si>
  <si>
    <t>ORD_000434</t>
  </si>
  <si>
    <t>CUST_00434</t>
  </si>
  <si>
    <t>ORD_000437</t>
  </si>
  <si>
    <t>CUST_00437</t>
  </si>
  <si>
    <t>ORD_000442</t>
  </si>
  <si>
    <t>CUST_00442</t>
  </si>
  <si>
    <t>ORD_000443</t>
  </si>
  <si>
    <t>CUST_00443</t>
  </si>
  <si>
    <t>ORD_000444</t>
  </si>
  <si>
    <t>CUST_00444</t>
  </si>
  <si>
    <t>ORD_000448</t>
  </si>
  <si>
    <t>CUST_00448</t>
  </si>
  <si>
    <t>ORD_000452</t>
  </si>
  <si>
    <t>CUST_00452</t>
  </si>
  <si>
    <t>ORD_000454</t>
  </si>
  <si>
    <t>CUST_00454</t>
  </si>
  <si>
    <t>ORD_000455</t>
  </si>
  <si>
    <t>CUST_00455</t>
  </si>
  <si>
    <t>ORD_000456</t>
  </si>
  <si>
    <t>CUST_00456</t>
  </si>
  <si>
    <t>ORD_000457</t>
  </si>
  <si>
    <t>CUST_00457</t>
  </si>
  <si>
    <t>ORD_000459</t>
  </si>
  <si>
    <t>CUST_00459</t>
  </si>
  <si>
    <t>ORD_000461</t>
  </si>
  <si>
    <t>CUST_00461</t>
  </si>
  <si>
    <t>ORD_000462</t>
  </si>
  <si>
    <t>CUST_00462</t>
  </si>
  <si>
    <t>ORD_000463</t>
  </si>
  <si>
    <t>CUST_00463</t>
  </si>
  <si>
    <t>ORD_000464</t>
  </si>
  <si>
    <t>CUST_00464</t>
  </si>
  <si>
    <t>ORD_000465</t>
  </si>
  <si>
    <t>CUST_00465</t>
  </si>
  <si>
    <t>ORD_000468</t>
  </si>
  <si>
    <t>CUST_00468</t>
  </si>
  <si>
    <t>ORD_000469</t>
  </si>
  <si>
    <t>CUST_00469</t>
  </si>
  <si>
    <t>ORD_000470</t>
  </si>
  <si>
    <t>CUST_00470</t>
  </si>
  <si>
    <t>ORD_000474</t>
  </si>
  <si>
    <t>CUST_00474</t>
  </si>
  <si>
    <t>ORD_000475</t>
  </si>
  <si>
    <t>CUST_00475</t>
  </si>
  <si>
    <t>ORD_000476</t>
  </si>
  <si>
    <t>CUST_00476</t>
  </si>
  <si>
    <t>ORD_000478</t>
  </si>
  <si>
    <t>CUST_00478</t>
  </si>
  <si>
    <t>ORD_000482</t>
  </si>
  <si>
    <t>CUST_00482</t>
  </si>
  <si>
    <t>ORD_000484</t>
  </si>
  <si>
    <t>CUST_00484</t>
  </si>
  <si>
    <t>ORD_000486</t>
  </si>
  <si>
    <t>CUST_00486</t>
  </si>
  <si>
    <t>ORD_000487</t>
  </si>
  <si>
    <t>CUST_00487</t>
  </si>
  <si>
    <t>ORD_000488</t>
  </si>
  <si>
    <t>CUST_00488</t>
  </si>
  <si>
    <t>ORD_000490</t>
  </si>
  <si>
    <t>CUST_00490</t>
  </si>
  <si>
    <t>ORD_000492</t>
  </si>
  <si>
    <t>CUST_00492</t>
  </si>
  <si>
    <t>ORD_000493</t>
  </si>
  <si>
    <t>CUST_00493</t>
  </si>
  <si>
    <t>ORD_000495</t>
  </si>
  <si>
    <t>CUST_00495</t>
  </si>
  <si>
    <t>ORD_000499</t>
  </si>
  <si>
    <t>CUST_00499</t>
  </si>
  <si>
    <t>ORD_000503</t>
  </si>
  <si>
    <t>CUST_00503</t>
  </si>
  <si>
    <t>ORD_000509</t>
  </si>
  <si>
    <t>CUST_00509</t>
  </si>
  <si>
    <t>ORD_000510</t>
  </si>
  <si>
    <t>CUST_00510</t>
  </si>
  <si>
    <t>ORD_000511</t>
  </si>
  <si>
    <t>CUST_00511</t>
  </si>
  <si>
    <t>ORD_000512</t>
  </si>
  <si>
    <t>CUST_00512</t>
  </si>
  <si>
    <t>ORD_000517</t>
  </si>
  <si>
    <t>CUST_00517</t>
  </si>
  <si>
    <t>ORD_000518</t>
  </si>
  <si>
    <t>CUST_00518</t>
  </si>
  <si>
    <t>ORD_000523</t>
  </si>
  <si>
    <t>CUST_00523</t>
  </si>
  <si>
    <t>ORD_000526</t>
  </si>
  <si>
    <t>CUST_00526</t>
  </si>
  <si>
    <t>ORD_000527</t>
  </si>
  <si>
    <t>CUST_00527</t>
  </si>
  <si>
    <t>ORD_000530</t>
  </si>
  <si>
    <t>CUST_00530</t>
  </si>
  <si>
    <t>ORD_000537</t>
  </si>
  <si>
    <t>CUST_00537</t>
  </si>
  <si>
    <t>ORD_000539</t>
  </si>
  <si>
    <t>CUST_00539</t>
  </si>
  <si>
    <t>ORD_000540</t>
  </si>
  <si>
    <t>CUST_00540</t>
  </si>
  <si>
    <t>ORD_000544</t>
  </si>
  <si>
    <t>CUST_00544</t>
  </si>
  <si>
    <t>ORD_000546</t>
  </si>
  <si>
    <t>CUST_00546</t>
  </si>
  <si>
    <t>ORD_000547</t>
  </si>
  <si>
    <t>CUST_00547</t>
  </si>
  <si>
    <t>ORD_000549</t>
  </si>
  <si>
    <t>CUST_00549</t>
  </si>
  <si>
    <t>ORD_000553</t>
  </si>
  <si>
    <t>CUST_00553</t>
  </si>
  <si>
    <t>ORD_000554</t>
  </si>
  <si>
    <t>CUST_00554</t>
  </si>
  <si>
    <t>ORD_000558</t>
  </si>
  <si>
    <t>CUST_00558</t>
  </si>
  <si>
    <t>ORD_000560</t>
  </si>
  <si>
    <t>CUST_00560</t>
  </si>
  <si>
    <t>ORD_000563</t>
  </si>
  <si>
    <t>CUST_00563</t>
  </si>
  <si>
    <t>ORD_000570</t>
  </si>
  <si>
    <t>CUST_00570</t>
  </si>
  <si>
    <t>ORD_000571</t>
  </si>
  <si>
    <t>CUST_00571</t>
  </si>
  <si>
    <t>ORD_000572</t>
  </si>
  <si>
    <t>CUST_00572</t>
  </si>
  <si>
    <t>ORD_000573</t>
  </si>
  <si>
    <t>CUST_00573</t>
  </si>
  <si>
    <t>ORD_000577</t>
  </si>
  <si>
    <t>CUST_00577</t>
  </si>
  <si>
    <t>ORD_000580</t>
  </si>
  <si>
    <t>CUST_00580</t>
  </si>
  <si>
    <t>ORD_000587</t>
  </si>
  <si>
    <t>CUST_00587</t>
  </si>
  <si>
    <t>ORD_000591</t>
  </si>
  <si>
    <t>CUST_00591</t>
  </si>
  <si>
    <t>ORD_000594</t>
  </si>
  <si>
    <t>CUST_00594</t>
  </si>
  <si>
    <t>ORD_000598</t>
  </si>
  <si>
    <t>CUST_00598</t>
  </si>
  <si>
    <t>ORD_000599</t>
  </si>
  <si>
    <t>CUST_00599</t>
  </si>
  <si>
    <t>ORD_000602</t>
  </si>
  <si>
    <t>CUST_00602</t>
  </si>
  <si>
    <t>ORD_000603</t>
  </si>
  <si>
    <t>CUST_00603</t>
  </si>
  <si>
    <t>ORD_000604</t>
  </si>
  <si>
    <t>CUST_00604</t>
  </si>
  <si>
    <t>ORD_000611</t>
  </si>
  <si>
    <t>CUST_00611</t>
  </si>
  <si>
    <t>ORD_000616</t>
  </si>
  <si>
    <t>CUST_00616</t>
  </si>
  <si>
    <t>ORD_000617</t>
  </si>
  <si>
    <t>CUST_00617</t>
  </si>
  <si>
    <t>ORD_000619</t>
  </si>
  <si>
    <t>CUST_00619</t>
  </si>
  <si>
    <t>ORD_000620</t>
  </si>
  <si>
    <t>CUST_00620</t>
  </si>
  <si>
    <t>ORD_000623</t>
  </si>
  <si>
    <t>CUST_00623</t>
  </si>
  <si>
    <t>ORD_000624</t>
  </si>
  <si>
    <t>CUST_00624</t>
  </si>
  <si>
    <t>ORD_000625</t>
  </si>
  <si>
    <t>CUST_00625</t>
  </si>
  <si>
    <t>ORD_000628</t>
  </si>
  <si>
    <t>CUST_00628</t>
  </si>
  <si>
    <t>ORD_000630</t>
  </si>
  <si>
    <t>CUST_00630</t>
  </si>
  <si>
    <t>ORD_000631</t>
  </si>
  <si>
    <t>CUST_00631</t>
  </si>
  <si>
    <t>ORD_000633</t>
  </si>
  <si>
    <t>CUST_00633</t>
  </si>
  <si>
    <t>ORD_000636</t>
  </si>
  <si>
    <t>CUST_00636</t>
  </si>
  <si>
    <t>ORD_000642</t>
  </si>
  <si>
    <t>CUST_00642</t>
  </si>
  <si>
    <t>ORD_000644</t>
  </si>
  <si>
    <t>CUST_00644</t>
  </si>
  <si>
    <t>ORD_000645</t>
  </si>
  <si>
    <t>CUST_00645</t>
  </si>
  <si>
    <t>ORD_000647</t>
  </si>
  <si>
    <t>CUST_00647</t>
  </si>
  <si>
    <t>ORD_000648</t>
  </si>
  <si>
    <t>CUST_00648</t>
  </si>
  <si>
    <t>ORD_000651</t>
  </si>
  <si>
    <t>CUST_00651</t>
  </si>
  <si>
    <t>ORD_000652</t>
  </si>
  <si>
    <t>CUST_00652</t>
  </si>
  <si>
    <t>ORD_000653</t>
  </si>
  <si>
    <t>CUST_00653</t>
  </si>
  <si>
    <t>ORD_000654</t>
  </si>
  <si>
    <t>CUST_00654</t>
  </si>
  <si>
    <t>ORD_000667</t>
  </si>
  <si>
    <t>CUST_00667</t>
  </si>
  <si>
    <t>ORD_000673</t>
  </si>
  <si>
    <t>CUST_00673</t>
  </si>
  <si>
    <t>ORD_000675</t>
  </si>
  <si>
    <t>CUST_00675</t>
  </si>
  <si>
    <t>ORD_000677</t>
  </si>
  <si>
    <t>CUST_00677</t>
  </si>
  <si>
    <t>ORD_000678</t>
  </si>
  <si>
    <t>CUST_00678</t>
  </si>
  <si>
    <t>ORD_000679</t>
  </si>
  <si>
    <t>CUST_00679</t>
  </si>
  <si>
    <t>ORD_000681</t>
  </si>
  <si>
    <t>CUST_00681</t>
  </si>
  <si>
    <t>ORD_000682</t>
  </si>
  <si>
    <t>CUST_00682</t>
  </si>
  <si>
    <t>ORD_000683</t>
  </si>
  <si>
    <t>CUST_00683</t>
  </si>
  <si>
    <t>ORD_000684</t>
  </si>
  <si>
    <t>CUST_00684</t>
  </si>
  <si>
    <t>ORD_000685</t>
  </si>
  <si>
    <t>CUST_00685</t>
  </si>
  <si>
    <t>ORD_000686</t>
  </si>
  <si>
    <t>CUST_00686</t>
  </si>
  <si>
    <t>ORD_000693</t>
  </si>
  <si>
    <t>CUST_00693</t>
  </si>
  <si>
    <t>ORD_000695</t>
  </si>
  <si>
    <t>CUST_00695</t>
  </si>
  <si>
    <t>ORD_000698</t>
  </si>
  <si>
    <t>CUST_00698</t>
  </si>
  <si>
    <t>ORD_000025</t>
  </si>
  <si>
    <t>CUST_00025</t>
  </si>
  <si>
    <t>Cash on Delivery</t>
  </si>
  <si>
    <t>ORD_000044</t>
  </si>
  <si>
    <t>CUST_00044</t>
  </si>
  <si>
    <t>ORD_000048</t>
  </si>
  <si>
    <t>CUST_00048</t>
  </si>
  <si>
    <t>ORD_000063</t>
  </si>
  <si>
    <t>CUST_00063</t>
  </si>
  <si>
    <t>ORD_000080</t>
  </si>
  <si>
    <t>CUST_00080</t>
  </si>
  <si>
    <t>ORD_000107</t>
  </si>
  <si>
    <t>CUST_00107</t>
  </si>
  <si>
    <t>ORD_000108</t>
  </si>
  <si>
    <t>CUST_00108</t>
  </si>
  <si>
    <t>ORD_000109</t>
  </si>
  <si>
    <t>CUST_00109</t>
  </si>
  <si>
    <t>ORD_000114</t>
  </si>
  <si>
    <t>CUST_00114</t>
  </si>
  <si>
    <t>ORD_000123</t>
  </si>
  <si>
    <t>CUST_00123</t>
  </si>
  <si>
    <t>ORD_000142</t>
  </si>
  <si>
    <t>CUST_00142</t>
  </si>
  <si>
    <t>ORD_000169</t>
  </si>
  <si>
    <t>CUST_00169</t>
  </si>
  <si>
    <t>ORD_000173</t>
  </si>
  <si>
    <t>CUST_00173</t>
  </si>
  <si>
    <t>ORD_000230</t>
  </si>
  <si>
    <t>CUST_00230</t>
  </si>
  <si>
    <t>ORD_000250</t>
  </si>
  <si>
    <t>CUST_00250</t>
  </si>
  <si>
    <t>ORD_000280</t>
  </si>
  <si>
    <t>CUST_00280</t>
  </si>
  <si>
    <t>ORD_000359</t>
  </si>
  <si>
    <t>CUST_00359</t>
  </si>
  <si>
    <t>ORD_000366</t>
  </si>
  <si>
    <t>CUST_00366</t>
  </si>
  <si>
    <t>ORD_000404</t>
  </si>
  <si>
    <t>CUST_00404</t>
  </si>
  <si>
    <t>ORD_000410</t>
  </si>
  <si>
    <t>CUST_00410</t>
  </si>
  <si>
    <t>ORD_000427</t>
  </si>
  <si>
    <t>CUST_00427</t>
  </si>
  <si>
    <t>ORD_000450</t>
  </si>
  <si>
    <t>CUST_00450</t>
  </si>
  <si>
    <t>ORD_000467</t>
  </si>
  <si>
    <t>CUST_00467</t>
  </si>
  <si>
    <t>ORD_000485</t>
  </si>
  <si>
    <t>CUST_00485</t>
  </si>
  <si>
    <t>ORD_000522</t>
  </si>
  <si>
    <t>CUST_00522</t>
  </si>
  <si>
    <t>ORD_000528</t>
  </si>
  <si>
    <t>CUST_00528</t>
  </si>
  <si>
    <t>ORD_000574</t>
  </si>
  <si>
    <t>CUST_00574</t>
  </si>
  <si>
    <t>ORD_000579</t>
  </si>
  <si>
    <t>CUST_00579</t>
  </si>
  <si>
    <t>ORD_000589</t>
  </si>
  <si>
    <t>CUST_00589</t>
  </si>
  <si>
    <t>ORD_000606</t>
  </si>
  <si>
    <t>CUST_00606</t>
  </si>
  <si>
    <t>ORD_000632</t>
  </si>
  <si>
    <t>CUST_00632</t>
  </si>
  <si>
    <t>ORD_000646</t>
  </si>
  <si>
    <t>CUST_00646</t>
  </si>
  <si>
    <t>ORD_000690</t>
  </si>
  <si>
    <t>CUST_00690</t>
  </si>
  <si>
    <t>ORD_000004</t>
  </si>
  <si>
    <t>CUST_00004</t>
  </si>
  <si>
    <t>Bank Transfer</t>
  </si>
  <si>
    <t>ORD_000005</t>
  </si>
  <si>
    <t>CUST_00005</t>
  </si>
  <si>
    <t>ORD_000016</t>
  </si>
  <si>
    <t>CUST_00016</t>
  </si>
  <si>
    <t>ORD_000017</t>
  </si>
  <si>
    <t>CUST_00017</t>
  </si>
  <si>
    <t>ORD_000018</t>
  </si>
  <si>
    <t>CUST_00018</t>
  </si>
  <si>
    <t>ORD_000024</t>
  </si>
  <si>
    <t>CUST_00024</t>
  </si>
  <si>
    <t>ORD_000030</t>
  </si>
  <si>
    <t>CUST_00030</t>
  </si>
  <si>
    <t>ORD_000036</t>
  </si>
  <si>
    <t>CUST_00036</t>
  </si>
  <si>
    <t>ORD_000047</t>
  </si>
  <si>
    <t>CUST_00047</t>
  </si>
  <si>
    <t>ORD_000075</t>
  </si>
  <si>
    <t>CUST_00075</t>
  </si>
  <si>
    <t>ORD_000081</t>
  </si>
  <si>
    <t>CUST_00081</t>
  </si>
  <si>
    <t>ORD_000086</t>
  </si>
  <si>
    <t>CUST_00086</t>
  </si>
  <si>
    <t>ORD_000113</t>
  </si>
  <si>
    <t>CUST_00113</t>
  </si>
  <si>
    <t>ORD_000120</t>
  </si>
  <si>
    <t>CUST_00120</t>
  </si>
  <si>
    <t>ORD_000143</t>
  </si>
  <si>
    <t>CUST_00143</t>
  </si>
  <si>
    <t>ORD_000151</t>
  </si>
  <si>
    <t>CUST_00151</t>
  </si>
  <si>
    <t>ORD_000156</t>
  </si>
  <si>
    <t>CUST_00156</t>
  </si>
  <si>
    <t>ORD_000172</t>
  </si>
  <si>
    <t>CUST_00172</t>
  </si>
  <si>
    <t>ORD_000187</t>
  </si>
  <si>
    <t>CUST_00187</t>
  </si>
  <si>
    <t>ORD_000194</t>
  </si>
  <si>
    <t>CUST_00194</t>
  </si>
  <si>
    <t>ORD_000195</t>
  </si>
  <si>
    <t>CUST_00195</t>
  </si>
  <si>
    <t>ORD_000209</t>
  </si>
  <si>
    <t>CUST_00209</t>
  </si>
  <si>
    <t>ORD_000232</t>
  </si>
  <si>
    <t>CUST_00232</t>
  </si>
  <si>
    <t>ORD_000244</t>
  </si>
  <si>
    <t>CUST_00244</t>
  </si>
  <si>
    <t>ORD_000248</t>
  </si>
  <si>
    <t>CUST_00248</t>
  </si>
  <si>
    <t>ORD_000252</t>
  </si>
  <si>
    <t>CUST_00252</t>
  </si>
  <si>
    <t>ORD_000274</t>
  </si>
  <si>
    <t>CUST_00274</t>
  </si>
  <si>
    <t>ORD_000277</t>
  </si>
  <si>
    <t>CUST_00277</t>
  </si>
  <si>
    <t>ORD_000285</t>
  </si>
  <si>
    <t>CUST_00285</t>
  </si>
  <si>
    <t>ORD_000290</t>
  </si>
  <si>
    <t>CUST_00290</t>
  </si>
  <si>
    <t>ORD_000299</t>
  </si>
  <si>
    <t>CUST_00299</t>
  </si>
  <si>
    <t>ORD_000306</t>
  </si>
  <si>
    <t>CUST_00306</t>
  </si>
  <si>
    <t>ORD_000309</t>
  </si>
  <si>
    <t>CUST_00309</t>
  </si>
  <si>
    <t>ORD_000313</t>
  </si>
  <si>
    <t>CUST_00313</t>
  </si>
  <si>
    <t>ORD_000320</t>
  </si>
  <si>
    <t>CUST_00320</t>
  </si>
  <si>
    <t>ORD_000323</t>
  </si>
  <si>
    <t>CUST_00323</t>
  </si>
  <si>
    <t>ORD_000345</t>
  </si>
  <si>
    <t>CUST_00345</t>
  </si>
  <si>
    <t>ORD_000355</t>
  </si>
  <si>
    <t>CUST_00355</t>
  </si>
  <si>
    <t>ORD_000370</t>
  </si>
  <si>
    <t>CUST_00370</t>
  </si>
  <si>
    <t>ORD_000394</t>
  </si>
  <si>
    <t>CUST_00394</t>
  </si>
  <si>
    <t>ORD_000421</t>
  </si>
  <si>
    <t>CUST_00421</t>
  </si>
  <si>
    <t>ORD_000422</t>
  </si>
  <si>
    <t>CUST_00422</t>
  </si>
  <si>
    <t>ORD_000428</t>
  </si>
  <si>
    <t>CUST_00428</t>
  </si>
  <si>
    <t>ORD_000438</t>
  </si>
  <si>
    <t>CUST_00438</t>
  </si>
  <si>
    <t>ORD_000440</t>
  </si>
  <si>
    <t>CUST_00440</t>
  </si>
  <si>
    <t>ORD_000441</t>
  </si>
  <si>
    <t>CUST_00441</t>
  </si>
  <si>
    <t>ORD_000447</t>
  </si>
  <si>
    <t>CUST_00447</t>
  </si>
  <si>
    <t>ORD_000471</t>
  </si>
  <si>
    <t>CUST_00471</t>
  </si>
  <si>
    <t>ORD_000477</t>
  </si>
  <si>
    <t>CUST_00477</t>
  </si>
  <si>
    <t>ORD_000498</t>
  </si>
  <si>
    <t>CUST_00498</t>
  </si>
  <si>
    <t>ORD_000501</t>
  </si>
  <si>
    <t>CUST_00501</t>
  </si>
  <si>
    <t>ORD_000505</t>
  </si>
  <si>
    <t>CUST_00505</t>
  </si>
  <si>
    <t>ORD_000513</t>
  </si>
  <si>
    <t>CUST_00513</t>
  </si>
  <si>
    <t>ORD_000519</t>
  </si>
  <si>
    <t>CUST_00519</t>
  </si>
  <si>
    <t>ORD_000524</t>
  </si>
  <si>
    <t>CUST_00524</t>
  </si>
  <si>
    <t>ORD_000525</t>
  </si>
  <si>
    <t>CUST_00525</t>
  </si>
  <si>
    <t>ORD_000534</t>
  </si>
  <si>
    <t>CUST_00534</t>
  </si>
  <si>
    <t>ORD_000535</t>
  </si>
  <si>
    <t>CUST_00535</t>
  </si>
  <si>
    <t>ORD_000536</t>
  </si>
  <si>
    <t>CUST_00536</t>
  </si>
  <si>
    <t>ORD_000543</t>
  </si>
  <si>
    <t>CUST_00543</t>
  </si>
  <si>
    <t>ORD_000551</t>
  </si>
  <si>
    <t>CUST_00551</t>
  </si>
  <si>
    <t>ORD_000568</t>
  </si>
  <si>
    <t>CUST_00568</t>
  </si>
  <si>
    <t>ORD_000576</t>
  </si>
  <si>
    <t>CUST_00576</t>
  </si>
  <si>
    <t>ORD_000582</t>
  </si>
  <si>
    <t>CUST_00582</t>
  </si>
  <si>
    <t>ORD_000583</t>
  </si>
  <si>
    <t>CUST_00583</t>
  </si>
  <si>
    <t>ORD_000585</t>
  </si>
  <si>
    <t>CUST_00585</t>
  </si>
  <si>
    <t>ORD_000608</t>
  </si>
  <si>
    <t>CUST_00608</t>
  </si>
  <si>
    <t>ORD_000621</t>
  </si>
  <si>
    <t>CUST_00621</t>
  </si>
  <si>
    <t>ORD_000629</t>
  </si>
  <si>
    <t>CUST_00629</t>
  </si>
  <si>
    <t>ORD_000634</t>
  </si>
  <si>
    <t>CUST_00634</t>
  </si>
  <si>
    <t>ORD_000639</t>
  </si>
  <si>
    <t>CUST_00639</t>
  </si>
  <si>
    <t>ORD_000661</t>
  </si>
  <si>
    <t>CUST_00661</t>
  </si>
  <si>
    <t>ORD_000674</t>
  </si>
  <si>
    <t>CUST_00674</t>
  </si>
  <si>
    <t>ORD_000692</t>
  </si>
  <si>
    <t>CUST_00692</t>
  </si>
  <si>
    <t>ORDER ID</t>
  </si>
  <si>
    <t>CUSTOMER ID</t>
  </si>
  <si>
    <t>DATE</t>
  </si>
  <si>
    <t>AGE</t>
  </si>
  <si>
    <t>GENDER</t>
  </si>
  <si>
    <t>CITY</t>
  </si>
  <si>
    <t>PRODUCT CATEGORY</t>
  </si>
  <si>
    <t>UNIT PRICE</t>
  </si>
  <si>
    <t>QUANTITY</t>
  </si>
  <si>
    <t>DISCOUNT AMOUNT</t>
  </si>
  <si>
    <t>TOTAL AMOUNT</t>
  </si>
  <si>
    <t>PAYMENT METHOD</t>
  </si>
  <si>
    <t>DEVICE TYPE</t>
  </si>
  <si>
    <t>SESSION DURATION IN MINUTES</t>
  </si>
  <si>
    <t>PAGES VIEWED</t>
  </si>
  <si>
    <t>IS RETURNING CUSTOMER</t>
  </si>
  <si>
    <t>DELIVERY TIME IN DAYS</t>
  </si>
  <si>
    <t>CUSTOMER RATING</t>
  </si>
  <si>
    <t>•As a first step, found out that there is no missing values in the table.</t>
  </si>
  <si>
    <r>
      <t xml:space="preserve">•Checked for duplicate Order IDs using </t>
    </r>
    <r>
      <rPr>
        <b/>
        <sz val="11"/>
        <color rgb="FF000000"/>
        <rFont val="Century Schoolbook"/>
      </rPr>
      <t>=COUNTIF(A2:A700,A2)</t>
    </r>
    <r>
      <rPr>
        <sz val="11"/>
        <color rgb="FF000000"/>
        <rFont val="Century Schoolbook"/>
      </rPr>
      <t xml:space="preserve"> Function</t>
    </r>
  </si>
  <si>
    <r>
      <t xml:space="preserve">•Change the Date format from mm/dd/yyyy into </t>
    </r>
    <r>
      <rPr>
        <b/>
        <sz val="11"/>
        <color rgb="FF000000"/>
        <rFont val="Century Schoolbook"/>
      </rPr>
      <t>dd/mm/yyyy</t>
    </r>
    <r>
      <rPr>
        <sz val="11"/>
        <color rgb="FF000000"/>
        <rFont val="Century Schoolbook"/>
      </rPr>
      <t>.</t>
    </r>
  </si>
  <si>
    <t>GROSS SALE</t>
  </si>
  <si>
    <t>DISCOUNT %</t>
  </si>
  <si>
    <t>• New column in the name of GROSS SALE is added to analyze the Original sales value. Can predict the Discount Impact and Sales before discount vs. after discount.</t>
  </si>
  <si>
    <t xml:space="preserve"> </t>
  </si>
  <si>
    <t>• Created a new column as DISCOUNT % to understand how much discount was given compared to the original sales amount.</t>
  </si>
  <si>
    <t>CUSTOMER TYPE</t>
  </si>
  <si>
    <t>DELIVERY SPEED</t>
  </si>
  <si>
    <t>AGE GROUP</t>
  </si>
  <si>
    <t>•  Created a new column "AGE GROUP", where i grouped customers into different age groups based on their age. Which is help to easily analyze purchasing behaviour across different age groups.</t>
  </si>
  <si>
    <t>• Created "CUSTOMER TYPE" as a new column, to make customer behaviour easier to analyze and compare.</t>
  </si>
  <si>
    <t>• Add a new column "DELLIVERY SPEED CATEGORY"  where I grouped delivery time into Fast, Standard, Slow and Very Slow to analyze the relationship between delivery speed and customer ratings.</t>
  </si>
  <si>
    <t>SALES BY AGE GROUP</t>
  </si>
  <si>
    <t>SALES BY PRODUCT CATEGORY</t>
  </si>
  <si>
    <t>SALES BY CUSTOMER TYPE</t>
  </si>
  <si>
    <t>TOTAL SALES</t>
  </si>
  <si>
    <t>TOTAL AMOUNT of SALES</t>
  </si>
  <si>
    <t>TOTAL SALE</t>
  </si>
  <si>
    <t>18-25</t>
  </si>
  <si>
    <t>New Customer</t>
  </si>
  <si>
    <t>26-35</t>
  </si>
  <si>
    <t>Returning Customer</t>
  </si>
  <si>
    <t>36-45</t>
  </si>
  <si>
    <t>46-55</t>
  </si>
  <si>
    <t>56-65</t>
  </si>
  <si>
    <t>66-75</t>
  </si>
  <si>
    <t>CUSTOMER ENGAGEMENT</t>
  </si>
  <si>
    <t>DELIVERY SPEED Vs CUSTOMER RATING</t>
  </si>
  <si>
    <t>Average of SESSION DURATION IN MINUTES</t>
  </si>
  <si>
    <t>Average of PAGES VIEWED</t>
  </si>
  <si>
    <t>Average of CUSTOMER RATING</t>
  </si>
  <si>
    <t>Fast</t>
  </si>
  <si>
    <t>Slow</t>
  </si>
  <si>
    <t>Standard</t>
  </si>
  <si>
    <t>Very 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</si>
</sst>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%"/>
    <numFmt numFmtId="166" formatCode="[$€]#,##0.00" x16r2:formatCode16="[$€-tr-CY]#,##0.00"/>
  </numFmts>
  <fonts count="9">
    <font>
      <sz val="11"/>
      <color theme="1"/>
      <name val="Aptos Narrow"/>
      <family val="2"/>
      <scheme val="minor"/>
    </font>
    <font>
      <b/>
      <sz val="12"/>
      <color theme="0"/>
      <name val="Arial"/>
    </font>
    <font>
      <sz val="11"/>
      <color theme="1"/>
      <name val="Bookman Old Style"/>
    </font>
    <font>
      <b/>
      <sz val="12"/>
      <color theme="1"/>
      <name val="Franklin Gothic"/>
    </font>
    <font>
      <b/>
      <sz val="14"/>
      <color theme="1"/>
      <name val="Franklin Gothic"/>
    </font>
    <font>
      <sz val="11"/>
      <color theme="1"/>
      <name val="Century Schoolbook"/>
    </font>
    <font>
      <sz val="10"/>
      <color theme="1"/>
      <name val="Century Schoolbook"/>
    </font>
    <font>
      <sz val="11"/>
      <color rgb="FF000000"/>
      <name val="Century Schoolbook"/>
    </font>
    <font>
      <b/>
      <sz val="11"/>
      <color rgb="FF000000"/>
      <name val="Century Schoolbook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7E6F6"/>
        <bgColor indexed="64"/>
      </patternFill>
    </fill>
    <fill>
      <patternFill patternType="solid">
        <fgColor rgb="FFEBD8F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BDCF2"/>
        <bgColor indexed="64"/>
      </patternFill>
    </fill>
    <fill>
      <patternFill patternType="solid">
        <fgColor rgb="FFE5CEED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1" fontId="2" fillId="3" borderId="1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" fontId="2" fillId="3" borderId="10" xfId="0" applyNumberFormat="1" applyFont="1" applyFill="1" applyBorder="1" applyAlignment="1">
      <alignment horizontal="left" vertical="center"/>
    </xf>
    <xf numFmtId="0" fontId="0" fillId="4" borderId="1" xfId="0" applyFill="1" applyBorder="1"/>
    <xf numFmtId="2" fontId="0" fillId="4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5" borderId="1" xfId="0" applyFill="1" applyBorder="1"/>
    <xf numFmtId="1" fontId="0" fillId="5" borderId="1" xfId="0" applyNumberFormat="1" applyFill="1" applyBorder="1"/>
    <xf numFmtId="0" fontId="0" fillId="7" borderId="1" xfId="0" applyFill="1" applyBorder="1"/>
    <xf numFmtId="1" fontId="0" fillId="7" borderId="1" xfId="0" applyNumberFormat="1" applyFill="1" applyBorder="1"/>
    <xf numFmtId="165" fontId="2" fillId="3" borderId="1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66" fontId="2" fillId="3" borderId="1" xfId="0" applyNumberFormat="1" applyFont="1" applyFill="1" applyBorder="1" applyAlignment="1">
      <alignment vertical="center"/>
    </xf>
    <xf numFmtId="0" fontId="0" fillId="2" borderId="11" xfId="0" pivotButton="1" applyFill="1" applyBorder="1"/>
    <xf numFmtId="0" fontId="0" fillId="2" borderId="1" xfId="0" pivotButton="1" applyFill="1" applyBorder="1"/>
    <xf numFmtId="0" fontId="0" fillId="2" borderId="11" xfId="0" applyFill="1" applyBorder="1" applyAlignment="1">
      <alignment wrapText="1"/>
    </xf>
    <xf numFmtId="0" fontId="0" fillId="2" borderId="1" xfId="0" pivotButton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pivotButton="1" applyFill="1" applyBorder="1" applyAlignment="1">
      <alignment vertical="center"/>
    </xf>
    <xf numFmtId="0" fontId="0" fillId="2" borderId="1" xfId="0" pivotButton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right" vertical="center"/>
    </xf>
    <xf numFmtId="0" fontId="5" fillId="8" borderId="12" xfId="0" applyFont="1" applyFill="1" applyBorder="1" applyAlignment="1">
      <alignment horizontal="left" vertical="center" wrapText="1"/>
    </xf>
    <xf numFmtId="0" fontId="5" fillId="8" borderId="16" xfId="0" applyFont="1" applyFill="1" applyBorder="1" applyAlignment="1">
      <alignment horizontal="left" vertical="center" wrapText="1"/>
    </xf>
    <xf numFmtId="0" fontId="5" fillId="8" borderId="13" xfId="0" applyFont="1" applyFill="1" applyBorder="1" applyAlignment="1">
      <alignment horizontal="left" vertical="center" wrapText="1"/>
    </xf>
    <xf numFmtId="0" fontId="5" fillId="8" borderId="14" xfId="0" applyFont="1" applyFill="1" applyBorder="1" applyAlignment="1">
      <alignment horizontal="left" vertical="center" wrapText="1"/>
    </xf>
    <xf numFmtId="0" fontId="5" fillId="8" borderId="19" xfId="0" applyFont="1" applyFill="1" applyBorder="1" applyAlignment="1">
      <alignment horizontal="left" vertical="center" wrapText="1"/>
    </xf>
    <xf numFmtId="0" fontId="5" fillId="8" borderId="15" xfId="0" applyFont="1" applyFill="1" applyBorder="1" applyAlignment="1">
      <alignment horizontal="left" vertical="center" wrapText="1"/>
    </xf>
    <xf numFmtId="0" fontId="6" fillId="8" borderId="12" xfId="0" applyFont="1" applyFill="1" applyBorder="1" applyAlignment="1">
      <alignment horizontal="left" vertical="top" wrapText="1"/>
    </xf>
    <xf numFmtId="0" fontId="6" fillId="8" borderId="16" xfId="0" applyFont="1" applyFill="1" applyBorder="1" applyAlignment="1">
      <alignment horizontal="left" vertical="top" wrapText="1"/>
    </xf>
    <xf numFmtId="0" fontId="6" fillId="8" borderId="13" xfId="0" applyFont="1" applyFill="1" applyBorder="1" applyAlignment="1">
      <alignment horizontal="left" vertical="top" wrapText="1"/>
    </xf>
    <xf numFmtId="0" fontId="6" fillId="8" borderId="14" xfId="0" applyFont="1" applyFill="1" applyBorder="1" applyAlignment="1">
      <alignment horizontal="left" vertical="top" wrapText="1"/>
    </xf>
    <xf numFmtId="0" fontId="6" fillId="8" borderId="19" xfId="0" applyFont="1" applyFill="1" applyBorder="1" applyAlignment="1">
      <alignment horizontal="left" vertical="top" wrapText="1"/>
    </xf>
    <xf numFmtId="0" fontId="6" fillId="8" borderId="15" xfId="0" applyFont="1" applyFill="1" applyBorder="1" applyAlignment="1">
      <alignment horizontal="left" vertical="top" wrapText="1"/>
    </xf>
    <xf numFmtId="0" fontId="7" fillId="8" borderId="12" xfId="0" applyFont="1" applyFill="1" applyBorder="1" applyAlignment="1">
      <alignment horizontal="left" vertical="center" wrapText="1"/>
    </xf>
    <xf numFmtId="0" fontId="7" fillId="8" borderId="16" xfId="0" applyFont="1" applyFill="1" applyBorder="1" applyAlignment="1">
      <alignment horizontal="left" vertical="center" wrapText="1"/>
    </xf>
    <xf numFmtId="0" fontId="7" fillId="8" borderId="13" xfId="0" applyFont="1" applyFill="1" applyBorder="1" applyAlignment="1">
      <alignment horizontal="left" vertical="center" wrapText="1"/>
    </xf>
    <xf numFmtId="0" fontId="7" fillId="8" borderId="14" xfId="0" applyFont="1" applyFill="1" applyBorder="1" applyAlignment="1">
      <alignment horizontal="left" vertical="center" wrapText="1"/>
    </xf>
    <xf numFmtId="0" fontId="7" fillId="8" borderId="19" xfId="0" applyFont="1" applyFill="1" applyBorder="1" applyAlignment="1">
      <alignment horizontal="left" vertical="center" wrapText="1"/>
    </xf>
    <xf numFmtId="0" fontId="7" fillId="8" borderId="15" xfId="0" applyFont="1" applyFill="1" applyBorder="1" applyAlignment="1">
      <alignment horizontal="left" vertical="center" wrapText="1"/>
    </xf>
    <xf numFmtId="0" fontId="0" fillId="8" borderId="2" xfId="0" applyFont="1" applyFill="1" applyBorder="1" applyAlignment="1">
      <alignment horizontal="left" vertical="center" wrapText="1"/>
    </xf>
    <xf numFmtId="0" fontId="0" fillId="8" borderId="3" xfId="0" applyFont="1" applyFill="1" applyBorder="1" applyAlignment="1">
      <alignment horizontal="left" vertical="center" wrapText="1"/>
    </xf>
    <xf numFmtId="0" fontId="0" fillId="8" borderId="4" xfId="0" applyFont="1" applyFill="1" applyBorder="1" applyAlignment="1">
      <alignment horizontal="left" vertical="center" wrapText="1"/>
    </xf>
    <xf numFmtId="0" fontId="0" fillId="8" borderId="5" xfId="0" applyFont="1" applyFill="1" applyBorder="1" applyAlignment="1">
      <alignment horizontal="left" vertical="center" wrapText="1"/>
    </xf>
    <xf numFmtId="0" fontId="0" fillId="8" borderId="0" xfId="0" applyFont="1" applyFill="1" applyBorder="1" applyAlignment="1">
      <alignment horizontal="left" vertical="center" wrapText="1"/>
    </xf>
    <xf numFmtId="0" fontId="0" fillId="8" borderId="6" xfId="0" applyFont="1" applyFill="1" applyBorder="1" applyAlignment="1">
      <alignment horizontal="left" vertical="center" wrapText="1"/>
    </xf>
    <xf numFmtId="0" fontId="0" fillId="8" borderId="7" xfId="0" applyFont="1" applyFill="1" applyBorder="1" applyAlignment="1">
      <alignment horizontal="left" vertical="center" wrapText="1"/>
    </xf>
    <xf numFmtId="0" fontId="0" fillId="8" borderId="8" xfId="0" applyFont="1" applyFill="1" applyBorder="1" applyAlignment="1">
      <alignment horizontal="left" vertical="center" wrapText="1"/>
    </xf>
    <xf numFmtId="0" fontId="0" fillId="8" borderId="9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5" fillId="8" borderId="0" xfId="0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5" fillId="8" borderId="7" xfId="0" applyFont="1" applyFill="1" applyBorder="1" applyAlignment="1">
      <alignment horizontal="left" vertical="center" wrapText="1"/>
    </xf>
    <xf numFmtId="0" fontId="5" fillId="8" borderId="8" xfId="0" applyFont="1" applyFill="1" applyBorder="1" applyAlignment="1">
      <alignment horizontal="left" vertical="center" wrapText="1"/>
    </xf>
    <xf numFmtId="0" fontId="5" fillId="8" borderId="9" xfId="0" applyFont="1" applyFill="1" applyBorder="1" applyAlignment="1">
      <alignment horizontal="left" vertical="center" wrapText="1"/>
    </xf>
    <xf numFmtId="0" fontId="5" fillId="8" borderId="17" xfId="0" applyFont="1" applyFill="1" applyBorder="1" applyAlignment="1">
      <alignment horizontal="left" vertical="center" wrapText="1"/>
    </xf>
    <xf numFmtId="0" fontId="5" fillId="8" borderId="18" xfId="0" applyFont="1" applyFill="1" applyBorder="1" applyAlignment="1">
      <alignment horizontal="left" vertical="center" wrapText="1"/>
    </xf>
    <xf numFmtId="0" fontId="5" fillId="8" borderId="12" xfId="0" applyFont="1" applyFill="1" applyBorder="1" applyAlignment="1">
      <alignment horizontal="left" vertical="top" wrapText="1"/>
    </xf>
    <xf numFmtId="0" fontId="5" fillId="8" borderId="16" xfId="0" applyFont="1" applyFill="1" applyBorder="1" applyAlignment="1">
      <alignment horizontal="left" vertical="top" wrapText="1"/>
    </xf>
    <xf numFmtId="0" fontId="5" fillId="8" borderId="13" xfId="0" applyFont="1" applyFill="1" applyBorder="1" applyAlignment="1">
      <alignment horizontal="left" vertical="top" wrapText="1"/>
    </xf>
    <xf numFmtId="0" fontId="5" fillId="8" borderId="17" xfId="0" applyFont="1" applyFill="1" applyBorder="1" applyAlignment="1">
      <alignment horizontal="left" vertical="top" wrapText="1"/>
    </xf>
    <xf numFmtId="0" fontId="5" fillId="8" borderId="0" xfId="0" applyFont="1" applyFill="1" applyBorder="1" applyAlignment="1">
      <alignment horizontal="left" vertical="top" wrapText="1"/>
    </xf>
    <xf numFmtId="0" fontId="5" fillId="8" borderId="18" xfId="0" applyFont="1" applyFill="1" applyBorder="1" applyAlignment="1">
      <alignment horizontal="left" vertical="top" wrapText="1"/>
    </xf>
    <xf numFmtId="0" fontId="5" fillId="8" borderId="14" xfId="0" applyFont="1" applyFill="1" applyBorder="1" applyAlignment="1">
      <alignment horizontal="left" vertical="top" wrapText="1"/>
    </xf>
    <xf numFmtId="0" fontId="5" fillId="8" borderId="19" xfId="0" applyFont="1" applyFill="1" applyBorder="1" applyAlignment="1">
      <alignment horizontal="left" vertical="top" wrapText="1"/>
    </xf>
    <xf numFmtId="0" fontId="5" fillId="8" borderId="15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64"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EBDCF2"/>
        </patternFill>
      </fill>
    </dxf>
    <dxf>
      <fill>
        <patternFill patternType="solid">
          <fgColor indexed="64"/>
          <bgColor rgb="FFEBDCF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vertical="center"/>
    </dxf>
    <dxf>
      <alignment horizontal="left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EBD8F2"/>
        </patternFill>
      </fill>
    </dxf>
    <dxf>
      <fill>
        <patternFill patternType="solid">
          <fgColor indexed="64"/>
          <bgColor rgb="FFEBD8F2"/>
        </patternFill>
      </fill>
    </dxf>
    <dxf>
      <alignment wrapText="1"/>
    </dxf>
    <dxf>
      <fill>
        <patternFill patternType="solid">
          <fgColor indexed="64"/>
          <bgColor rgb="FFEBDCF2"/>
        </patternFill>
      </fill>
    </dxf>
    <dxf>
      <fill>
        <patternFill patternType="solid">
          <fgColor indexed="64"/>
          <bgColor rgb="FFEBDCF2"/>
        </patternFill>
      </fill>
    </dxf>
    <dxf>
      <fill>
        <patternFill patternType="solid">
          <fgColor indexed="64"/>
          <bgColor rgb="FFEBDCF2"/>
        </patternFill>
      </fill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wrapText="1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E5CEED"/>
        </patternFill>
      </fill>
    </dxf>
    <dxf>
      <fill>
        <patternFill patternType="solid">
          <fgColor indexed="64"/>
          <bgColor rgb="FFE5CEED"/>
        </patternFill>
      </fill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</dxfs>
  <tableStyles count="0" defaultTableStyle="TableStyleMedium2" defaultPivotStyle="PivotStyleMedium9"/>
  <colors>
    <mruColors>
      <color rgb="FFE5CEED"/>
      <color rgb="FFEBDCF2"/>
      <color rgb="FFEBD8F2"/>
      <color rgb="FFF7E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1.920434259257" createdVersion="8" refreshedVersion="8" minRefreshableVersion="3" recordCount="699" xr:uid="{FE570687-B8E4-49F3-ACB1-600211BBDD5E}">
  <cacheSource type="worksheet">
    <worksheetSource ref="A1:W700" sheet="Customer Behaviour Data"/>
  </cacheSource>
  <cacheFields count="23">
    <cacheField name="ORDER ID" numFmtId="0">
      <sharedItems/>
    </cacheField>
    <cacheField name="CUSTOMER ID" numFmtId="0">
      <sharedItems/>
    </cacheField>
    <cacheField name="DATE" numFmtId="164">
      <sharedItems containsSemiMixedTypes="0" containsNonDate="0" containsDate="1" containsString="0" minDate="2023-01-01T00:00:00" maxDate="2024-03-27T00:00:00"/>
    </cacheField>
    <cacheField name="AGE" numFmtId="0">
      <sharedItems containsSemiMixedTypes="0" containsString="0" containsNumber="1" containsInteger="1" minValue="18" maxValue="75"/>
    </cacheField>
    <cacheField name="GENDER" numFmtId="0">
      <sharedItems/>
    </cacheField>
    <cacheField name="CITY" numFmtId="0">
      <sharedItems/>
    </cacheField>
    <cacheField name="PRODUCT CATEGORY" numFmtId="0">
      <sharedItems count="8">
        <s v="Food"/>
        <s v="Fashion"/>
        <s v="Books"/>
        <s v="Beauty"/>
        <s v="Home &amp; Garden"/>
        <s v="Electronics"/>
        <s v="Toys"/>
        <s v="Sports"/>
      </sharedItems>
    </cacheField>
    <cacheField name="UNIT PRICE" numFmtId="2">
      <sharedItems containsSemiMixedTypes="0" containsString="0" containsNumber="1" minValue="7.89" maxValue="7159.45"/>
    </cacheField>
    <cacheField name="QUANTITY" numFmtId="1">
      <sharedItems containsSemiMixedTypes="0" containsString="0" containsNumber="1" containsInteger="1" minValue="1" maxValue="5"/>
    </cacheField>
    <cacheField name="GROSS SALE" numFmtId="1">
      <sharedItems containsSemiMixedTypes="0" containsString="0" containsNumber="1" minValue="7.89" maxValue="21478.35"/>
    </cacheField>
    <cacheField name="DISCOUNT AMOUNT" numFmtId="2">
      <sharedItems containsSemiMixedTypes="0" containsString="0" containsNumber="1" minValue="0" maxValue="1075.0899999999999"/>
    </cacheField>
    <cacheField name="DISCOUNT %" numFmtId="9">
      <sharedItems containsSemiMixedTypes="0" containsString="0" containsNumber="1" minValue="0" maxValue="0.29560239396304971"/>
    </cacheField>
    <cacheField name="TOTAL AMOUNT" numFmtId="2">
      <sharedItems containsSemiMixedTypes="0" containsString="0" containsNumber="1" minValue="7.89" maxValue="21478.35"/>
    </cacheField>
    <cacheField name="PAYMENT METHOD" numFmtId="0">
      <sharedItems/>
    </cacheField>
    <cacheField name="DEVICE TYPE" numFmtId="0">
      <sharedItems/>
    </cacheField>
    <cacheField name="SESSION DURATION IN MINUTES" numFmtId="1">
      <sharedItems containsSemiMixedTypes="0" containsString="0" containsNumber="1" containsInteger="1" minValue="1" maxValue="64"/>
    </cacheField>
    <cacheField name="PAGES VIEWED" numFmtId="1">
      <sharedItems containsSemiMixedTypes="0" containsString="0" containsNumber="1" containsInteger="1" minValue="2" maxValue="17"/>
    </cacheField>
    <cacheField name="IS RETURNING CUSTOMER" numFmtId="0">
      <sharedItems/>
    </cacheField>
    <cacheField name="CUSTOMER TYPE" numFmtId="0">
      <sharedItems count="2">
        <s v="Returning Customer"/>
        <s v="New Customer"/>
      </sharedItems>
    </cacheField>
    <cacheField name="DELIVERY TIME IN DAYS" numFmtId="1">
      <sharedItems containsSemiMixedTypes="0" containsString="0" containsNumber="1" containsInteger="1" minValue="1" maxValue="23"/>
    </cacheField>
    <cacheField name="DELIVERY SPEED" numFmtId="1">
      <sharedItems count="4">
        <s v="Slow"/>
        <s v="Fast"/>
        <s v="Standard"/>
        <s v="Very Slow"/>
      </sharedItems>
    </cacheField>
    <cacheField name="AGE GROUP" numFmtId="1">
      <sharedItems count="6">
        <s v="36-45"/>
        <s v="26-35"/>
        <s v="46-55"/>
        <s v="18-25"/>
        <s v="56-65"/>
        <s v="66-75"/>
      </sharedItems>
    </cacheField>
    <cacheField name="CUSTOMER RATING" numFmtId="1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9">
  <r>
    <s v="ORD_000001"/>
    <s v="CUST_00001"/>
    <d v="2023-11-24T00:00:00"/>
    <n v="40"/>
    <s v="Male"/>
    <s v="Ankara"/>
    <x v="0"/>
    <n v="54.83"/>
    <n v="4"/>
    <n v="219.32"/>
    <n v="0"/>
    <n v="0"/>
    <n v="219.32"/>
    <s v="Debit Card"/>
    <s v="Mobile"/>
    <n v="8"/>
    <n v="9"/>
    <b v="1"/>
    <x v="0"/>
    <n v="8"/>
    <x v="0"/>
    <x v="0"/>
    <n v="4"/>
  </r>
  <r>
    <s v="ORD_000002"/>
    <s v="CUST_00002"/>
    <d v="2023-02-27T00:00:00"/>
    <n v="33"/>
    <s v="Male"/>
    <s v="Istanbul"/>
    <x v="1"/>
    <n v="166.17"/>
    <n v="2"/>
    <n v="332.34"/>
    <n v="0"/>
    <n v="0"/>
    <n v="332.34"/>
    <s v="Debit Card"/>
    <s v="Mobile"/>
    <n v="3"/>
    <n v="8"/>
    <b v="1"/>
    <x v="0"/>
    <n v="8"/>
    <x v="0"/>
    <x v="1"/>
    <n v="5"/>
  </r>
  <r>
    <s v="ORD_000003"/>
    <s v="CUST_00003"/>
    <d v="2023-01-13T00:00:00"/>
    <n v="42"/>
    <s v="Male"/>
    <s v="Konya"/>
    <x v="0"/>
    <n v="66.44"/>
    <n v="1"/>
    <n v="66.44"/>
    <n v="0"/>
    <n v="0"/>
    <n v="66.44"/>
    <s v="Debit Card"/>
    <s v="Desktop"/>
    <n v="9"/>
    <n v="5"/>
    <b v="0"/>
    <x v="1"/>
    <n v="3"/>
    <x v="1"/>
    <x v="0"/>
    <n v="5"/>
  </r>
  <r>
    <s v="ORD_000004"/>
    <s v="CUST_00004"/>
    <d v="2024-01-15T00:00:00"/>
    <n v="53"/>
    <s v="Male"/>
    <s v="Izmir"/>
    <x v="0"/>
    <n v="112.65"/>
    <n v="1"/>
    <n v="112.65"/>
    <n v="0"/>
    <n v="0"/>
    <n v="112.65"/>
    <s v="Bank Transfer"/>
    <s v="Mobile"/>
    <n v="9"/>
    <n v="6"/>
    <b v="0"/>
    <x v="1"/>
    <n v="5"/>
    <x v="2"/>
    <x v="2"/>
    <n v="4"/>
  </r>
  <r>
    <s v="ORD_000005"/>
    <s v="CUST_00005"/>
    <d v="2023-05-21T00:00:00"/>
    <n v="32"/>
    <s v="Male"/>
    <s v="Ankara"/>
    <x v="2"/>
    <n v="69.89"/>
    <n v="5"/>
    <n v="349.45"/>
    <n v="0"/>
    <n v="0"/>
    <n v="349.45"/>
    <s v="Bank Transfer"/>
    <s v="Mobile"/>
    <n v="13"/>
    <n v="7"/>
    <b v="0"/>
    <x v="1"/>
    <n v="3"/>
    <x v="1"/>
    <x v="1"/>
    <n v="3"/>
  </r>
  <r>
    <s v="ORD_000006"/>
    <s v="CUST_00006"/>
    <d v="2023-05-06T00:00:00"/>
    <n v="32"/>
    <s v="Female"/>
    <s v="Istanbul"/>
    <x v="0"/>
    <n v="131.96"/>
    <n v="1"/>
    <n v="131.96"/>
    <n v="0"/>
    <n v="0"/>
    <n v="131.96"/>
    <s v="Credit Card"/>
    <s v="Desktop"/>
    <n v="17"/>
    <n v="9"/>
    <b v="1"/>
    <x v="0"/>
    <n v="4"/>
    <x v="2"/>
    <x v="1"/>
    <n v="5"/>
  </r>
  <r>
    <s v="ORD_000007"/>
    <s v="CUST_00007"/>
    <d v="2023-04-25T00:00:00"/>
    <n v="53"/>
    <s v="Female"/>
    <s v="Ankara"/>
    <x v="0"/>
    <n v="53.11"/>
    <n v="3"/>
    <n v="159.32999999999998"/>
    <n v="8.92"/>
    <n v="5.5984434820812154E-2"/>
    <n v="150.41"/>
    <s v="Credit Card"/>
    <s v="Desktop"/>
    <n v="19"/>
    <n v="13"/>
    <b v="1"/>
    <x v="0"/>
    <n v="2"/>
    <x v="1"/>
    <x v="2"/>
    <n v="3"/>
  </r>
  <r>
    <s v="ORD_000008"/>
    <s v="CUST_00008"/>
    <d v="2023-03-13T00:00:00"/>
    <n v="44"/>
    <s v="Female"/>
    <s v="Konya"/>
    <x v="0"/>
    <n v="24.55"/>
    <n v="2"/>
    <n v="49.1"/>
    <n v="0"/>
    <n v="0"/>
    <n v="49.1"/>
    <s v="Debit Card"/>
    <s v="Desktop"/>
    <n v="15"/>
    <n v="8"/>
    <b v="0"/>
    <x v="1"/>
    <n v="7"/>
    <x v="2"/>
    <x v="0"/>
    <n v="5"/>
  </r>
  <r>
    <s v="ORD_000009"/>
    <s v="CUST_00009"/>
    <d v="2024-01-13T00:00:00"/>
    <n v="29"/>
    <s v="Male"/>
    <s v="Ankara"/>
    <x v="3"/>
    <n v="58.93"/>
    <n v="1"/>
    <n v="58.93"/>
    <n v="3.04"/>
    <n v="5.1586628202952657E-2"/>
    <n v="55.89"/>
    <s v="Credit Card"/>
    <s v="Desktop"/>
    <n v="13"/>
    <n v="3"/>
    <b v="0"/>
    <x v="1"/>
    <n v="14"/>
    <x v="0"/>
    <x v="1"/>
    <n v="3"/>
  </r>
  <r>
    <s v="ORD_000010"/>
    <s v="CUST_00010"/>
    <d v="2023-02-22T00:00:00"/>
    <n v="41"/>
    <s v="Male"/>
    <s v="Kayseri"/>
    <x v="4"/>
    <n v="114.37"/>
    <n v="2"/>
    <n v="228.74"/>
    <n v="13.61"/>
    <n v="5.9499868846725534E-2"/>
    <n v="215.13"/>
    <s v="Credit Card"/>
    <s v="Desktop"/>
    <n v="22"/>
    <n v="9"/>
    <b v="1"/>
    <x v="0"/>
    <n v="5"/>
    <x v="2"/>
    <x v="0"/>
    <n v="5"/>
  </r>
  <r>
    <s v="ORD_000011"/>
    <s v="CUST_00011"/>
    <d v="2023-12-13T00:00:00"/>
    <n v="29"/>
    <s v="Male"/>
    <s v="Kayseri"/>
    <x v="5"/>
    <n v="770.72"/>
    <n v="1"/>
    <n v="770.72"/>
    <n v="0"/>
    <n v="0"/>
    <n v="770.72"/>
    <s v="Credit Card"/>
    <s v="Mobile"/>
    <n v="11"/>
    <n v="8"/>
    <b v="1"/>
    <x v="0"/>
    <n v="11"/>
    <x v="0"/>
    <x v="1"/>
    <n v="4"/>
  </r>
  <r>
    <s v="ORD_000012"/>
    <s v="CUST_00012"/>
    <d v="2024-01-15T00:00:00"/>
    <n v="29"/>
    <s v="Other"/>
    <s v="Istanbul"/>
    <x v="6"/>
    <n v="218.03"/>
    <n v="5"/>
    <n v="1090.1500000000001"/>
    <n v="0"/>
    <n v="0"/>
    <n v="1090.1500000000001"/>
    <s v="Credit Card"/>
    <s v="Mobile"/>
    <n v="3"/>
    <n v="8"/>
    <b v="0"/>
    <x v="1"/>
    <n v="4"/>
    <x v="2"/>
    <x v="1"/>
    <n v="3"/>
  </r>
  <r>
    <s v="ORD_000013"/>
    <s v="CUST_00013"/>
    <d v="2023-10-07T00:00:00"/>
    <n v="37"/>
    <s v="Female"/>
    <s v="Istanbul"/>
    <x v="0"/>
    <n v="53.73"/>
    <n v="1"/>
    <n v="53.73"/>
    <n v="0"/>
    <n v="0"/>
    <n v="53.73"/>
    <s v="Debit Card"/>
    <s v="Desktop"/>
    <n v="3"/>
    <n v="6"/>
    <b v="1"/>
    <x v="0"/>
    <n v="10"/>
    <x v="0"/>
    <x v="0"/>
    <n v="4"/>
  </r>
  <r>
    <s v="ORD_000014"/>
    <s v="CUST_00014"/>
    <d v="2023-02-14T00:00:00"/>
    <n v="18"/>
    <s v="Female"/>
    <s v="Konya"/>
    <x v="0"/>
    <n v="30.18"/>
    <n v="1"/>
    <n v="30.18"/>
    <n v="0"/>
    <n v="0"/>
    <n v="30.18"/>
    <s v="Credit Card"/>
    <s v="Desktop"/>
    <n v="9"/>
    <n v="9"/>
    <b v="1"/>
    <x v="0"/>
    <n v="14"/>
    <x v="0"/>
    <x v="3"/>
    <n v="3"/>
  </r>
  <r>
    <s v="ORD_000015"/>
    <s v="CUST_00015"/>
    <d v="2023-10-30T00:00:00"/>
    <n v="18"/>
    <s v="Male"/>
    <s v="Ankara"/>
    <x v="7"/>
    <n v="284.16000000000003"/>
    <n v="1"/>
    <n v="284.16000000000003"/>
    <n v="0"/>
    <n v="0"/>
    <n v="284.16000000000003"/>
    <s v="Credit Card"/>
    <s v="Mobile"/>
    <n v="12"/>
    <n v="16"/>
    <b v="0"/>
    <x v="1"/>
    <n v="2"/>
    <x v="1"/>
    <x v="3"/>
    <n v="3"/>
  </r>
  <r>
    <s v="ORD_000016"/>
    <s v="CUST_00016"/>
    <d v="2023-08-05T00:00:00"/>
    <n v="28"/>
    <s v="Female"/>
    <s v="Istanbul"/>
    <x v="6"/>
    <n v="176.15"/>
    <n v="5"/>
    <n v="880.75"/>
    <n v="12.35"/>
    <n v="1.4022140221402213E-2"/>
    <n v="868.4"/>
    <s v="Bank Transfer"/>
    <s v="Tablet"/>
    <n v="10"/>
    <n v="9"/>
    <b v="1"/>
    <x v="0"/>
    <n v="3"/>
    <x v="1"/>
    <x v="1"/>
    <n v="3"/>
  </r>
  <r>
    <s v="ORD_000017"/>
    <s v="CUST_00017"/>
    <d v="2023-01-17T00:00:00"/>
    <n v="22"/>
    <s v="Male"/>
    <s v="Ankara"/>
    <x v="3"/>
    <n v="67.22"/>
    <n v="1"/>
    <n v="67.22"/>
    <n v="0"/>
    <n v="0"/>
    <n v="67.22"/>
    <s v="Bank Transfer"/>
    <s v="Mobile"/>
    <n v="3"/>
    <n v="8"/>
    <b v="1"/>
    <x v="0"/>
    <n v="6"/>
    <x v="2"/>
    <x v="3"/>
    <n v="5"/>
  </r>
  <r>
    <s v="ORD_000018"/>
    <s v="CUST_00018"/>
    <d v="2023-01-16T00:00:00"/>
    <n v="38"/>
    <s v="Female"/>
    <s v="Bursa"/>
    <x v="1"/>
    <n v="198.21"/>
    <n v="1"/>
    <n v="198.21"/>
    <n v="0"/>
    <n v="0"/>
    <n v="198.21"/>
    <s v="Bank Transfer"/>
    <s v="Desktop"/>
    <n v="20"/>
    <n v="6"/>
    <b v="1"/>
    <x v="0"/>
    <n v="2"/>
    <x v="1"/>
    <x v="0"/>
    <n v="2"/>
  </r>
  <r>
    <s v="ORD_000019"/>
    <s v="CUST_00019"/>
    <d v="2023-02-17T00:00:00"/>
    <n v="24"/>
    <s v="Female"/>
    <s v="Gaziantep"/>
    <x v="5"/>
    <n v="380.59"/>
    <n v="1"/>
    <n v="380.59"/>
    <n v="59.02"/>
    <n v="0.15507501510812161"/>
    <n v="321.57"/>
    <s v="Credit Card"/>
    <s v="Desktop"/>
    <n v="8"/>
    <n v="10"/>
    <b v="1"/>
    <x v="0"/>
    <n v="4"/>
    <x v="2"/>
    <x v="3"/>
    <n v="5"/>
  </r>
  <r>
    <s v="ORD_000020"/>
    <s v="CUST_00020"/>
    <d v="2023-04-22T00:00:00"/>
    <n v="18"/>
    <s v="Female"/>
    <s v="Istanbul"/>
    <x v="6"/>
    <n v="303.91000000000003"/>
    <n v="1"/>
    <n v="303.91000000000003"/>
    <n v="0"/>
    <n v="0"/>
    <n v="303.91000000000003"/>
    <s v="Credit Card"/>
    <s v="Desktop"/>
    <n v="9"/>
    <n v="4"/>
    <b v="1"/>
    <x v="0"/>
    <n v="6"/>
    <x v="2"/>
    <x v="3"/>
    <n v="1"/>
  </r>
  <r>
    <s v="ORD_000021"/>
    <s v="CUST_00021"/>
    <d v="2023-04-30T00:00:00"/>
    <n v="52"/>
    <s v="Female"/>
    <s v="Istanbul"/>
    <x v="1"/>
    <n v="533.41"/>
    <n v="1"/>
    <n v="533.41"/>
    <n v="84.22"/>
    <n v="0.15788980334076977"/>
    <n v="449.19"/>
    <s v="Credit Card"/>
    <s v="Mobile"/>
    <n v="14"/>
    <n v="6"/>
    <b v="0"/>
    <x v="1"/>
    <n v="2"/>
    <x v="1"/>
    <x v="2"/>
    <n v="5"/>
  </r>
  <r>
    <s v="ORD_000022"/>
    <s v="CUST_00022"/>
    <d v="2023-09-16T00:00:00"/>
    <n v="32"/>
    <s v="Male"/>
    <s v="Kayseri"/>
    <x v="2"/>
    <n v="28.95"/>
    <n v="1"/>
    <n v="28.95"/>
    <n v="2.72"/>
    <n v="9.3955094991364424E-2"/>
    <n v="26.23"/>
    <s v="Credit Card"/>
    <s v="Mobile"/>
    <n v="15"/>
    <n v="10"/>
    <b v="0"/>
    <x v="1"/>
    <n v="2"/>
    <x v="1"/>
    <x v="1"/>
    <n v="5"/>
  </r>
  <r>
    <s v="ORD_000023"/>
    <s v="CUST_00023"/>
    <d v="2023-11-05T00:00:00"/>
    <n v="35"/>
    <s v="Female"/>
    <s v="Adana"/>
    <x v="7"/>
    <n v="331.18"/>
    <n v="1"/>
    <n v="331.18"/>
    <n v="85.23"/>
    <n v="0.25735249713146929"/>
    <n v="245.95"/>
    <s v="Credit Card"/>
    <s v="Mobile"/>
    <n v="7"/>
    <n v="9"/>
    <b v="1"/>
    <x v="0"/>
    <n v="3"/>
    <x v="1"/>
    <x v="1"/>
    <n v="5"/>
  </r>
  <r>
    <s v="ORD_000024"/>
    <s v="CUST_00024"/>
    <d v="2023-01-14T00:00:00"/>
    <n v="18"/>
    <s v="Female"/>
    <s v="Bursa"/>
    <x v="7"/>
    <n v="79.59"/>
    <n v="1"/>
    <n v="79.59"/>
    <n v="0"/>
    <n v="0"/>
    <n v="79.59"/>
    <s v="Bank Transfer"/>
    <s v="Mobile"/>
    <n v="6"/>
    <n v="11"/>
    <b v="0"/>
    <x v="1"/>
    <n v="4"/>
    <x v="2"/>
    <x v="3"/>
    <n v="3"/>
  </r>
  <r>
    <s v="ORD_000025"/>
    <s v="CUST_00025"/>
    <d v="2023-10-15T00:00:00"/>
    <n v="28"/>
    <s v="Male"/>
    <s v="Adana"/>
    <x v="2"/>
    <n v="89.32"/>
    <n v="1"/>
    <n v="89.32"/>
    <n v="0"/>
    <n v="0"/>
    <n v="89.32"/>
    <s v="Cash on Delivery"/>
    <s v="Mobile"/>
    <n v="4"/>
    <n v="6"/>
    <b v="1"/>
    <x v="0"/>
    <n v="10"/>
    <x v="0"/>
    <x v="1"/>
    <n v="5"/>
  </r>
  <r>
    <s v="ORD_000026"/>
    <s v="CUST_00026"/>
    <d v="2023-04-12T00:00:00"/>
    <n v="36"/>
    <s v="Male"/>
    <s v="Izmir"/>
    <x v="1"/>
    <n v="88.22"/>
    <n v="2"/>
    <n v="176.44"/>
    <n v="0"/>
    <n v="0"/>
    <n v="176.44"/>
    <s v="Digital Wallet"/>
    <s v="Desktop"/>
    <n v="19"/>
    <n v="9"/>
    <b v="0"/>
    <x v="1"/>
    <n v="4"/>
    <x v="2"/>
    <x v="0"/>
    <n v="2"/>
  </r>
  <r>
    <s v="ORD_000027"/>
    <s v="CUST_00027"/>
    <d v="2024-01-02T00:00:00"/>
    <n v="21"/>
    <s v="Male"/>
    <s v="Adana"/>
    <x v="6"/>
    <n v="139.85"/>
    <n v="2"/>
    <n v="279.7"/>
    <n v="33.81"/>
    <n v="0.12087951376474795"/>
    <n v="245.89"/>
    <s v="Digital Wallet"/>
    <s v="Tablet"/>
    <n v="15"/>
    <n v="6"/>
    <b v="0"/>
    <x v="1"/>
    <n v="7"/>
    <x v="2"/>
    <x v="3"/>
    <n v="4"/>
  </r>
  <r>
    <s v="ORD_000028"/>
    <s v="CUST_00028"/>
    <d v="2023-11-29T00:00:00"/>
    <n v="39"/>
    <s v="Male"/>
    <s v="Ankara"/>
    <x v="5"/>
    <n v="604.91"/>
    <n v="1"/>
    <n v="604.91"/>
    <n v="0"/>
    <n v="0"/>
    <n v="604.91"/>
    <s v="Debit Card"/>
    <s v="Desktop"/>
    <n v="11"/>
    <n v="14"/>
    <b v="1"/>
    <x v="0"/>
    <n v="5"/>
    <x v="2"/>
    <x v="0"/>
    <n v="5"/>
  </r>
  <r>
    <s v="ORD_000029"/>
    <s v="CUST_00029"/>
    <d v="2023-12-26T00:00:00"/>
    <n v="27"/>
    <s v="Male"/>
    <s v="Istanbul"/>
    <x v="1"/>
    <n v="230.37"/>
    <n v="1"/>
    <n v="230.37"/>
    <n v="0"/>
    <n v="0"/>
    <n v="230.37"/>
    <s v="Digital Wallet"/>
    <s v="Mobile"/>
    <n v="3"/>
    <n v="7"/>
    <b v="1"/>
    <x v="0"/>
    <n v="4"/>
    <x v="2"/>
    <x v="1"/>
    <n v="4"/>
  </r>
  <r>
    <s v="ORD_000030"/>
    <s v="CUST_00030"/>
    <d v="2023-10-07T00:00:00"/>
    <n v="31"/>
    <s v="Female"/>
    <s v="Adana"/>
    <x v="5"/>
    <n v="2497.83"/>
    <n v="1"/>
    <n v="2497.83"/>
    <n v="0"/>
    <n v="0"/>
    <n v="2497.83"/>
    <s v="Bank Transfer"/>
    <s v="Mobile"/>
    <n v="12"/>
    <n v="11"/>
    <b v="1"/>
    <x v="0"/>
    <n v="7"/>
    <x v="2"/>
    <x v="1"/>
    <n v="4"/>
  </r>
  <r>
    <s v="ORD_000031"/>
    <s v="CUST_00031"/>
    <d v="2023-08-03T00:00:00"/>
    <n v="27"/>
    <s v="Male"/>
    <s v="Izmir"/>
    <x v="3"/>
    <n v="131.13"/>
    <n v="1"/>
    <n v="131.13"/>
    <n v="0"/>
    <n v="0"/>
    <n v="131.13"/>
    <s v="Debit Card"/>
    <s v="Desktop"/>
    <n v="34"/>
    <n v="8"/>
    <b v="0"/>
    <x v="1"/>
    <n v="5"/>
    <x v="2"/>
    <x v="1"/>
    <n v="2"/>
  </r>
  <r>
    <s v="ORD_000032"/>
    <s v="CUST_00032"/>
    <d v="2023-04-23T00:00:00"/>
    <n v="57"/>
    <s v="Male"/>
    <s v="Eskisehir"/>
    <x v="0"/>
    <n v="88.67"/>
    <n v="1"/>
    <n v="88.67"/>
    <n v="0"/>
    <n v="0"/>
    <n v="88.67"/>
    <s v="Credit Card"/>
    <s v="Desktop"/>
    <n v="11"/>
    <n v="8"/>
    <b v="1"/>
    <x v="0"/>
    <n v="7"/>
    <x v="2"/>
    <x v="4"/>
    <n v="2"/>
  </r>
  <r>
    <s v="ORD_000033"/>
    <s v="CUST_00033"/>
    <d v="2023-08-18T00:00:00"/>
    <n v="34"/>
    <s v="Female"/>
    <s v="Ankara"/>
    <x v="2"/>
    <n v="20.94"/>
    <n v="2"/>
    <n v="41.88"/>
    <n v="0"/>
    <n v="0"/>
    <n v="41.88"/>
    <s v="Credit Card"/>
    <s v="Desktop"/>
    <n v="12"/>
    <n v="10"/>
    <b v="0"/>
    <x v="1"/>
    <n v="7"/>
    <x v="2"/>
    <x v="1"/>
    <n v="2"/>
  </r>
  <r>
    <s v="ORD_000034"/>
    <s v="CUST_00034"/>
    <d v="2023-10-29T00:00:00"/>
    <n v="22"/>
    <s v="Female"/>
    <s v="Kayseri"/>
    <x v="4"/>
    <n v="541.80999999999995"/>
    <n v="4"/>
    <n v="2167.2399999999998"/>
    <n v="139.11000000000001"/>
    <n v="6.4187630350122746E-2"/>
    <n v="2028.13"/>
    <s v="Debit Card"/>
    <s v="Mobile"/>
    <n v="11"/>
    <n v="6"/>
    <b v="1"/>
    <x v="0"/>
    <n v="3"/>
    <x v="1"/>
    <x v="3"/>
    <n v="5"/>
  </r>
  <r>
    <s v="ORD_000035"/>
    <s v="CUST_00035"/>
    <d v="2023-05-23T00:00:00"/>
    <n v="44"/>
    <s v="Female"/>
    <s v="Kayseri"/>
    <x v="5"/>
    <n v="4703.2299999999996"/>
    <n v="2"/>
    <n v="9406.4599999999991"/>
    <n v="0"/>
    <n v="0"/>
    <n v="9406.4599999999991"/>
    <s v="Credit Card"/>
    <s v="Mobile"/>
    <n v="6"/>
    <n v="9"/>
    <b v="1"/>
    <x v="0"/>
    <n v="10"/>
    <x v="0"/>
    <x v="0"/>
    <n v="1"/>
  </r>
  <r>
    <s v="ORD_000036"/>
    <s v="CUST_00036"/>
    <d v="2024-02-19T00:00:00"/>
    <n v="20"/>
    <s v="Male"/>
    <s v="Istanbul"/>
    <x v="7"/>
    <n v="503.69"/>
    <n v="5"/>
    <n v="2518.4499999999998"/>
    <n v="93.97"/>
    <n v="3.731263277015625E-2"/>
    <n v="2424.48"/>
    <s v="Bank Transfer"/>
    <s v="Mobile"/>
    <n v="2"/>
    <n v="8"/>
    <b v="1"/>
    <x v="0"/>
    <n v="11"/>
    <x v="0"/>
    <x v="3"/>
    <n v="5"/>
  </r>
  <r>
    <s v="ORD_000037"/>
    <s v="CUST_00037"/>
    <d v="2024-03-21T00:00:00"/>
    <n v="37"/>
    <s v="Female"/>
    <s v="Gaziantep"/>
    <x v="0"/>
    <n v="59.08"/>
    <n v="1"/>
    <n v="59.08"/>
    <n v="0"/>
    <n v="0"/>
    <n v="59.08"/>
    <s v="Debit Card"/>
    <s v="Mobile"/>
    <n v="19"/>
    <n v="11"/>
    <b v="0"/>
    <x v="1"/>
    <n v="2"/>
    <x v="1"/>
    <x v="0"/>
    <n v="5"/>
  </r>
  <r>
    <s v="ORD_000038"/>
    <s v="CUST_00038"/>
    <d v="2023-01-04T00:00:00"/>
    <n v="18"/>
    <s v="Female"/>
    <s v="Izmir"/>
    <x v="3"/>
    <n v="78.209999999999994"/>
    <n v="5"/>
    <n v="391.04999999999995"/>
    <n v="0"/>
    <n v="0"/>
    <n v="391.05"/>
    <s v="Digital Wallet"/>
    <s v="Mobile"/>
    <n v="9"/>
    <n v="7"/>
    <b v="0"/>
    <x v="1"/>
    <n v="8"/>
    <x v="0"/>
    <x v="3"/>
    <n v="4"/>
  </r>
  <r>
    <s v="ORD_000039"/>
    <s v="CUST_00039"/>
    <d v="2024-01-24T00:00:00"/>
    <n v="19"/>
    <s v="Male"/>
    <s v="Kayseri"/>
    <x v="7"/>
    <n v="471.56"/>
    <n v="1"/>
    <n v="471.56"/>
    <n v="0"/>
    <n v="0"/>
    <n v="471.56"/>
    <s v="Credit Card"/>
    <s v="Tablet"/>
    <n v="5"/>
    <n v="10"/>
    <b v="0"/>
    <x v="1"/>
    <n v="7"/>
    <x v="2"/>
    <x v="3"/>
    <n v="5"/>
  </r>
  <r>
    <s v="ORD_000040"/>
    <s v="CUST_00040"/>
    <d v="2024-02-17T00:00:00"/>
    <n v="37"/>
    <s v="Male"/>
    <s v="Izmir"/>
    <x v="3"/>
    <n v="91.66"/>
    <n v="4"/>
    <n v="366.64"/>
    <n v="4.7699999999999996"/>
    <n v="1.3010037093606807E-2"/>
    <n v="361.87"/>
    <s v="Debit Card"/>
    <s v="Mobile"/>
    <n v="12"/>
    <n v="7"/>
    <b v="0"/>
    <x v="1"/>
    <n v="2"/>
    <x v="1"/>
    <x v="0"/>
    <n v="5"/>
  </r>
  <r>
    <s v="ORD_000041"/>
    <s v="CUST_00041"/>
    <d v="2023-03-23T00:00:00"/>
    <n v="43"/>
    <s v="Female"/>
    <s v="Adana"/>
    <x v="7"/>
    <n v="1255.68"/>
    <n v="3"/>
    <n v="3767.04"/>
    <n v="0"/>
    <n v="0"/>
    <n v="3767.04"/>
    <s v="Debit Card"/>
    <s v="Desktop"/>
    <n v="22"/>
    <n v="9"/>
    <b v="0"/>
    <x v="1"/>
    <n v="6"/>
    <x v="2"/>
    <x v="0"/>
    <n v="4"/>
  </r>
  <r>
    <s v="ORD_000042"/>
    <s v="CUST_00042"/>
    <d v="2023-12-24T00:00:00"/>
    <n v="37"/>
    <s v="Female"/>
    <s v="Izmir"/>
    <x v="1"/>
    <n v="389.46"/>
    <n v="3"/>
    <n v="1168.3799999999999"/>
    <n v="109.42"/>
    <n v="9.3651038189630095E-2"/>
    <n v="1058.96"/>
    <s v="Digital Wallet"/>
    <s v="Mobile"/>
    <n v="8"/>
    <n v="6"/>
    <b v="1"/>
    <x v="0"/>
    <n v="6"/>
    <x v="2"/>
    <x v="0"/>
    <n v="4"/>
  </r>
  <r>
    <s v="ORD_000043"/>
    <s v="CUST_00043"/>
    <d v="2023-08-05T00:00:00"/>
    <n v="33"/>
    <s v="Female"/>
    <s v="Istanbul"/>
    <x v="6"/>
    <n v="130.09"/>
    <n v="5"/>
    <n v="650.45000000000005"/>
    <n v="0"/>
    <n v="0"/>
    <n v="650.45000000000005"/>
    <s v="Credit Card"/>
    <s v="Tablet"/>
    <n v="4"/>
    <n v="12"/>
    <b v="1"/>
    <x v="0"/>
    <n v="3"/>
    <x v="1"/>
    <x v="1"/>
    <n v="5"/>
  </r>
  <r>
    <s v="ORD_000044"/>
    <s v="CUST_00044"/>
    <d v="2023-06-24T00:00:00"/>
    <n v="31"/>
    <s v="Female"/>
    <s v="Istanbul"/>
    <x v="1"/>
    <n v="376.78"/>
    <n v="1"/>
    <n v="376.78"/>
    <n v="105.42"/>
    <n v="0.2797919210149159"/>
    <n v="271.36"/>
    <s v="Cash on Delivery"/>
    <s v="Tablet"/>
    <n v="32"/>
    <n v="16"/>
    <b v="0"/>
    <x v="1"/>
    <n v="4"/>
    <x v="2"/>
    <x v="1"/>
    <n v="5"/>
  </r>
  <r>
    <s v="ORD_000045"/>
    <s v="CUST_00045"/>
    <d v="2023-05-23T00:00:00"/>
    <n v="18"/>
    <s v="Female"/>
    <s v="Izmir"/>
    <x v="1"/>
    <n v="133.09"/>
    <n v="2"/>
    <n v="266.18"/>
    <n v="24.74"/>
    <n v="9.2944623938688103E-2"/>
    <n v="241.44"/>
    <s v="Digital Wallet"/>
    <s v="Mobile"/>
    <n v="12"/>
    <n v="7"/>
    <b v="1"/>
    <x v="0"/>
    <n v="4"/>
    <x v="2"/>
    <x v="3"/>
    <n v="5"/>
  </r>
  <r>
    <s v="ORD_000046"/>
    <s v="CUST_00046"/>
    <d v="2023-03-21T00:00:00"/>
    <n v="26"/>
    <s v="Female"/>
    <s v="Adana"/>
    <x v="6"/>
    <n v="140.24"/>
    <n v="1"/>
    <n v="140.24"/>
    <n v="0"/>
    <n v="0"/>
    <n v="140.24"/>
    <s v="Digital Wallet"/>
    <s v="Desktop"/>
    <n v="19"/>
    <n v="8"/>
    <b v="1"/>
    <x v="0"/>
    <n v="5"/>
    <x v="2"/>
    <x v="1"/>
    <n v="3"/>
  </r>
  <r>
    <s v="ORD_000047"/>
    <s v="CUST_00047"/>
    <d v="2023-04-21T00:00:00"/>
    <n v="29"/>
    <s v="Male"/>
    <s v="Bursa"/>
    <x v="3"/>
    <n v="67.209999999999994"/>
    <n v="3"/>
    <n v="201.63"/>
    <n v="18.55"/>
    <n v="9.2000198383177106E-2"/>
    <n v="183.08"/>
    <s v="Bank Transfer"/>
    <s v="Desktop"/>
    <n v="22"/>
    <n v="12"/>
    <b v="1"/>
    <x v="0"/>
    <n v="4"/>
    <x v="2"/>
    <x v="1"/>
    <n v="4"/>
  </r>
  <r>
    <s v="ORD_000048"/>
    <s v="CUST_00048"/>
    <d v="2024-01-26T00:00:00"/>
    <n v="47"/>
    <s v="Male"/>
    <s v="Antalya"/>
    <x v="3"/>
    <n v="139.34"/>
    <n v="1"/>
    <n v="139.34"/>
    <n v="0"/>
    <n v="0"/>
    <n v="139.34"/>
    <s v="Cash on Delivery"/>
    <s v="Mobile"/>
    <n v="4"/>
    <n v="7"/>
    <b v="1"/>
    <x v="0"/>
    <n v="4"/>
    <x v="2"/>
    <x v="2"/>
    <n v="4"/>
  </r>
  <r>
    <s v="ORD_000049"/>
    <s v="CUST_00049"/>
    <d v="2023-06-22T00:00:00"/>
    <n v="39"/>
    <s v="Male"/>
    <s v="Ankara"/>
    <x v="6"/>
    <n v="133.13999999999999"/>
    <n v="2"/>
    <n v="266.27999999999997"/>
    <n v="0"/>
    <n v="0"/>
    <n v="266.27999999999997"/>
    <s v="Credit Card"/>
    <s v="Mobile"/>
    <n v="7"/>
    <n v="11"/>
    <b v="1"/>
    <x v="0"/>
    <n v="2"/>
    <x v="1"/>
    <x v="0"/>
    <n v="5"/>
  </r>
  <r>
    <s v="ORD_000050"/>
    <s v="CUST_00050"/>
    <d v="2023-02-22T00:00:00"/>
    <n v="18"/>
    <s v="Female"/>
    <s v="Izmir"/>
    <x v="7"/>
    <n v="466.79"/>
    <n v="2"/>
    <n v="933.58"/>
    <n v="0"/>
    <n v="0"/>
    <n v="933.58"/>
    <s v="Digital Wallet"/>
    <s v="Mobile"/>
    <n v="13"/>
    <n v="10"/>
    <b v="1"/>
    <x v="0"/>
    <n v="9"/>
    <x v="0"/>
    <x v="3"/>
    <n v="5"/>
  </r>
  <r>
    <s v="ORD_000051"/>
    <s v="CUST_00051"/>
    <d v="2023-02-17T00:00:00"/>
    <n v="38"/>
    <s v="Female"/>
    <s v="Istanbul"/>
    <x v="5"/>
    <n v="1222.3699999999999"/>
    <n v="1"/>
    <n v="1222.3699999999999"/>
    <n v="0"/>
    <n v="0"/>
    <n v="1222.3699999999999"/>
    <s v="Credit Card"/>
    <s v="Mobile"/>
    <n v="10"/>
    <n v="10"/>
    <b v="0"/>
    <x v="1"/>
    <n v="4"/>
    <x v="2"/>
    <x v="0"/>
    <n v="4"/>
  </r>
  <r>
    <s v="ORD_000052"/>
    <s v="CUST_00052"/>
    <d v="2023-07-14T00:00:00"/>
    <n v="30"/>
    <s v="Female"/>
    <s v="Gaziantep"/>
    <x v="3"/>
    <n v="114.86"/>
    <n v="1"/>
    <n v="114.86"/>
    <n v="13.4"/>
    <n v="0.11666376458297058"/>
    <n v="101.46"/>
    <s v="Debit Card"/>
    <s v="Mobile"/>
    <n v="7"/>
    <n v="11"/>
    <b v="1"/>
    <x v="0"/>
    <n v="5"/>
    <x v="2"/>
    <x v="1"/>
    <n v="5"/>
  </r>
  <r>
    <s v="ORD_000053"/>
    <s v="CUST_00053"/>
    <d v="2023-02-19T00:00:00"/>
    <n v="26"/>
    <s v="Male"/>
    <s v="Eskisehir"/>
    <x v="7"/>
    <n v="675.54"/>
    <n v="2"/>
    <n v="1351.08"/>
    <n v="0"/>
    <n v="0"/>
    <n v="1351.08"/>
    <s v="Credit Card"/>
    <s v="Mobile"/>
    <n v="16"/>
    <n v="8"/>
    <b v="1"/>
    <x v="0"/>
    <n v="11"/>
    <x v="0"/>
    <x v="1"/>
    <n v="1"/>
  </r>
  <r>
    <s v="ORD_000054"/>
    <s v="CUST_00054"/>
    <d v="2023-07-03T00:00:00"/>
    <n v="42"/>
    <s v="Female"/>
    <s v="Izmir"/>
    <x v="5"/>
    <n v="3314.93"/>
    <n v="1"/>
    <n v="3314.93"/>
    <n v="0"/>
    <n v="0"/>
    <n v="3314.93"/>
    <s v="Debit Card"/>
    <s v="Mobile"/>
    <n v="16"/>
    <n v="8"/>
    <b v="1"/>
    <x v="0"/>
    <n v="3"/>
    <x v="1"/>
    <x v="0"/>
    <n v="5"/>
  </r>
  <r>
    <s v="ORD_000055"/>
    <s v="CUST_00055"/>
    <d v="2024-03-09T00:00:00"/>
    <n v="47"/>
    <s v="Male"/>
    <s v="Istanbul"/>
    <x v="6"/>
    <n v="117.66"/>
    <n v="5"/>
    <n v="588.29999999999995"/>
    <n v="21.1"/>
    <n v="3.5866054733979268E-2"/>
    <n v="567.20000000000005"/>
    <s v="Debit Card"/>
    <s v="Desktop"/>
    <n v="15"/>
    <n v="14"/>
    <b v="1"/>
    <x v="0"/>
    <n v="4"/>
    <x v="2"/>
    <x v="2"/>
    <n v="3"/>
  </r>
  <r>
    <s v="ORD_000056"/>
    <s v="CUST_00056"/>
    <d v="2023-06-26T00:00:00"/>
    <n v="46"/>
    <s v="Male"/>
    <s v="Istanbul"/>
    <x v="1"/>
    <n v="112.19"/>
    <n v="2"/>
    <n v="224.38"/>
    <n v="24.94"/>
    <n v="0.11115072644620734"/>
    <n v="199.44"/>
    <s v="Debit Card"/>
    <s v="Mobile"/>
    <n v="14"/>
    <n v="6"/>
    <b v="1"/>
    <x v="0"/>
    <n v="7"/>
    <x v="2"/>
    <x v="2"/>
    <n v="5"/>
  </r>
  <r>
    <s v="ORD_000057"/>
    <s v="CUST_00057"/>
    <d v="2023-11-06T00:00:00"/>
    <n v="24"/>
    <s v="Female"/>
    <s v="Antalya"/>
    <x v="3"/>
    <n v="118.75"/>
    <n v="1"/>
    <n v="118.75"/>
    <n v="20.87"/>
    <n v="0.17574736842105265"/>
    <n v="97.88"/>
    <s v="Digital Wallet"/>
    <s v="Tablet"/>
    <n v="16"/>
    <n v="9"/>
    <b v="0"/>
    <x v="1"/>
    <n v="8"/>
    <x v="0"/>
    <x v="3"/>
    <n v="2"/>
  </r>
  <r>
    <s v="ORD_000058"/>
    <s v="CUST_00058"/>
    <d v="2023-05-16T00:00:00"/>
    <n v="31"/>
    <s v="Female"/>
    <s v="Bursa"/>
    <x v="4"/>
    <n v="211.08"/>
    <n v="4"/>
    <n v="844.32"/>
    <n v="0"/>
    <n v="0"/>
    <n v="844.32"/>
    <s v="Debit Card"/>
    <s v="Mobile"/>
    <n v="21"/>
    <n v="11"/>
    <b v="1"/>
    <x v="0"/>
    <n v="3"/>
    <x v="1"/>
    <x v="1"/>
    <n v="2"/>
  </r>
  <r>
    <s v="ORD_000059"/>
    <s v="CUST_00059"/>
    <d v="2024-02-18T00:00:00"/>
    <n v="38"/>
    <s v="Other"/>
    <s v="Gaziantep"/>
    <x v="1"/>
    <n v="187.42"/>
    <n v="1"/>
    <n v="187.42"/>
    <n v="0"/>
    <n v="0"/>
    <n v="187.42"/>
    <s v="Credit Card"/>
    <s v="Desktop"/>
    <n v="9"/>
    <n v="9"/>
    <b v="0"/>
    <x v="1"/>
    <n v="6"/>
    <x v="2"/>
    <x v="0"/>
    <n v="1"/>
  </r>
  <r>
    <s v="ORD_000060"/>
    <s v="CUST_00060"/>
    <d v="2023-01-23T00:00:00"/>
    <n v="46"/>
    <s v="Male"/>
    <s v="Ankara"/>
    <x v="2"/>
    <n v="19.739999999999998"/>
    <n v="1"/>
    <n v="19.739999999999998"/>
    <n v="0"/>
    <n v="0"/>
    <n v="19.739999999999998"/>
    <s v="Digital Wallet"/>
    <s v="Mobile"/>
    <n v="28"/>
    <n v="8"/>
    <b v="1"/>
    <x v="0"/>
    <n v="3"/>
    <x v="1"/>
    <x v="2"/>
    <n v="5"/>
  </r>
  <r>
    <s v="ORD_000061"/>
    <s v="CUST_00061"/>
    <d v="2024-01-09T00:00:00"/>
    <n v="29"/>
    <s v="Female"/>
    <s v="Adana"/>
    <x v="5"/>
    <n v="7159.45"/>
    <n v="3"/>
    <n v="21478.35"/>
    <n v="0"/>
    <n v="0"/>
    <n v="21478.35"/>
    <s v="Debit Card"/>
    <s v="Mobile"/>
    <n v="9"/>
    <n v="8"/>
    <b v="1"/>
    <x v="0"/>
    <n v="3"/>
    <x v="1"/>
    <x v="1"/>
    <n v="4"/>
  </r>
  <r>
    <s v="ORD_000062"/>
    <s v="CUST_00062"/>
    <d v="2023-08-24T00:00:00"/>
    <n v="32"/>
    <s v="Male"/>
    <s v="Antalya"/>
    <x v="4"/>
    <n v="1218.98"/>
    <n v="1"/>
    <n v="1218.98"/>
    <n v="0"/>
    <n v="0"/>
    <n v="1218.98"/>
    <s v="Debit Card"/>
    <s v="Mobile"/>
    <n v="3"/>
    <n v="11"/>
    <b v="1"/>
    <x v="0"/>
    <n v="10"/>
    <x v="0"/>
    <x v="1"/>
    <n v="4"/>
  </r>
  <r>
    <s v="ORD_000063"/>
    <s v="CUST_00063"/>
    <d v="2023-10-02T00:00:00"/>
    <n v="21"/>
    <s v="Male"/>
    <s v="Ankara"/>
    <x v="1"/>
    <n v="461.3"/>
    <n v="2"/>
    <n v="922.6"/>
    <n v="0"/>
    <n v="0"/>
    <n v="922.6"/>
    <s v="Cash on Delivery"/>
    <s v="Desktop"/>
    <n v="13"/>
    <n v="8"/>
    <b v="1"/>
    <x v="0"/>
    <n v="4"/>
    <x v="2"/>
    <x v="3"/>
    <n v="5"/>
  </r>
  <r>
    <s v="ORD_000064"/>
    <s v="CUST_00064"/>
    <d v="2023-03-05T00:00:00"/>
    <n v="20"/>
    <s v="Female"/>
    <s v="Bursa"/>
    <x v="0"/>
    <n v="137.93"/>
    <n v="3"/>
    <n v="413.79"/>
    <n v="36.19"/>
    <n v="8.7459822615336275E-2"/>
    <n v="377.6"/>
    <s v="Credit Card"/>
    <s v="Mobile"/>
    <n v="11"/>
    <n v="14"/>
    <b v="1"/>
    <x v="0"/>
    <n v="11"/>
    <x v="0"/>
    <x v="3"/>
    <n v="4"/>
  </r>
  <r>
    <s v="ORD_000065"/>
    <s v="CUST_00065"/>
    <d v="2023-07-13T00:00:00"/>
    <n v="44"/>
    <s v="Female"/>
    <s v="Istanbul"/>
    <x v="3"/>
    <n v="164.43"/>
    <n v="1"/>
    <n v="164.43"/>
    <n v="0"/>
    <n v="0"/>
    <n v="164.43"/>
    <s v="Debit Card"/>
    <s v="Desktop"/>
    <n v="6"/>
    <n v="10"/>
    <b v="1"/>
    <x v="0"/>
    <n v="3"/>
    <x v="1"/>
    <x v="0"/>
    <n v="4"/>
  </r>
  <r>
    <s v="ORD_000066"/>
    <s v="CUST_00066"/>
    <d v="2023-02-10T00:00:00"/>
    <n v="51"/>
    <s v="Female"/>
    <s v="Izmir"/>
    <x v="4"/>
    <n v="672.23"/>
    <n v="2"/>
    <n v="1344.46"/>
    <n v="0"/>
    <n v="0"/>
    <n v="1344.46"/>
    <s v="Digital Wallet"/>
    <s v="Desktop"/>
    <n v="33"/>
    <n v="10"/>
    <b v="1"/>
    <x v="0"/>
    <n v="7"/>
    <x v="2"/>
    <x v="2"/>
    <n v="4"/>
  </r>
  <r>
    <s v="ORD_000067"/>
    <s v="CUST_00067"/>
    <d v="2023-10-10T00:00:00"/>
    <n v="34"/>
    <s v="Male"/>
    <s v="Konya"/>
    <x v="7"/>
    <n v="515.91999999999996"/>
    <n v="3"/>
    <n v="1547.7599999999998"/>
    <n v="0"/>
    <n v="0"/>
    <n v="1547.76"/>
    <s v="Credit Card"/>
    <s v="Mobile"/>
    <n v="14"/>
    <n v="7"/>
    <b v="1"/>
    <x v="0"/>
    <n v="3"/>
    <x v="1"/>
    <x v="1"/>
    <n v="1"/>
  </r>
  <r>
    <s v="ORD_000068"/>
    <s v="CUST_00068"/>
    <d v="2023-05-31T00:00:00"/>
    <n v="47"/>
    <s v="Female"/>
    <s v="Izmir"/>
    <x v="5"/>
    <n v="3208.37"/>
    <n v="1"/>
    <n v="3208.37"/>
    <n v="595.11"/>
    <n v="0.1854867113207018"/>
    <n v="2613.2600000000002"/>
    <s v="Credit Card"/>
    <s v="Tablet"/>
    <n v="14"/>
    <n v="13"/>
    <b v="1"/>
    <x v="0"/>
    <n v="5"/>
    <x v="2"/>
    <x v="2"/>
    <n v="3"/>
  </r>
  <r>
    <s v="ORD_000069"/>
    <s v="CUST_00069"/>
    <d v="2024-02-29T00:00:00"/>
    <n v="39"/>
    <s v="Male"/>
    <s v="Gaziantep"/>
    <x v="2"/>
    <n v="103.32"/>
    <n v="1"/>
    <n v="103.32"/>
    <n v="0"/>
    <n v="0"/>
    <n v="103.32"/>
    <s v="Digital Wallet"/>
    <s v="Mobile"/>
    <n v="18"/>
    <n v="8"/>
    <b v="1"/>
    <x v="0"/>
    <n v="1"/>
    <x v="1"/>
    <x v="0"/>
    <n v="2"/>
  </r>
  <r>
    <s v="ORD_000070"/>
    <s v="CUST_00070"/>
    <d v="2023-11-18T00:00:00"/>
    <n v="27"/>
    <s v="Female"/>
    <s v="Bursa"/>
    <x v="7"/>
    <n v="213.31"/>
    <n v="1"/>
    <n v="213.31"/>
    <n v="19.59"/>
    <n v="9.1838169799821859E-2"/>
    <n v="193.72"/>
    <s v="Credit Card"/>
    <s v="Mobile"/>
    <n v="27"/>
    <n v="8"/>
    <b v="1"/>
    <x v="0"/>
    <n v="7"/>
    <x v="2"/>
    <x v="1"/>
    <n v="5"/>
  </r>
  <r>
    <s v="ORD_000071"/>
    <s v="CUST_00071"/>
    <d v="2023-11-13T00:00:00"/>
    <n v="39"/>
    <s v="Male"/>
    <s v="Istanbul"/>
    <x v="0"/>
    <n v="52.97"/>
    <n v="1"/>
    <n v="52.97"/>
    <n v="0"/>
    <n v="0"/>
    <n v="52.97"/>
    <s v="Debit Card"/>
    <s v="Mobile"/>
    <n v="12"/>
    <n v="6"/>
    <b v="1"/>
    <x v="0"/>
    <n v="4"/>
    <x v="2"/>
    <x v="0"/>
    <n v="3"/>
  </r>
  <r>
    <s v="ORD_000072"/>
    <s v="CUST_00072"/>
    <d v="2024-03-17T00:00:00"/>
    <n v="53"/>
    <s v="Male"/>
    <s v="Bursa"/>
    <x v="4"/>
    <n v="604.92999999999995"/>
    <n v="1"/>
    <n v="604.92999999999995"/>
    <n v="0"/>
    <n v="0"/>
    <n v="604.92999999999995"/>
    <s v="Debit Card"/>
    <s v="Mobile"/>
    <n v="9"/>
    <n v="12"/>
    <b v="1"/>
    <x v="0"/>
    <n v="5"/>
    <x v="2"/>
    <x v="2"/>
    <n v="4"/>
  </r>
  <r>
    <s v="ORD_000073"/>
    <s v="CUST_00073"/>
    <d v="2023-07-05T00:00:00"/>
    <n v="34"/>
    <s v="Female"/>
    <s v="Izmir"/>
    <x v="1"/>
    <n v="437.59"/>
    <n v="2"/>
    <n v="875.18"/>
    <n v="0"/>
    <n v="0"/>
    <n v="875.18"/>
    <s v="Digital Wallet"/>
    <s v="Mobile"/>
    <n v="10"/>
    <n v="11"/>
    <b v="1"/>
    <x v="0"/>
    <n v="4"/>
    <x v="2"/>
    <x v="1"/>
    <n v="4"/>
  </r>
  <r>
    <s v="ORD_000074"/>
    <s v="CUST_00074"/>
    <d v="2023-10-23T00:00:00"/>
    <n v="53"/>
    <s v="Female"/>
    <s v="Ankara"/>
    <x v="5"/>
    <n v="772.83"/>
    <n v="2"/>
    <n v="1545.66"/>
    <n v="0"/>
    <n v="0"/>
    <n v="1545.66"/>
    <s v="Digital Wallet"/>
    <s v="Mobile"/>
    <n v="27"/>
    <n v="7"/>
    <b v="0"/>
    <x v="1"/>
    <n v="7"/>
    <x v="2"/>
    <x v="2"/>
    <n v="3"/>
  </r>
  <r>
    <s v="ORD_000075"/>
    <s v="CUST_00075"/>
    <d v="2023-04-09T00:00:00"/>
    <n v="18"/>
    <s v="Male"/>
    <s v="Istanbul"/>
    <x v="3"/>
    <n v="52.78"/>
    <n v="5"/>
    <n v="263.89999999999998"/>
    <n v="13.58"/>
    <n v="5.1458885941644564E-2"/>
    <n v="250.32"/>
    <s v="Bank Transfer"/>
    <s v="Mobile"/>
    <n v="24"/>
    <n v="9"/>
    <b v="0"/>
    <x v="1"/>
    <n v="4"/>
    <x v="2"/>
    <x v="3"/>
    <n v="5"/>
  </r>
  <r>
    <s v="ORD_000076"/>
    <s v="CUST_00076"/>
    <d v="2023-12-27T00:00:00"/>
    <n v="44"/>
    <s v="Male"/>
    <s v="Izmir"/>
    <x v="2"/>
    <n v="21.9"/>
    <n v="4"/>
    <n v="87.6"/>
    <n v="4.97"/>
    <n v="5.6735159817351596E-2"/>
    <n v="82.63"/>
    <s v="Credit Card"/>
    <s v="Tablet"/>
    <n v="34"/>
    <n v="14"/>
    <b v="1"/>
    <x v="0"/>
    <n v="6"/>
    <x v="2"/>
    <x v="0"/>
    <n v="5"/>
  </r>
  <r>
    <s v="ORD_000077"/>
    <s v="CUST_00077"/>
    <d v="2023-02-05T00:00:00"/>
    <n v="36"/>
    <s v="Female"/>
    <s v="Istanbul"/>
    <x v="1"/>
    <n v="165.02"/>
    <n v="1"/>
    <n v="165.02"/>
    <n v="0"/>
    <n v="0"/>
    <n v="165.02"/>
    <s v="Digital Wallet"/>
    <s v="Desktop"/>
    <n v="7"/>
    <n v="13"/>
    <b v="1"/>
    <x v="0"/>
    <n v="3"/>
    <x v="1"/>
    <x v="0"/>
    <n v="2"/>
  </r>
  <r>
    <s v="ORD_000078"/>
    <s v="CUST_00078"/>
    <d v="2023-01-24T00:00:00"/>
    <n v="31"/>
    <s v="Male"/>
    <s v="Istanbul"/>
    <x v="2"/>
    <n v="39.770000000000003"/>
    <n v="1"/>
    <n v="39.770000000000003"/>
    <n v="0"/>
    <n v="0"/>
    <n v="39.770000000000003"/>
    <s v="Digital Wallet"/>
    <s v="Mobile"/>
    <n v="12"/>
    <n v="6"/>
    <b v="0"/>
    <x v="1"/>
    <n v="9"/>
    <x v="0"/>
    <x v="1"/>
    <n v="5"/>
  </r>
  <r>
    <s v="ORD_000079"/>
    <s v="CUST_00079"/>
    <d v="2023-12-05T00:00:00"/>
    <n v="36"/>
    <s v="Male"/>
    <s v="Izmir"/>
    <x v="3"/>
    <n v="232.93"/>
    <n v="2"/>
    <n v="465.86"/>
    <n v="0"/>
    <n v="0"/>
    <n v="465.86"/>
    <s v="Credit Card"/>
    <s v="Mobile"/>
    <n v="11"/>
    <n v="6"/>
    <b v="1"/>
    <x v="0"/>
    <n v="4"/>
    <x v="2"/>
    <x v="0"/>
    <n v="4"/>
  </r>
  <r>
    <s v="ORD_000080"/>
    <s v="CUST_00080"/>
    <d v="2023-04-27T00:00:00"/>
    <n v="18"/>
    <s v="Male"/>
    <s v="Ankara"/>
    <x v="6"/>
    <n v="252.16"/>
    <n v="1"/>
    <n v="252.16"/>
    <n v="0"/>
    <n v="0"/>
    <n v="252.16"/>
    <s v="Cash on Delivery"/>
    <s v="Desktop"/>
    <n v="47"/>
    <n v="9"/>
    <b v="1"/>
    <x v="0"/>
    <n v="6"/>
    <x v="2"/>
    <x v="3"/>
    <n v="5"/>
  </r>
  <r>
    <s v="ORD_000081"/>
    <s v="CUST_00081"/>
    <d v="2024-01-31T00:00:00"/>
    <n v="32"/>
    <s v="Male"/>
    <s v="Kayseri"/>
    <x v="5"/>
    <n v="2699.1"/>
    <n v="2"/>
    <n v="5398.2"/>
    <n v="480.87"/>
    <n v="8.9079693231077034E-2"/>
    <n v="4917.33"/>
    <s v="Bank Transfer"/>
    <s v="Desktop"/>
    <n v="23"/>
    <n v="8"/>
    <b v="0"/>
    <x v="1"/>
    <n v="11"/>
    <x v="0"/>
    <x v="1"/>
    <n v="3"/>
  </r>
  <r>
    <s v="ORD_000082"/>
    <s v="CUST_00082"/>
    <d v="2023-05-29T00:00:00"/>
    <n v="39"/>
    <s v="Female"/>
    <s v="Ankara"/>
    <x v="4"/>
    <n v="255.73"/>
    <n v="5"/>
    <n v="1278.6499999999999"/>
    <n v="0"/>
    <n v="0"/>
    <n v="1278.6500000000001"/>
    <s v="Credit Card"/>
    <s v="Mobile"/>
    <n v="12"/>
    <n v="6"/>
    <b v="0"/>
    <x v="1"/>
    <n v="6"/>
    <x v="2"/>
    <x v="0"/>
    <n v="3"/>
  </r>
  <r>
    <s v="ORD_000083"/>
    <s v="CUST_00083"/>
    <d v="2023-02-10T00:00:00"/>
    <n v="52"/>
    <s v="Female"/>
    <s v="Adana"/>
    <x v="2"/>
    <n v="42.89"/>
    <n v="1"/>
    <n v="42.89"/>
    <n v="0"/>
    <n v="0"/>
    <n v="42.89"/>
    <s v="Digital Wallet"/>
    <s v="Desktop"/>
    <n v="26"/>
    <n v="10"/>
    <b v="1"/>
    <x v="0"/>
    <n v="8"/>
    <x v="0"/>
    <x v="2"/>
    <n v="5"/>
  </r>
  <r>
    <s v="ORD_000084"/>
    <s v="CUST_00084"/>
    <d v="2024-03-13T00:00:00"/>
    <n v="28"/>
    <s v="Female"/>
    <s v="Bursa"/>
    <x v="5"/>
    <n v="2289.9"/>
    <n v="1"/>
    <n v="2289.9"/>
    <n v="0"/>
    <n v="0"/>
    <n v="2289.9"/>
    <s v="Digital Wallet"/>
    <s v="Mobile"/>
    <n v="11"/>
    <n v="8"/>
    <b v="0"/>
    <x v="1"/>
    <n v="6"/>
    <x v="2"/>
    <x v="1"/>
    <n v="5"/>
  </r>
  <r>
    <s v="ORD_000085"/>
    <s v="CUST_00085"/>
    <d v="2023-04-30T00:00:00"/>
    <n v="25"/>
    <s v="Other"/>
    <s v="Adana"/>
    <x v="2"/>
    <n v="53.09"/>
    <n v="5"/>
    <n v="265.45000000000005"/>
    <n v="0"/>
    <n v="0"/>
    <n v="265.45"/>
    <s v="Debit Card"/>
    <s v="Mobile"/>
    <n v="5"/>
    <n v="3"/>
    <b v="0"/>
    <x v="1"/>
    <n v="6"/>
    <x v="2"/>
    <x v="3"/>
    <n v="4"/>
  </r>
  <r>
    <s v="ORD_000086"/>
    <s v="CUST_00086"/>
    <d v="2024-03-19T00:00:00"/>
    <n v="28"/>
    <s v="Male"/>
    <s v="Ankara"/>
    <x v="1"/>
    <n v="331.93"/>
    <n v="1"/>
    <n v="331.93"/>
    <n v="57.9"/>
    <n v="0.17443436869219414"/>
    <n v="274.02999999999997"/>
    <s v="Bank Transfer"/>
    <s v="Desktop"/>
    <n v="15"/>
    <n v="17"/>
    <b v="0"/>
    <x v="1"/>
    <n v="5"/>
    <x v="2"/>
    <x v="1"/>
    <n v="5"/>
  </r>
  <r>
    <s v="ORD_000087"/>
    <s v="CUST_00087"/>
    <d v="2023-02-21T00:00:00"/>
    <n v="45"/>
    <s v="Male"/>
    <s v="Kayseri"/>
    <x v="2"/>
    <n v="22.1"/>
    <n v="2"/>
    <n v="44.2"/>
    <n v="4.92"/>
    <n v="0.11131221719457013"/>
    <n v="39.28"/>
    <s v="Digital Wallet"/>
    <s v="Desktop"/>
    <n v="9"/>
    <n v="7"/>
    <b v="0"/>
    <x v="1"/>
    <n v="2"/>
    <x v="1"/>
    <x v="0"/>
    <n v="5"/>
  </r>
  <r>
    <s v="ORD_000088"/>
    <s v="CUST_00088"/>
    <d v="2023-07-14T00:00:00"/>
    <n v="38"/>
    <s v="Male"/>
    <s v="Bursa"/>
    <x v="6"/>
    <n v="156.28"/>
    <n v="5"/>
    <n v="781.4"/>
    <n v="0"/>
    <n v="0"/>
    <n v="781.4"/>
    <s v="Digital Wallet"/>
    <s v="Desktop"/>
    <n v="6"/>
    <n v="7"/>
    <b v="1"/>
    <x v="0"/>
    <n v="4"/>
    <x v="2"/>
    <x v="0"/>
    <n v="3"/>
  </r>
  <r>
    <s v="ORD_000089"/>
    <s v="CUST_00089"/>
    <d v="2023-05-23T00:00:00"/>
    <n v="28"/>
    <s v="Male"/>
    <s v="Gaziantep"/>
    <x v="1"/>
    <n v="386.18"/>
    <n v="2"/>
    <n v="772.36"/>
    <n v="83.42"/>
    <n v="0.10800662903309338"/>
    <n v="688.94"/>
    <s v="Credit Card"/>
    <s v="Mobile"/>
    <n v="7"/>
    <n v="10"/>
    <b v="1"/>
    <x v="0"/>
    <n v="3"/>
    <x v="1"/>
    <x v="1"/>
    <n v="4"/>
  </r>
  <r>
    <s v="ORD_000090"/>
    <s v="CUST_00090"/>
    <d v="2023-08-21T00:00:00"/>
    <n v="41"/>
    <s v="Male"/>
    <s v="Ankara"/>
    <x v="1"/>
    <n v="112.21"/>
    <n v="1"/>
    <n v="112.21"/>
    <n v="0"/>
    <n v="0"/>
    <n v="112.21"/>
    <s v="Debit Card"/>
    <s v="Mobile"/>
    <n v="24"/>
    <n v="8"/>
    <b v="1"/>
    <x v="0"/>
    <n v="5"/>
    <x v="2"/>
    <x v="0"/>
    <n v="3"/>
  </r>
  <r>
    <s v="ORD_000091"/>
    <s v="CUST_00091"/>
    <d v="2023-11-22T00:00:00"/>
    <n v="36"/>
    <s v="Female"/>
    <s v="Istanbul"/>
    <x v="5"/>
    <n v="305.23"/>
    <n v="5"/>
    <n v="1526.15"/>
    <n v="0"/>
    <n v="0"/>
    <n v="1526.15"/>
    <s v="Debit Card"/>
    <s v="Desktop"/>
    <n v="46"/>
    <n v="5"/>
    <b v="0"/>
    <x v="1"/>
    <n v="2"/>
    <x v="1"/>
    <x v="0"/>
    <n v="5"/>
  </r>
  <r>
    <s v="ORD_000092"/>
    <s v="CUST_00092"/>
    <d v="2024-03-03T00:00:00"/>
    <n v="46"/>
    <s v="Female"/>
    <s v="Antalya"/>
    <x v="7"/>
    <n v="192.94"/>
    <n v="3"/>
    <n v="578.81999999999994"/>
    <n v="22.26"/>
    <n v="3.8457551570436413E-2"/>
    <n v="556.55999999999995"/>
    <s v="Digital Wallet"/>
    <s v="Tablet"/>
    <n v="9"/>
    <n v="6"/>
    <b v="1"/>
    <x v="0"/>
    <n v="5"/>
    <x v="2"/>
    <x v="2"/>
    <n v="5"/>
  </r>
  <r>
    <s v="ORD_000093"/>
    <s v="CUST_00093"/>
    <d v="2023-07-06T00:00:00"/>
    <n v="26"/>
    <s v="Male"/>
    <s v="Istanbul"/>
    <x v="3"/>
    <n v="195.25"/>
    <n v="3"/>
    <n v="585.75"/>
    <n v="46.36"/>
    <n v="7.9146393512590701E-2"/>
    <n v="539.39"/>
    <s v="Debit Card"/>
    <s v="Mobile"/>
    <n v="21"/>
    <n v="12"/>
    <b v="1"/>
    <x v="0"/>
    <n v="11"/>
    <x v="0"/>
    <x v="1"/>
    <n v="4"/>
  </r>
  <r>
    <s v="ORD_000094"/>
    <s v="CUST_00094"/>
    <d v="2023-03-25T00:00:00"/>
    <n v="31"/>
    <s v="Female"/>
    <s v="Izmir"/>
    <x v="2"/>
    <n v="23.79"/>
    <n v="4"/>
    <n v="95.16"/>
    <n v="6.27"/>
    <n v="6.5889029003783101E-2"/>
    <n v="88.89"/>
    <s v="Credit Card"/>
    <s v="Mobile"/>
    <n v="15"/>
    <n v="9"/>
    <b v="0"/>
    <x v="1"/>
    <n v="11"/>
    <x v="0"/>
    <x v="1"/>
    <n v="5"/>
  </r>
  <r>
    <s v="ORD_000095"/>
    <s v="CUST_00095"/>
    <d v="2023-07-09T00:00:00"/>
    <n v="30"/>
    <s v="Female"/>
    <s v="Istanbul"/>
    <x v="4"/>
    <n v="583.94000000000005"/>
    <n v="2"/>
    <n v="1167.8800000000001"/>
    <n v="0"/>
    <n v="0"/>
    <n v="1167.8800000000001"/>
    <s v="Credit Card"/>
    <s v="Desktop"/>
    <n v="4"/>
    <n v="8"/>
    <b v="0"/>
    <x v="1"/>
    <n v="7"/>
    <x v="2"/>
    <x v="1"/>
    <n v="5"/>
  </r>
  <r>
    <s v="ORD_000096"/>
    <s v="CUST_00096"/>
    <d v="2023-07-01T00:00:00"/>
    <n v="18"/>
    <s v="Female"/>
    <s v="Antalya"/>
    <x v="0"/>
    <n v="14.65"/>
    <n v="1"/>
    <n v="14.65"/>
    <n v="0"/>
    <n v="0"/>
    <n v="14.65"/>
    <s v="Debit Card"/>
    <s v="Mobile"/>
    <n v="37"/>
    <n v="7"/>
    <b v="1"/>
    <x v="0"/>
    <n v="4"/>
    <x v="2"/>
    <x v="3"/>
    <n v="3"/>
  </r>
  <r>
    <s v="ORD_000097"/>
    <s v="CUST_00097"/>
    <d v="2023-04-18T00:00:00"/>
    <n v="38"/>
    <s v="Female"/>
    <s v="Eskisehir"/>
    <x v="1"/>
    <n v="123.37"/>
    <n v="5"/>
    <n v="616.85"/>
    <n v="0"/>
    <n v="0"/>
    <n v="616.85"/>
    <s v="Digital Wallet"/>
    <s v="Mobile"/>
    <n v="30"/>
    <n v="11"/>
    <b v="1"/>
    <x v="0"/>
    <n v="5"/>
    <x v="2"/>
    <x v="0"/>
    <n v="4"/>
  </r>
  <r>
    <s v="ORD_000098"/>
    <s v="CUST_00098"/>
    <d v="2023-12-10T00:00:00"/>
    <n v="38"/>
    <s v="Female"/>
    <s v="Izmir"/>
    <x v="7"/>
    <n v="499.36"/>
    <n v="1"/>
    <n v="499.36"/>
    <n v="54.45"/>
    <n v="0.10903957065043256"/>
    <n v="444.91"/>
    <s v="Digital Wallet"/>
    <s v="Mobile"/>
    <n v="13"/>
    <n v="13"/>
    <b v="1"/>
    <x v="0"/>
    <n v="9"/>
    <x v="0"/>
    <x v="0"/>
    <n v="4"/>
  </r>
  <r>
    <s v="ORD_000099"/>
    <s v="CUST_00099"/>
    <d v="2023-05-17T00:00:00"/>
    <n v="35"/>
    <s v="Female"/>
    <s v="Gaziantep"/>
    <x v="1"/>
    <n v="235.59"/>
    <n v="1"/>
    <n v="235.59"/>
    <n v="0"/>
    <n v="0"/>
    <n v="235.59"/>
    <s v="Debit Card"/>
    <s v="Desktop"/>
    <n v="14"/>
    <n v="8"/>
    <b v="1"/>
    <x v="0"/>
    <n v="6"/>
    <x v="2"/>
    <x v="1"/>
    <n v="4"/>
  </r>
  <r>
    <s v="ORD_000100"/>
    <s v="CUST_00100"/>
    <d v="2023-12-26T00:00:00"/>
    <n v="32"/>
    <s v="Female"/>
    <s v="Izmir"/>
    <x v="7"/>
    <n v="861.36"/>
    <n v="2"/>
    <n v="1722.72"/>
    <n v="0"/>
    <n v="0"/>
    <n v="1722.72"/>
    <s v="Credit Card"/>
    <s v="Mobile"/>
    <n v="21"/>
    <n v="6"/>
    <b v="0"/>
    <x v="1"/>
    <n v="14"/>
    <x v="0"/>
    <x v="1"/>
    <n v="5"/>
  </r>
  <r>
    <s v="ORD_000101"/>
    <s v="CUST_00101"/>
    <d v="2023-12-16T00:00:00"/>
    <n v="18"/>
    <s v="Female"/>
    <s v="Izmir"/>
    <x v="7"/>
    <n v="572.97"/>
    <n v="4"/>
    <n v="2291.88"/>
    <n v="0"/>
    <n v="0"/>
    <n v="2291.88"/>
    <s v="Credit Card"/>
    <s v="Mobile"/>
    <n v="64"/>
    <n v="6"/>
    <b v="1"/>
    <x v="0"/>
    <n v="7"/>
    <x v="2"/>
    <x v="3"/>
    <n v="3"/>
  </r>
  <r>
    <s v="ORD_000102"/>
    <s v="CUST_00102"/>
    <d v="2023-11-28T00:00:00"/>
    <n v="29"/>
    <s v="Male"/>
    <s v="Kayseri"/>
    <x v="4"/>
    <n v="262.87"/>
    <n v="1"/>
    <n v="262.87"/>
    <n v="42.7"/>
    <n v="0.16243770685129533"/>
    <n v="220.17"/>
    <s v="Credit Card"/>
    <s v="Mobile"/>
    <n v="17"/>
    <n v="8"/>
    <b v="1"/>
    <x v="0"/>
    <n v="7"/>
    <x v="2"/>
    <x v="1"/>
    <n v="4"/>
  </r>
  <r>
    <s v="ORD_000103"/>
    <s v="CUST_00103"/>
    <d v="2023-02-06T00:00:00"/>
    <n v="30"/>
    <s v="Male"/>
    <s v="Konya"/>
    <x v="7"/>
    <n v="367.4"/>
    <n v="2"/>
    <n v="734.8"/>
    <n v="0"/>
    <n v="0"/>
    <n v="734.8"/>
    <s v="Digital Wallet"/>
    <s v="Mobile"/>
    <n v="22"/>
    <n v="9"/>
    <b v="1"/>
    <x v="0"/>
    <n v="7"/>
    <x v="2"/>
    <x v="1"/>
    <n v="5"/>
  </r>
  <r>
    <s v="ORD_000104"/>
    <s v="CUST_00104"/>
    <d v="2023-11-08T00:00:00"/>
    <n v="25"/>
    <s v="Female"/>
    <s v="Gaziantep"/>
    <x v="4"/>
    <n v="417.84"/>
    <n v="5"/>
    <n v="2089.1999999999998"/>
    <n v="52.71"/>
    <n v="2.5229753015508331E-2"/>
    <n v="2036.49"/>
    <s v="Credit Card"/>
    <s v="Desktop"/>
    <n v="6"/>
    <n v="14"/>
    <b v="1"/>
    <x v="0"/>
    <n v="6"/>
    <x v="2"/>
    <x v="3"/>
    <n v="2"/>
  </r>
  <r>
    <s v="ORD_000105"/>
    <s v="CUST_00105"/>
    <d v="2023-11-22T00:00:00"/>
    <n v="33"/>
    <s v="Male"/>
    <s v="Ankara"/>
    <x v="5"/>
    <n v="187.58"/>
    <n v="1"/>
    <n v="187.58"/>
    <n v="17.72"/>
    <n v="9.4466361019298423E-2"/>
    <n v="169.86"/>
    <s v="Debit Card"/>
    <s v="Mobile"/>
    <n v="5"/>
    <n v="6"/>
    <b v="0"/>
    <x v="1"/>
    <n v="6"/>
    <x v="2"/>
    <x v="1"/>
    <n v="4"/>
  </r>
  <r>
    <s v="ORD_000106"/>
    <s v="CUST_00106"/>
    <d v="2023-03-29T00:00:00"/>
    <n v="39"/>
    <s v="Male"/>
    <s v="Bursa"/>
    <x v="1"/>
    <n v="626.76"/>
    <n v="4"/>
    <n v="2507.04"/>
    <n v="0"/>
    <n v="0"/>
    <n v="2507.04"/>
    <s v="Digital Wallet"/>
    <s v="Mobile"/>
    <n v="29"/>
    <n v="8"/>
    <b v="1"/>
    <x v="0"/>
    <n v="6"/>
    <x v="2"/>
    <x v="0"/>
    <n v="3"/>
  </r>
  <r>
    <s v="ORD_000107"/>
    <s v="CUST_00107"/>
    <d v="2023-10-01T00:00:00"/>
    <n v="57"/>
    <s v="Female"/>
    <s v="Istanbul"/>
    <x v="4"/>
    <n v="593.52"/>
    <n v="3"/>
    <n v="1780.56"/>
    <n v="0"/>
    <n v="0"/>
    <n v="1780.56"/>
    <s v="Cash on Delivery"/>
    <s v="Mobile"/>
    <n v="12"/>
    <n v="14"/>
    <b v="1"/>
    <x v="0"/>
    <n v="6"/>
    <x v="2"/>
    <x v="4"/>
    <n v="4"/>
  </r>
  <r>
    <s v="ORD_000108"/>
    <s v="CUST_00108"/>
    <d v="2024-01-09T00:00:00"/>
    <n v="37"/>
    <s v="Male"/>
    <s v="Izmir"/>
    <x v="3"/>
    <n v="107.61"/>
    <n v="1"/>
    <n v="107.61"/>
    <n v="0"/>
    <n v="0"/>
    <n v="107.61"/>
    <s v="Cash on Delivery"/>
    <s v="Tablet"/>
    <n v="26"/>
    <n v="5"/>
    <b v="1"/>
    <x v="0"/>
    <n v="2"/>
    <x v="1"/>
    <x v="0"/>
    <n v="5"/>
  </r>
  <r>
    <s v="ORD_000109"/>
    <s v="CUST_00109"/>
    <d v="2023-05-06T00:00:00"/>
    <n v="38"/>
    <s v="Female"/>
    <s v="Izmir"/>
    <x v="6"/>
    <n v="226.86"/>
    <n v="1"/>
    <n v="226.86"/>
    <n v="0"/>
    <n v="0"/>
    <n v="226.86"/>
    <s v="Cash on Delivery"/>
    <s v="Mobile"/>
    <n v="23"/>
    <n v="7"/>
    <b v="1"/>
    <x v="0"/>
    <n v="1"/>
    <x v="1"/>
    <x v="0"/>
    <n v="3"/>
  </r>
  <r>
    <s v="ORD_000110"/>
    <s v="CUST_00110"/>
    <d v="2023-03-25T00:00:00"/>
    <n v="34"/>
    <s v="Female"/>
    <s v="Gaziantep"/>
    <x v="1"/>
    <n v="368.43"/>
    <n v="2"/>
    <n v="736.86"/>
    <n v="26.91"/>
    <n v="3.6519827375620879E-2"/>
    <n v="709.95"/>
    <s v="Digital Wallet"/>
    <s v="Desktop"/>
    <n v="8"/>
    <n v="12"/>
    <b v="0"/>
    <x v="1"/>
    <n v="3"/>
    <x v="1"/>
    <x v="1"/>
    <n v="5"/>
  </r>
  <r>
    <s v="ORD_000111"/>
    <s v="CUST_00111"/>
    <d v="2023-08-25T00:00:00"/>
    <n v="18"/>
    <s v="Female"/>
    <s v="Konya"/>
    <x v="6"/>
    <n v="245.23"/>
    <n v="1"/>
    <n v="245.23"/>
    <n v="0"/>
    <n v="0"/>
    <n v="245.23"/>
    <s v="Digital Wallet"/>
    <s v="Mobile"/>
    <n v="12"/>
    <n v="12"/>
    <b v="1"/>
    <x v="0"/>
    <n v="4"/>
    <x v="2"/>
    <x v="3"/>
    <n v="4"/>
  </r>
  <r>
    <s v="ORD_000112"/>
    <s v="CUST_00112"/>
    <d v="2023-07-14T00:00:00"/>
    <n v="34"/>
    <s v="Female"/>
    <s v="Izmir"/>
    <x v="3"/>
    <n v="73.66"/>
    <n v="1"/>
    <n v="73.66"/>
    <n v="18.95"/>
    <n v="0.25726310073309799"/>
    <n v="54.71"/>
    <s v="Digital Wallet"/>
    <s v="Mobile"/>
    <n v="11"/>
    <n v="9"/>
    <b v="1"/>
    <x v="0"/>
    <n v="10"/>
    <x v="0"/>
    <x v="1"/>
    <n v="3"/>
  </r>
  <r>
    <s v="ORD_000113"/>
    <s v="CUST_00113"/>
    <d v="2023-05-19T00:00:00"/>
    <n v="35"/>
    <s v="Male"/>
    <s v="Istanbul"/>
    <x v="2"/>
    <n v="36.14"/>
    <n v="2"/>
    <n v="72.28"/>
    <n v="3.85"/>
    <n v="5.3265080243497513E-2"/>
    <n v="68.430000000000007"/>
    <s v="Bank Transfer"/>
    <s v="Mobile"/>
    <n v="9"/>
    <n v="11"/>
    <b v="0"/>
    <x v="1"/>
    <n v="9"/>
    <x v="0"/>
    <x v="1"/>
    <n v="4"/>
  </r>
  <r>
    <s v="ORD_000114"/>
    <s v="CUST_00114"/>
    <d v="2023-11-24T00:00:00"/>
    <n v="64"/>
    <s v="Female"/>
    <s v="Konya"/>
    <x v="3"/>
    <n v="180.82"/>
    <n v="4"/>
    <n v="723.28"/>
    <n v="0"/>
    <n v="0"/>
    <n v="723.28"/>
    <s v="Cash on Delivery"/>
    <s v="Mobile"/>
    <n v="7"/>
    <n v="8"/>
    <b v="0"/>
    <x v="1"/>
    <n v="3"/>
    <x v="1"/>
    <x v="4"/>
    <n v="5"/>
  </r>
  <r>
    <s v="ORD_000115"/>
    <s v="CUST_00115"/>
    <d v="2023-12-19T00:00:00"/>
    <n v="32"/>
    <s v="Female"/>
    <s v="Istanbul"/>
    <x v="5"/>
    <n v="3964.15"/>
    <n v="1"/>
    <n v="3964.15"/>
    <n v="820.08"/>
    <n v="0.2068741092037385"/>
    <n v="3144.07"/>
    <s v="Debit Card"/>
    <s v="Desktop"/>
    <n v="19"/>
    <n v="15"/>
    <b v="0"/>
    <x v="1"/>
    <n v="4"/>
    <x v="2"/>
    <x v="1"/>
    <n v="2"/>
  </r>
  <r>
    <s v="ORD_000116"/>
    <s v="CUST_00116"/>
    <d v="2023-10-13T00:00:00"/>
    <n v="38"/>
    <s v="Other"/>
    <s v="Antalya"/>
    <x v="2"/>
    <n v="16.899999999999999"/>
    <n v="2"/>
    <n v="33.799999999999997"/>
    <n v="0"/>
    <n v="0"/>
    <n v="33.799999999999997"/>
    <s v="Debit Card"/>
    <s v="Mobile"/>
    <n v="8"/>
    <n v="6"/>
    <b v="1"/>
    <x v="0"/>
    <n v="5"/>
    <x v="2"/>
    <x v="0"/>
    <n v="4"/>
  </r>
  <r>
    <s v="ORD_000117"/>
    <s v="CUST_00117"/>
    <d v="2023-04-23T00:00:00"/>
    <n v="34"/>
    <s v="Male"/>
    <s v="Istanbul"/>
    <x v="2"/>
    <n v="89.46"/>
    <n v="1"/>
    <n v="89.46"/>
    <n v="0"/>
    <n v="0"/>
    <n v="89.46"/>
    <s v="Debit Card"/>
    <s v="Desktop"/>
    <n v="7"/>
    <n v="5"/>
    <b v="1"/>
    <x v="0"/>
    <n v="15"/>
    <x v="3"/>
    <x v="1"/>
    <n v="5"/>
  </r>
  <r>
    <s v="ORD_000118"/>
    <s v="CUST_00118"/>
    <d v="2023-12-17T00:00:00"/>
    <n v="20"/>
    <s v="Male"/>
    <s v="Ankara"/>
    <x v="7"/>
    <n v="367.58"/>
    <n v="3"/>
    <n v="1102.74"/>
    <n v="58.54"/>
    <n v="5.3085949543863468E-2"/>
    <n v="1044.2"/>
    <s v="Digital Wallet"/>
    <s v="Tablet"/>
    <n v="13"/>
    <n v="12"/>
    <b v="0"/>
    <x v="1"/>
    <n v="6"/>
    <x v="2"/>
    <x v="3"/>
    <n v="4"/>
  </r>
  <r>
    <s v="ORD_000119"/>
    <s v="CUST_00119"/>
    <d v="2023-06-16T00:00:00"/>
    <n v="48"/>
    <s v="Female"/>
    <s v="Eskisehir"/>
    <x v="3"/>
    <n v="89.98"/>
    <n v="1"/>
    <n v="89.98"/>
    <n v="0"/>
    <n v="0"/>
    <n v="89.98"/>
    <s v="Digital Wallet"/>
    <s v="Desktop"/>
    <n v="9"/>
    <n v="9"/>
    <b v="0"/>
    <x v="1"/>
    <n v="14"/>
    <x v="0"/>
    <x v="2"/>
    <n v="2"/>
  </r>
  <r>
    <s v="ORD_000120"/>
    <s v="CUST_00120"/>
    <d v="2024-03-07T00:00:00"/>
    <n v="44"/>
    <s v="Male"/>
    <s v="Istanbul"/>
    <x v="0"/>
    <n v="7.89"/>
    <n v="1"/>
    <n v="7.89"/>
    <n v="0"/>
    <n v="0"/>
    <n v="7.89"/>
    <s v="Bank Transfer"/>
    <s v="Tablet"/>
    <n v="12"/>
    <n v="9"/>
    <b v="1"/>
    <x v="0"/>
    <n v="7"/>
    <x v="2"/>
    <x v="0"/>
    <n v="4"/>
  </r>
  <r>
    <s v="ORD_000121"/>
    <s v="CUST_00121"/>
    <d v="2024-01-29T00:00:00"/>
    <n v="44"/>
    <s v="Female"/>
    <s v="Izmir"/>
    <x v="7"/>
    <n v="439.39"/>
    <n v="5"/>
    <n v="2196.9499999999998"/>
    <n v="0"/>
    <n v="0"/>
    <n v="2196.9499999999998"/>
    <s v="Debit Card"/>
    <s v="Mobile"/>
    <n v="13"/>
    <n v="6"/>
    <b v="1"/>
    <x v="0"/>
    <n v="6"/>
    <x v="2"/>
    <x v="0"/>
    <n v="5"/>
  </r>
  <r>
    <s v="ORD_000122"/>
    <s v="CUST_00122"/>
    <d v="2024-02-02T00:00:00"/>
    <n v="24"/>
    <s v="Male"/>
    <s v="Ankara"/>
    <x v="3"/>
    <n v="64.77"/>
    <n v="5"/>
    <n v="323.84999999999997"/>
    <n v="0"/>
    <n v="0"/>
    <n v="323.85000000000002"/>
    <s v="Credit Card"/>
    <s v="Mobile"/>
    <n v="27"/>
    <n v="8"/>
    <b v="0"/>
    <x v="1"/>
    <n v="2"/>
    <x v="1"/>
    <x v="3"/>
    <n v="5"/>
  </r>
  <r>
    <s v="ORD_000123"/>
    <s v="CUST_00123"/>
    <d v="2023-01-29T00:00:00"/>
    <n v="51"/>
    <s v="Male"/>
    <s v="Konya"/>
    <x v="2"/>
    <n v="13.38"/>
    <n v="1"/>
    <n v="13.38"/>
    <n v="2.36"/>
    <n v="0.1763826606875934"/>
    <n v="11.02"/>
    <s v="Cash on Delivery"/>
    <s v="Mobile"/>
    <n v="11"/>
    <n v="9"/>
    <b v="1"/>
    <x v="0"/>
    <n v="5"/>
    <x v="2"/>
    <x v="2"/>
    <n v="1"/>
  </r>
  <r>
    <s v="ORD_000124"/>
    <s v="CUST_00124"/>
    <d v="2023-04-28T00:00:00"/>
    <n v="18"/>
    <s v="Male"/>
    <s v="Konya"/>
    <x v="0"/>
    <n v="126.06"/>
    <n v="2"/>
    <n v="252.12"/>
    <n v="0"/>
    <n v="0"/>
    <n v="252.12"/>
    <s v="Credit Card"/>
    <s v="Desktop"/>
    <n v="28"/>
    <n v="11"/>
    <b v="1"/>
    <x v="0"/>
    <n v="8"/>
    <x v="0"/>
    <x v="3"/>
    <n v="4"/>
  </r>
  <r>
    <s v="ORD_000125"/>
    <s v="CUST_00125"/>
    <d v="2024-02-25T00:00:00"/>
    <n v="42"/>
    <s v="Male"/>
    <s v="Istanbul"/>
    <x v="7"/>
    <n v="500.35"/>
    <n v="3"/>
    <n v="1501.0500000000002"/>
    <n v="0"/>
    <n v="0"/>
    <n v="1501.05"/>
    <s v="Credit Card"/>
    <s v="Desktop"/>
    <n v="20"/>
    <n v="7"/>
    <b v="1"/>
    <x v="0"/>
    <n v="4"/>
    <x v="2"/>
    <x v="0"/>
    <n v="2"/>
  </r>
  <r>
    <s v="ORD_000126"/>
    <s v="CUST_00126"/>
    <d v="2023-01-17T00:00:00"/>
    <n v="61"/>
    <s v="Female"/>
    <s v="Istanbul"/>
    <x v="6"/>
    <n v="185.75"/>
    <n v="1"/>
    <n v="185.75"/>
    <n v="0"/>
    <n v="0"/>
    <n v="185.75"/>
    <s v="Digital Wallet"/>
    <s v="Mobile"/>
    <n v="24"/>
    <n v="12"/>
    <b v="0"/>
    <x v="1"/>
    <n v="10"/>
    <x v="0"/>
    <x v="4"/>
    <n v="5"/>
  </r>
  <r>
    <s v="ORD_000127"/>
    <s v="CUST_00127"/>
    <d v="2024-02-17T00:00:00"/>
    <n v="23"/>
    <s v="Female"/>
    <s v="Antalya"/>
    <x v="1"/>
    <n v="501.52"/>
    <n v="2"/>
    <n v="1003.04"/>
    <n v="0"/>
    <n v="0"/>
    <n v="1003.04"/>
    <s v="Credit Card"/>
    <s v="Mobile"/>
    <n v="1"/>
    <n v="8"/>
    <b v="1"/>
    <x v="0"/>
    <n v="10"/>
    <x v="0"/>
    <x v="3"/>
    <n v="1"/>
  </r>
  <r>
    <s v="ORD_000128"/>
    <s v="CUST_00128"/>
    <d v="2023-06-11T00:00:00"/>
    <n v="28"/>
    <s v="Male"/>
    <s v="Ankara"/>
    <x v="0"/>
    <n v="93.22"/>
    <n v="5"/>
    <n v="466.1"/>
    <n v="0"/>
    <n v="0"/>
    <n v="466.1"/>
    <s v="Credit Card"/>
    <s v="Mobile"/>
    <n v="13"/>
    <n v="6"/>
    <b v="1"/>
    <x v="0"/>
    <n v="2"/>
    <x v="1"/>
    <x v="1"/>
    <n v="1"/>
  </r>
  <r>
    <s v="ORD_000129"/>
    <s v="CUST_00129"/>
    <d v="2023-07-25T00:00:00"/>
    <n v="36"/>
    <s v="Female"/>
    <s v="Antalya"/>
    <x v="3"/>
    <n v="38.58"/>
    <n v="2"/>
    <n v="77.16"/>
    <n v="0"/>
    <n v="0"/>
    <n v="77.16"/>
    <s v="Credit Card"/>
    <s v="Desktop"/>
    <n v="11"/>
    <n v="14"/>
    <b v="0"/>
    <x v="1"/>
    <n v="2"/>
    <x v="1"/>
    <x v="0"/>
    <n v="5"/>
  </r>
  <r>
    <s v="ORD_000130"/>
    <s v="CUST_00130"/>
    <d v="2023-05-18T00:00:00"/>
    <n v="28"/>
    <s v="Male"/>
    <s v="Istanbul"/>
    <x v="3"/>
    <n v="164.8"/>
    <n v="3"/>
    <n v="494.40000000000003"/>
    <n v="30.29"/>
    <n v="6.126618122977346E-2"/>
    <n v="464.11"/>
    <s v="Credit Card"/>
    <s v="Mobile"/>
    <n v="10"/>
    <n v="9"/>
    <b v="0"/>
    <x v="1"/>
    <n v="11"/>
    <x v="0"/>
    <x v="1"/>
    <n v="2"/>
  </r>
  <r>
    <s v="ORD_000131"/>
    <s v="CUST_00131"/>
    <d v="2023-02-03T00:00:00"/>
    <n v="18"/>
    <s v="Female"/>
    <s v="Istanbul"/>
    <x v="7"/>
    <n v="117.22"/>
    <n v="2"/>
    <n v="234.44"/>
    <n v="0"/>
    <n v="0"/>
    <n v="234.44"/>
    <s v="Debit Card"/>
    <s v="Tablet"/>
    <n v="17"/>
    <n v="8"/>
    <b v="0"/>
    <x v="1"/>
    <n v="3"/>
    <x v="1"/>
    <x v="3"/>
    <n v="4"/>
  </r>
  <r>
    <s v="ORD_000132"/>
    <s v="CUST_00132"/>
    <d v="2023-04-19T00:00:00"/>
    <n v="35"/>
    <s v="Male"/>
    <s v="Antalya"/>
    <x v="3"/>
    <n v="137.06"/>
    <n v="3"/>
    <n v="411.18"/>
    <n v="28.04"/>
    <n v="6.819397830633786E-2"/>
    <n v="383.14"/>
    <s v="Credit Card"/>
    <s v="Mobile"/>
    <n v="14"/>
    <n v="13"/>
    <b v="1"/>
    <x v="0"/>
    <n v="4"/>
    <x v="2"/>
    <x v="1"/>
    <n v="5"/>
  </r>
  <r>
    <s v="ORD_000133"/>
    <s v="CUST_00133"/>
    <d v="2023-10-18T00:00:00"/>
    <n v="22"/>
    <s v="Female"/>
    <s v="Istanbul"/>
    <x v="2"/>
    <n v="136.26"/>
    <n v="1"/>
    <n v="136.26"/>
    <n v="0"/>
    <n v="0"/>
    <n v="136.26"/>
    <s v="Debit Card"/>
    <s v="Mobile"/>
    <n v="33"/>
    <n v="15"/>
    <b v="1"/>
    <x v="0"/>
    <n v="2"/>
    <x v="1"/>
    <x v="3"/>
    <n v="5"/>
  </r>
  <r>
    <s v="ORD_000134"/>
    <s v="CUST_00134"/>
    <d v="2024-03-24T00:00:00"/>
    <n v="40"/>
    <s v="Female"/>
    <s v="Konya"/>
    <x v="7"/>
    <n v="660.6"/>
    <n v="2"/>
    <n v="1321.2"/>
    <n v="0"/>
    <n v="0"/>
    <n v="1321.2"/>
    <s v="Credit Card"/>
    <s v="Mobile"/>
    <n v="24"/>
    <n v="7"/>
    <b v="1"/>
    <x v="0"/>
    <n v="4"/>
    <x v="2"/>
    <x v="0"/>
    <n v="3"/>
  </r>
  <r>
    <s v="ORD_000135"/>
    <s v="CUST_00135"/>
    <d v="2024-01-03T00:00:00"/>
    <n v="23"/>
    <s v="Female"/>
    <s v="Istanbul"/>
    <x v="7"/>
    <n v="338.82"/>
    <n v="5"/>
    <n v="1694.1"/>
    <n v="84.41"/>
    <n v="4.9825866241662242E-2"/>
    <n v="1609.69"/>
    <s v="Digital Wallet"/>
    <s v="Mobile"/>
    <n v="11"/>
    <n v="11"/>
    <b v="1"/>
    <x v="0"/>
    <n v="4"/>
    <x v="2"/>
    <x v="3"/>
    <n v="4"/>
  </r>
  <r>
    <s v="ORD_000136"/>
    <s v="CUST_00136"/>
    <d v="2023-06-11T00:00:00"/>
    <n v="53"/>
    <s v="Female"/>
    <s v="Istanbul"/>
    <x v="0"/>
    <n v="176.88"/>
    <n v="1"/>
    <n v="176.88"/>
    <n v="0"/>
    <n v="0"/>
    <n v="176.88"/>
    <s v="Credit Card"/>
    <s v="Desktop"/>
    <n v="9"/>
    <n v="5"/>
    <b v="1"/>
    <x v="0"/>
    <n v="4"/>
    <x v="2"/>
    <x v="2"/>
    <n v="4"/>
  </r>
  <r>
    <s v="ORD_000137"/>
    <s v="CUST_00137"/>
    <d v="2023-04-19T00:00:00"/>
    <n v="25"/>
    <s v="Female"/>
    <s v="Eskisehir"/>
    <x v="4"/>
    <n v="662.8"/>
    <n v="2"/>
    <n v="1325.6"/>
    <n v="0"/>
    <n v="0"/>
    <n v="1325.6"/>
    <s v="Credit Card"/>
    <s v="Desktop"/>
    <n v="6"/>
    <n v="9"/>
    <b v="1"/>
    <x v="0"/>
    <n v="12"/>
    <x v="0"/>
    <x v="3"/>
    <n v="4"/>
  </r>
  <r>
    <s v="ORD_000138"/>
    <s v="CUST_00138"/>
    <d v="2023-12-02T00:00:00"/>
    <n v="31"/>
    <s v="Female"/>
    <s v="Izmir"/>
    <x v="6"/>
    <n v="69.540000000000006"/>
    <n v="1"/>
    <n v="69.540000000000006"/>
    <n v="6.55"/>
    <n v="9.4190394017831455E-2"/>
    <n v="62.99"/>
    <s v="Credit Card"/>
    <s v="Mobile"/>
    <n v="23"/>
    <n v="6"/>
    <b v="1"/>
    <x v="0"/>
    <n v="11"/>
    <x v="0"/>
    <x v="1"/>
    <n v="5"/>
  </r>
  <r>
    <s v="ORD_000139"/>
    <s v="CUST_00139"/>
    <d v="2023-09-13T00:00:00"/>
    <n v="44"/>
    <s v="Female"/>
    <s v="Adana"/>
    <x v="6"/>
    <n v="90.07"/>
    <n v="3"/>
    <n v="270.20999999999998"/>
    <n v="0"/>
    <n v="0"/>
    <n v="270.20999999999998"/>
    <s v="Debit Card"/>
    <s v="Mobile"/>
    <n v="21"/>
    <n v="7"/>
    <b v="1"/>
    <x v="0"/>
    <n v="5"/>
    <x v="2"/>
    <x v="0"/>
    <n v="5"/>
  </r>
  <r>
    <s v="ORD_000140"/>
    <s v="CUST_00140"/>
    <d v="2023-07-22T00:00:00"/>
    <n v="20"/>
    <s v="Female"/>
    <s v="Istanbul"/>
    <x v="4"/>
    <n v="342.96"/>
    <n v="3"/>
    <n v="1028.8799999999999"/>
    <n v="0"/>
    <n v="0"/>
    <n v="1028.8800000000001"/>
    <s v="Debit Card"/>
    <s v="Mobile"/>
    <n v="29"/>
    <n v="10"/>
    <b v="1"/>
    <x v="0"/>
    <n v="9"/>
    <x v="0"/>
    <x v="3"/>
    <n v="5"/>
  </r>
  <r>
    <s v="ORD_000141"/>
    <s v="CUST_00141"/>
    <d v="2023-11-26T00:00:00"/>
    <n v="37"/>
    <s v="Female"/>
    <s v="Bursa"/>
    <x v="0"/>
    <n v="203.57"/>
    <n v="5"/>
    <n v="1017.8499999999999"/>
    <n v="26.14"/>
    <n v="2.5681583730412145E-2"/>
    <n v="991.71"/>
    <s v="Debit Card"/>
    <s v="Mobile"/>
    <n v="13"/>
    <n v="5"/>
    <b v="0"/>
    <x v="1"/>
    <n v="6"/>
    <x v="2"/>
    <x v="0"/>
    <n v="3"/>
  </r>
  <r>
    <s v="ORD_000142"/>
    <s v="CUST_00142"/>
    <d v="2023-08-23T00:00:00"/>
    <n v="50"/>
    <s v="Male"/>
    <s v="Adana"/>
    <x v="2"/>
    <n v="69.61"/>
    <n v="1"/>
    <n v="69.61"/>
    <n v="5.46"/>
    <n v="7.843700617727338E-2"/>
    <n v="64.150000000000006"/>
    <s v="Cash on Delivery"/>
    <s v="Desktop"/>
    <n v="24"/>
    <n v="4"/>
    <b v="0"/>
    <x v="1"/>
    <n v="10"/>
    <x v="0"/>
    <x v="2"/>
    <n v="4"/>
  </r>
  <r>
    <s v="ORD_000143"/>
    <s v="CUST_00143"/>
    <d v="2023-03-15T00:00:00"/>
    <n v="18"/>
    <s v="Female"/>
    <s v="Ankara"/>
    <x v="1"/>
    <n v="360.56"/>
    <n v="4"/>
    <n v="1442.24"/>
    <n v="0"/>
    <n v="0"/>
    <n v="1442.24"/>
    <s v="Bank Transfer"/>
    <s v="Desktop"/>
    <n v="20"/>
    <n v="7"/>
    <b v="1"/>
    <x v="0"/>
    <n v="13"/>
    <x v="0"/>
    <x v="3"/>
    <n v="4"/>
  </r>
  <r>
    <s v="ORD_000144"/>
    <s v="CUST_00144"/>
    <d v="2023-05-16T00:00:00"/>
    <n v="37"/>
    <s v="Male"/>
    <s v="Gaziantep"/>
    <x v="3"/>
    <n v="125.21"/>
    <n v="4"/>
    <n v="500.84"/>
    <n v="28.05"/>
    <n v="5.6005910071080592E-2"/>
    <n v="472.79"/>
    <s v="Debit Card"/>
    <s v="Mobile"/>
    <n v="13"/>
    <n v="5"/>
    <b v="1"/>
    <x v="0"/>
    <n v="6"/>
    <x v="2"/>
    <x v="0"/>
    <n v="4"/>
  </r>
  <r>
    <s v="ORD_000145"/>
    <s v="CUST_00145"/>
    <d v="2023-03-13T00:00:00"/>
    <n v="38"/>
    <s v="Female"/>
    <s v="Bursa"/>
    <x v="0"/>
    <n v="71.14"/>
    <n v="4"/>
    <n v="284.56"/>
    <n v="9.1300000000000008"/>
    <n v="3.2084621872364355E-2"/>
    <n v="275.43"/>
    <s v="Credit Card"/>
    <s v="Desktop"/>
    <n v="15"/>
    <n v="9"/>
    <b v="1"/>
    <x v="0"/>
    <n v="1"/>
    <x v="1"/>
    <x v="0"/>
    <n v="2"/>
  </r>
  <r>
    <s v="ORD_000146"/>
    <s v="CUST_00146"/>
    <d v="2023-05-07T00:00:00"/>
    <n v="44"/>
    <s v="Female"/>
    <s v="Ankara"/>
    <x v="5"/>
    <n v="984.42"/>
    <n v="4"/>
    <n v="3937.68"/>
    <n v="0"/>
    <n v="0"/>
    <n v="3937.68"/>
    <s v="Debit Card"/>
    <s v="Mobile"/>
    <n v="5"/>
    <n v="11"/>
    <b v="1"/>
    <x v="0"/>
    <n v="10"/>
    <x v="0"/>
    <x v="0"/>
    <n v="2"/>
  </r>
  <r>
    <s v="ORD_000147"/>
    <s v="CUST_00147"/>
    <d v="2024-01-17T00:00:00"/>
    <n v="20"/>
    <s v="Female"/>
    <s v="Bursa"/>
    <x v="3"/>
    <n v="42.62"/>
    <n v="2"/>
    <n v="85.24"/>
    <n v="0"/>
    <n v="0"/>
    <n v="85.24"/>
    <s v="Credit Card"/>
    <s v="Mobile"/>
    <n v="38"/>
    <n v="9"/>
    <b v="0"/>
    <x v="1"/>
    <n v="4"/>
    <x v="2"/>
    <x v="3"/>
    <n v="3"/>
  </r>
  <r>
    <s v="ORD_000148"/>
    <s v="CUST_00148"/>
    <d v="2023-10-15T00:00:00"/>
    <n v="19"/>
    <s v="Male"/>
    <s v="Bursa"/>
    <x v="5"/>
    <n v="1843.56"/>
    <n v="4"/>
    <n v="7374.24"/>
    <n v="0"/>
    <n v="0"/>
    <n v="7374.24"/>
    <s v="Digital Wallet"/>
    <s v="Mobile"/>
    <n v="14"/>
    <n v="13"/>
    <b v="1"/>
    <x v="0"/>
    <n v="8"/>
    <x v="0"/>
    <x v="3"/>
    <n v="3"/>
  </r>
  <r>
    <s v="ORD_000149"/>
    <s v="CUST_00149"/>
    <d v="2023-10-03T00:00:00"/>
    <n v="41"/>
    <s v="Male"/>
    <s v="Istanbul"/>
    <x v="0"/>
    <n v="173.47"/>
    <n v="2"/>
    <n v="346.94"/>
    <n v="0"/>
    <n v="0"/>
    <n v="346.94"/>
    <s v="Credit Card"/>
    <s v="Mobile"/>
    <n v="1"/>
    <n v="13"/>
    <b v="1"/>
    <x v="0"/>
    <n v="17"/>
    <x v="3"/>
    <x v="0"/>
    <n v="3"/>
  </r>
  <r>
    <s v="ORD_000150"/>
    <s v="CUST_00150"/>
    <d v="2023-05-15T00:00:00"/>
    <n v="38"/>
    <s v="Female"/>
    <s v="Izmir"/>
    <x v="6"/>
    <n v="180.98"/>
    <n v="1"/>
    <n v="180.98"/>
    <n v="45"/>
    <n v="0.24864625925516634"/>
    <n v="135.97999999999999"/>
    <s v="Digital Wallet"/>
    <s v="Desktop"/>
    <n v="10"/>
    <n v="8"/>
    <b v="1"/>
    <x v="0"/>
    <n v="6"/>
    <x v="2"/>
    <x v="0"/>
    <n v="3"/>
  </r>
  <r>
    <s v="ORD_000151"/>
    <s v="CUST_00151"/>
    <d v="2024-01-18T00:00:00"/>
    <n v="38"/>
    <s v="Female"/>
    <s v="Ankara"/>
    <x v="2"/>
    <n v="102.45"/>
    <n v="1"/>
    <n v="102.45"/>
    <n v="0"/>
    <n v="0"/>
    <n v="102.45"/>
    <s v="Bank Transfer"/>
    <s v="Mobile"/>
    <n v="5"/>
    <n v="10"/>
    <b v="0"/>
    <x v="1"/>
    <n v="12"/>
    <x v="0"/>
    <x v="0"/>
    <n v="4"/>
  </r>
  <r>
    <s v="ORD_000152"/>
    <s v="CUST_00152"/>
    <d v="2023-10-27T00:00:00"/>
    <n v="39"/>
    <s v="Male"/>
    <s v="Izmir"/>
    <x v="1"/>
    <n v="57.06"/>
    <n v="2"/>
    <n v="114.12"/>
    <n v="13.23"/>
    <n v="0.11593059936908517"/>
    <n v="100.89"/>
    <s v="Debit Card"/>
    <s v="Desktop"/>
    <n v="32"/>
    <n v="12"/>
    <b v="0"/>
    <x v="1"/>
    <n v="9"/>
    <x v="0"/>
    <x v="0"/>
    <n v="4"/>
  </r>
  <r>
    <s v="ORD_000153"/>
    <s v="CUST_00153"/>
    <d v="2023-08-08T00:00:00"/>
    <n v="26"/>
    <s v="Male"/>
    <s v="Adana"/>
    <x v="1"/>
    <n v="293.22000000000003"/>
    <n v="3"/>
    <n v="879.66000000000008"/>
    <n v="0"/>
    <n v="0"/>
    <n v="879.66"/>
    <s v="Debit Card"/>
    <s v="Mobile"/>
    <n v="11"/>
    <n v="15"/>
    <b v="0"/>
    <x v="1"/>
    <n v="11"/>
    <x v="0"/>
    <x v="1"/>
    <n v="4"/>
  </r>
  <r>
    <s v="ORD_000154"/>
    <s v="CUST_00154"/>
    <d v="2023-10-26T00:00:00"/>
    <n v="37"/>
    <s v="Female"/>
    <s v="Izmir"/>
    <x v="1"/>
    <n v="159.53"/>
    <n v="1"/>
    <n v="159.53"/>
    <n v="0"/>
    <n v="0"/>
    <n v="159.53"/>
    <s v="Debit Card"/>
    <s v="Desktop"/>
    <n v="6"/>
    <n v="7"/>
    <b v="1"/>
    <x v="0"/>
    <n v="8"/>
    <x v="0"/>
    <x v="0"/>
    <n v="5"/>
  </r>
  <r>
    <s v="ORD_000155"/>
    <s v="CUST_00155"/>
    <d v="2023-07-24T00:00:00"/>
    <n v="38"/>
    <s v="Female"/>
    <s v="Kayseri"/>
    <x v="4"/>
    <n v="257.99"/>
    <n v="1"/>
    <n v="257.99"/>
    <n v="0"/>
    <n v="0"/>
    <n v="257.99"/>
    <s v="Credit Card"/>
    <s v="Tablet"/>
    <n v="14"/>
    <n v="6"/>
    <b v="0"/>
    <x v="1"/>
    <n v="7"/>
    <x v="2"/>
    <x v="0"/>
    <n v="4"/>
  </r>
  <r>
    <s v="ORD_000156"/>
    <s v="CUST_00156"/>
    <d v="2023-07-05T00:00:00"/>
    <n v="26"/>
    <s v="Male"/>
    <s v="Ankara"/>
    <x v="2"/>
    <n v="114.28"/>
    <n v="1"/>
    <n v="114.28"/>
    <n v="0"/>
    <n v="0"/>
    <n v="114.28"/>
    <s v="Bank Transfer"/>
    <s v="Desktop"/>
    <n v="17"/>
    <n v="6"/>
    <b v="1"/>
    <x v="0"/>
    <n v="7"/>
    <x v="2"/>
    <x v="1"/>
    <n v="5"/>
  </r>
  <r>
    <s v="ORD_000157"/>
    <s v="CUST_00157"/>
    <d v="2023-04-23T00:00:00"/>
    <n v="57"/>
    <s v="Male"/>
    <s v="Izmir"/>
    <x v="5"/>
    <n v="1034.05"/>
    <n v="2"/>
    <n v="2068.1"/>
    <n v="62.85"/>
    <n v="3.0390213239205068E-2"/>
    <n v="2005.25"/>
    <s v="Debit Card"/>
    <s v="Desktop"/>
    <n v="24"/>
    <n v="16"/>
    <b v="0"/>
    <x v="1"/>
    <n v="6"/>
    <x v="2"/>
    <x v="4"/>
    <n v="5"/>
  </r>
  <r>
    <s v="ORD_000158"/>
    <s v="CUST_00158"/>
    <d v="2023-03-12T00:00:00"/>
    <n v="40"/>
    <s v="Male"/>
    <s v="Gaziantep"/>
    <x v="1"/>
    <n v="351.6"/>
    <n v="4"/>
    <n v="1406.4"/>
    <n v="0"/>
    <n v="0"/>
    <n v="1406.4"/>
    <s v="Credit Card"/>
    <s v="Mobile"/>
    <n v="3"/>
    <n v="8"/>
    <b v="0"/>
    <x v="1"/>
    <n v="19"/>
    <x v="3"/>
    <x v="0"/>
    <n v="3"/>
  </r>
  <r>
    <s v="ORD_000159"/>
    <s v="CUST_00159"/>
    <d v="2023-09-18T00:00:00"/>
    <n v="20"/>
    <s v="Female"/>
    <s v="Bursa"/>
    <x v="2"/>
    <n v="45.89"/>
    <n v="1"/>
    <n v="45.89"/>
    <n v="3.46"/>
    <n v="7.5397690128568312E-2"/>
    <n v="42.43"/>
    <s v="Digital Wallet"/>
    <s v="Desktop"/>
    <n v="8"/>
    <n v="6"/>
    <b v="0"/>
    <x v="1"/>
    <n v="6"/>
    <x v="2"/>
    <x v="3"/>
    <n v="4"/>
  </r>
  <r>
    <s v="ORD_000160"/>
    <s v="CUST_00160"/>
    <d v="2023-09-10T00:00:00"/>
    <n v="42"/>
    <s v="Male"/>
    <s v="Bursa"/>
    <x v="3"/>
    <n v="38.5"/>
    <n v="1"/>
    <n v="38.5"/>
    <n v="7.72"/>
    <n v="0.20051948051948051"/>
    <n v="30.78"/>
    <s v="Credit Card"/>
    <s v="Desktop"/>
    <n v="14"/>
    <n v="6"/>
    <b v="1"/>
    <x v="0"/>
    <n v="9"/>
    <x v="0"/>
    <x v="0"/>
    <n v="4"/>
  </r>
  <r>
    <s v="ORD_000161"/>
    <s v="CUST_00161"/>
    <d v="2023-02-16T00:00:00"/>
    <n v="23"/>
    <s v="Male"/>
    <s v="Istanbul"/>
    <x v="5"/>
    <n v="2365.5"/>
    <n v="2"/>
    <n v="4731"/>
    <n v="0"/>
    <n v="0"/>
    <n v="4731"/>
    <s v="Credit Card"/>
    <s v="Desktop"/>
    <n v="16"/>
    <n v="8"/>
    <b v="1"/>
    <x v="0"/>
    <n v="3"/>
    <x v="1"/>
    <x v="3"/>
    <n v="4"/>
  </r>
  <r>
    <s v="ORD_000162"/>
    <s v="CUST_00162"/>
    <d v="2024-01-22T00:00:00"/>
    <n v="44"/>
    <s v="Male"/>
    <s v="Ankara"/>
    <x v="6"/>
    <n v="113.19"/>
    <n v="3"/>
    <n v="339.57"/>
    <n v="0"/>
    <n v="0"/>
    <n v="339.57"/>
    <s v="Debit Card"/>
    <s v="Mobile"/>
    <n v="18"/>
    <n v="9"/>
    <b v="0"/>
    <x v="1"/>
    <n v="16"/>
    <x v="3"/>
    <x v="0"/>
    <n v="1"/>
  </r>
  <r>
    <s v="ORD_000163"/>
    <s v="CUST_00163"/>
    <d v="2023-01-25T00:00:00"/>
    <n v="48"/>
    <s v="Male"/>
    <s v="Ankara"/>
    <x v="4"/>
    <n v="1049.78"/>
    <n v="2"/>
    <n v="2099.56"/>
    <n v="0"/>
    <n v="0"/>
    <n v="2099.56"/>
    <s v="Digital Wallet"/>
    <s v="Mobile"/>
    <n v="10"/>
    <n v="7"/>
    <b v="1"/>
    <x v="0"/>
    <n v="11"/>
    <x v="0"/>
    <x v="2"/>
    <n v="5"/>
  </r>
  <r>
    <s v="ORD_000164"/>
    <s v="CUST_00164"/>
    <d v="2024-03-16T00:00:00"/>
    <n v="25"/>
    <s v="Female"/>
    <s v="Eskisehir"/>
    <x v="7"/>
    <n v="221.81"/>
    <n v="1"/>
    <n v="221.81"/>
    <n v="0"/>
    <n v="0"/>
    <n v="221.81"/>
    <s v="Debit Card"/>
    <s v="Mobile"/>
    <n v="8"/>
    <n v="6"/>
    <b v="0"/>
    <x v="1"/>
    <n v="4"/>
    <x v="2"/>
    <x v="3"/>
    <n v="2"/>
  </r>
  <r>
    <s v="ORD_000165"/>
    <s v="CUST_00165"/>
    <d v="2023-02-26T00:00:00"/>
    <n v="46"/>
    <s v="Male"/>
    <s v="Ankara"/>
    <x v="0"/>
    <n v="40.43"/>
    <n v="3"/>
    <n v="121.28999999999999"/>
    <n v="9.11"/>
    <n v="7.5109242311814664E-2"/>
    <n v="112.18"/>
    <s v="Digital Wallet"/>
    <s v="Mobile"/>
    <n v="4"/>
    <n v="8"/>
    <b v="0"/>
    <x v="1"/>
    <n v="8"/>
    <x v="0"/>
    <x v="2"/>
    <n v="5"/>
  </r>
  <r>
    <s v="ORD_000166"/>
    <s v="CUST_00166"/>
    <d v="2023-03-20T00:00:00"/>
    <n v="39"/>
    <s v="Male"/>
    <s v="Konya"/>
    <x v="0"/>
    <n v="85.71"/>
    <n v="1"/>
    <n v="85.71"/>
    <n v="0"/>
    <n v="0"/>
    <n v="85.71"/>
    <s v="Credit Card"/>
    <s v="Mobile"/>
    <n v="16"/>
    <n v="12"/>
    <b v="1"/>
    <x v="0"/>
    <n v="8"/>
    <x v="0"/>
    <x v="0"/>
    <n v="5"/>
  </r>
  <r>
    <s v="ORD_000167"/>
    <s v="CUST_00167"/>
    <d v="2023-11-18T00:00:00"/>
    <n v="44"/>
    <s v="Male"/>
    <s v="Antalya"/>
    <x v="5"/>
    <n v="758.95"/>
    <n v="2"/>
    <n v="1517.9"/>
    <n v="108.29"/>
    <n v="7.1341985638052566E-2"/>
    <n v="1409.61"/>
    <s v="Debit Card"/>
    <s v="Tablet"/>
    <n v="6"/>
    <n v="7"/>
    <b v="1"/>
    <x v="0"/>
    <n v="9"/>
    <x v="0"/>
    <x v="0"/>
    <n v="4"/>
  </r>
  <r>
    <s v="ORD_000168"/>
    <s v="CUST_00168"/>
    <d v="2023-03-23T00:00:00"/>
    <n v="57"/>
    <s v="Male"/>
    <s v="Ankara"/>
    <x v="6"/>
    <n v="236.55"/>
    <n v="3"/>
    <n v="709.65000000000009"/>
    <n v="0"/>
    <n v="0"/>
    <n v="709.65"/>
    <s v="Credit Card"/>
    <s v="Desktop"/>
    <n v="11"/>
    <n v="10"/>
    <b v="0"/>
    <x v="1"/>
    <n v="6"/>
    <x v="2"/>
    <x v="4"/>
    <n v="3"/>
  </r>
  <r>
    <s v="ORD_000169"/>
    <s v="CUST_00169"/>
    <d v="2024-02-10T00:00:00"/>
    <n v="32"/>
    <s v="Male"/>
    <s v="Bursa"/>
    <x v="6"/>
    <n v="28.21"/>
    <n v="1"/>
    <n v="28.21"/>
    <n v="0"/>
    <n v="0"/>
    <n v="28.21"/>
    <s v="Cash on Delivery"/>
    <s v="Desktop"/>
    <n v="6"/>
    <n v="11"/>
    <b v="1"/>
    <x v="0"/>
    <n v="3"/>
    <x v="1"/>
    <x v="1"/>
    <n v="4"/>
  </r>
  <r>
    <s v="ORD_000170"/>
    <s v="CUST_00170"/>
    <d v="2023-12-15T00:00:00"/>
    <n v="25"/>
    <s v="Female"/>
    <s v="Gaziantep"/>
    <x v="6"/>
    <n v="58.14"/>
    <n v="1"/>
    <n v="58.14"/>
    <n v="0"/>
    <n v="0"/>
    <n v="58.14"/>
    <s v="Credit Card"/>
    <s v="Desktop"/>
    <n v="12"/>
    <n v="5"/>
    <b v="1"/>
    <x v="0"/>
    <n v="7"/>
    <x v="2"/>
    <x v="3"/>
    <n v="3"/>
  </r>
  <r>
    <s v="ORD_000171"/>
    <s v="CUST_00171"/>
    <d v="2023-08-05T00:00:00"/>
    <n v="24"/>
    <s v="Female"/>
    <s v="Konya"/>
    <x v="3"/>
    <n v="99.2"/>
    <n v="1"/>
    <n v="99.2"/>
    <n v="0"/>
    <n v="0"/>
    <n v="99.2"/>
    <s v="Credit Card"/>
    <s v="Desktop"/>
    <n v="13"/>
    <n v="10"/>
    <b v="1"/>
    <x v="0"/>
    <n v="3"/>
    <x v="1"/>
    <x v="3"/>
    <n v="3"/>
  </r>
  <r>
    <s v="ORD_000172"/>
    <s v="CUST_00172"/>
    <d v="2023-11-02T00:00:00"/>
    <n v="25"/>
    <s v="Female"/>
    <s v="Istanbul"/>
    <x v="5"/>
    <n v="2214.16"/>
    <n v="2"/>
    <n v="4428.32"/>
    <n v="0"/>
    <n v="0"/>
    <n v="4428.32"/>
    <s v="Bank Transfer"/>
    <s v="Desktop"/>
    <n v="17"/>
    <n v="8"/>
    <b v="1"/>
    <x v="0"/>
    <n v="17"/>
    <x v="3"/>
    <x v="3"/>
    <n v="5"/>
  </r>
  <r>
    <s v="ORD_000173"/>
    <s v="CUST_00173"/>
    <d v="2023-02-02T00:00:00"/>
    <n v="34"/>
    <s v="Female"/>
    <s v="Ankara"/>
    <x v="5"/>
    <n v="1563.53"/>
    <n v="3"/>
    <n v="4690.59"/>
    <n v="0"/>
    <n v="0"/>
    <n v="4690.59"/>
    <s v="Cash on Delivery"/>
    <s v="Desktop"/>
    <n v="5"/>
    <n v="8"/>
    <b v="1"/>
    <x v="0"/>
    <n v="7"/>
    <x v="2"/>
    <x v="1"/>
    <n v="4"/>
  </r>
  <r>
    <s v="ORD_000174"/>
    <s v="CUST_00174"/>
    <d v="2023-07-17T00:00:00"/>
    <n v="39"/>
    <s v="Female"/>
    <s v="Ankara"/>
    <x v="7"/>
    <n v="617.46"/>
    <n v="1"/>
    <n v="617.46"/>
    <n v="0"/>
    <n v="0"/>
    <n v="617.46"/>
    <s v="Digital Wallet"/>
    <s v="Desktop"/>
    <n v="19"/>
    <n v="11"/>
    <b v="1"/>
    <x v="0"/>
    <n v="2"/>
    <x v="1"/>
    <x v="0"/>
    <n v="4"/>
  </r>
  <r>
    <s v="ORD_000175"/>
    <s v="CUST_00175"/>
    <d v="2023-07-15T00:00:00"/>
    <n v="38"/>
    <s v="Male"/>
    <s v="Istanbul"/>
    <x v="1"/>
    <n v="176.32"/>
    <n v="1"/>
    <n v="176.32"/>
    <n v="0"/>
    <n v="0"/>
    <n v="176.32"/>
    <s v="Credit Card"/>
    <s v="Desktop"/>
    <n v="19"/>
    <n v="14"/>
    <b v="0"/>
    <x v="1"/>
    <n v="5"/>
    <x v="2"/>
    <x v="0"/>
    <n v="5"/>
  </r>
  <r>
    <s v="ORD_000176"/>
    <s v="CUST_00176"/>
    <d v="2023-11-02T00:00:00"/>
    <n v="44"/>
    <s v="Female"/>
    <s v="Bursa"/>
    <x v="3"/>
    <n v="24.55"/>
    <n v="1"/>
    <n v="24.55"/>
    <n v="2.4500000000000002"/>
    <n v="9.9796334012219962E-2"/>
    <n v="22.1"/>
    <s v="Debit Card"/>
    <s v="Mobile"/>
    <n v="7"/>
    <n v="7"/>
    <b v="0"/>
    <x v="1"/>
    <n v="7"/>
    <x v="2"/>
    <x v="0"/>
    <n v="2"/>
  </r>
  <r>
    <s v="ORD_000177"/>
    <s v="CUST_00177"/>
    <d v="2023-08-28T00:00:00"/>
    <n v="35"/>
    <s v="Female"/>
    <s v="Konya"/>
    <x v="6"/>
    <n v="118.56"/>
    <n v="2"/>
    <n v="237.12"/>
    <n v="10.62"/>
    <n v="4.4787449392712543E-2"/>
    <n v="226.5"/>
    <s v="Debit Card"/>
    <s v="Mobile"/>
    <n v="6"/>
    <n v="12"/>
    <b v="1"/>
    <x v="0"/>
    <n v="19"/>
    <x v="3"/>
    <x v="1"/>
    <n v="4"/>
  </r>
  <r>
    <s v="ORD_000178"/>
    <s v="CUST_00178"/>
    <d v="2023-09-28T00:00:00"/>
    <n v="52"/>
    <s v="Female"/>
    <s v="Ankara"/>
    <x v="7"/>
    <n v="357.87"/>
    <n v="1"/>
    <n v="357.87"/>
    <n v="39.409999999999997"/>
    <n v="0.11012378796769776"/>
    <n v="318.45999999999998"/>
    <s v="Digital Wallet"/>
    <s v="Mobile"/>
    <n v="9"/>
    <n v="9"/>
    <b v="1"/>
    <x v="0"/>
    <n v="3"/>
    <x v="1"/>
    <x v="2"/>
    <n v="4"/>
  </r>
  <r>
    <s v="ORD_000179"/>
    <s v="CUST_00179"/>
    <d v="2023-05-09T00:00:00"/>
    <n v="31"/>
    <s v="Female"/>
    <s v="Adana"/>
    <x v="5"/>
    <n v="3135.28"/>
    <n v="1"/>
    <n v="3135.28"/>
    <n v="286.99"/>
    <n v="9.1535684213212218E-2"/>
    <n v="2848.29"/>
    <s v="Credit Card"/>
    <s v="Mobile"/>
    <n v="28"/>
    <n v="13"/>
    <b v="0"/>
    <x v="1"/>
    <n v="3"/>
    <x v="1"/>
    <x v="1"/>
    <n v="4"/>
  </r>
  <r>
    <s v="ORD_000180"/>
    <s v="CUST_00180"/>
    <d v="2023-10-11T00:00:00"/>
    <n v="67"/>
    <s v="Male"/>
    <s v="Antalya"/>
    <x v="3"/>
    <n v="144.91999999999999"/>
    <n v="5"/>
    <n v="724.59999999999991"/>
    <n v="18.88"/>
    <n v="2.6055754899254765E-2"/>
    <n v="705.72"/>
    <s v="Credit Card"/>
    <s v="Desktop"/>
    <n v="4"/>
    <n v="7"/>
    <b v="1"/>
    <x v="0"/>
    <n v="6"/>
    <x v="2"/>
    <x v="5"/>
    <n v="5"/>
  </r>
  <r>
    <s v="ORD_000181"/>
    <s v="CUST_00181"/>
    <d v="2024-03-16T00:00:00"/>
    <n v="42"/>
    <s v="Female"/>
    <s v="Ankara"/>
    <x v="4"/>
    <n v="239.92"/>
    <n v="1"/>
    <n v="239.92"/>
    <n v="0"/>
    <n v="0"/>
    <n v="239.92"/>
    <s v="Debit Card"/>
    <s v="Mobile"/>
    <n v="18"/>
    <n v="11"/>
    <b v="1"/>
    <x v="0"/>
    <n v="6"/>
    <x v="2"/>
    <x v="0"/>
    <n v="5"/>
  </r>
  <r>
    <s v="ORD_000182"/>
    <s v="CUST_00182"/>
    <d v="2023-01-06T00:00:00"/>
    <n v="24"/>
    <s v="Female"/>
    <s v="Istanbul"/>
    <x v="5"/>
    <n v="164.61"/>
    <n v="1"/>
    <n v="164.61"/>
    <n v="28.42"/>
    <n v="0.17265050725958325"/>
    <n v="136.19"/>
    <s v="Credit Card"/>
    <s v="Mobile"/>
    <n v="15"/>
    <n v="12"/>
    <b v="1"/>
    <x v="0"/>
    <n v="7"/>
    <x v="2"/>
    <x v="3"/>
    <n v="4"/>
  </r>
  <r>
    <s v="ORD_000183"/>
    <s v="CUST_00183"/>
    <d v="2023-12-15T00:00:00"/>
    <n v="22"/>
    <s v="Other"/>
    <s v="Adana"/>
    <x v="4"/>
    <n v="532.57000000000005"/>
    <n v="5"/>
    <n v="2662.8500000000004"/>
    <n v="0"/>
    <n v="0"/>
    <n v="2662.85"/>
    <s v="Digital Wallet"/>
    <s v="Desktop"/>
    <n v="30"/>
    <n v="10"/>
    <b v="1"/>
    <x v="0"/>
    <n v="8"/>
    <x v="0"/>
    <x v="3"/>
    <n v="4"/>
  </r>
  <r>
    <s v="ORD_000184"/>
    <s v="CUST_00184"/>
    <d v="2024-01-05T00:00:00"/>
    <n v="40"/>
    <s v="Male"/>
    <s v="Konya"/>
    <x v="2"/>
    <n v="34.9"/>
    <n v="2"/>
    <n v="69.8"/>
    <n v="0"/>
    <n v="0"/>
    <n v="69.8"/>
    <s v="Digital Wallet"/>
    <s v="Mobile"/>
    <n v="20"/>
    <n v="6"/>
    <b v="0"/>
    <x v="1"/>
    <n v="7"/>
    <x v="2"/>
    <x v="0"/>
    <n v="4"/>
  </r>
  <r>
    <s v="ORD_000185"/>
    <s v="CUST_00185"/>
    <d v="2023-02-28T00:00:00"/>
    <n v="32"/>
    <s v="Male"/>
    <s v="Antalya"/>
    <x v="4"/>
    <n v="1647.9"/>
    <n v="4"/>
    <n v="6591.6"/>
    <n v="361.69"/>
    <n v="5.4871351416954907E-2"/>
    <n v="6229.91"/>
    <s v="Digital Wallet"/>
    <s v="Tablet"/>
    <n v="1"/>
    <n v="13"/>
    <b v="0"/>
    <x v="1"/>
    <n v="14"/>
    <x v="0"/>
    <x v="1"/>
    <n v="5"/>
  </r>
  <r>
    <s v="ORD_000186"/>
    <s v="CUST_00186"/>
    <d v="2023-12-16T00:00:00"/>
    <n v="43"/>
    <s v="Male"/>
    <s v="Istanbul"/>
    <x v="5"/>
    <n v="3200.17"/>
    <n v="5"/>
    <n v="16000.85"/>
    <n v="0"/>
    <n v="0"/>
    <n v="16000.85"/>
    <s v="Debit Card"/>
    <s v="Desktop"/>
    <n v="23"/>
    <n v="12"/>
    <b v="0"/>
    <x v="1"/>
    <n v="7"/>
    <x v="2"/>
    <x v="0"/>
    <n v="5"/>
  </r>
  <r>
    <s v="ORD_000187"/>
    <s v="CUST_00187"/>
    <d v="2023-10-02T00:00:00"/>
    <n v="40"/>
    <s v="Female"/>
    <s v="Istanbul"/>
    <x v="7"/>
    <n v="146.52000000000001"/>
    <n v="2"/>
    <n v="293.04000000000002"/>
    <n v="39.08"/>
    <n v="0.13336063336063333"/>
    <n v="253.96"/>
    <s v="Bank Transfer"/>
    <s v="Desktop"/>
    <n v="9"/>
    <n v="9"/>
    <b v="0"/>
    <x v="1"/>
    <n v="4"/>
    <x v="2"/>
    <x v="0"/>
    <n v="3"/>
  </r>
  <r>
    <s v="ORD_000188"/>
    <s v="CUST_00188"/>
    <d v="2024-01-20T00:00:00"/>
    <n v="34"/>
    <s v="Male"/>
    <s v="Istanbul"/>
    <x v="5"/>
    <n v="2258.91"/>
    <n v="3"/>
    <n v="6776.73"/>
    <n v="0"/>
    <n v="0"/>
    <n v="6776.73"/>
    <s v="Credit Card"/>
    <s v="Desktop"/>
    <n v="10"/>
    <n v="14"/>
    <b v="1"/>
    <x v="0"/>
    <n v="9"/>
    <x v="0"/>
    <x v="1"/>
    <n v="2"/>
  </r>
  <r>
    <s v="ORD_000189"/>
    <s v="CUST_00189"/>
    <d v="2023-05-17T00:00:00"/>
    <n v="24"/>
    <s v="Male"/>
    <s v="Bursa"/>
    <x v="5"/>
    <n v="2019.23"/>
    <n v="3"/>
    <n v="6057.6900000000005"/>
    <n v="0"/>
    <n v="0"/>
    <n v="6057.69"/>
    <s v="Credit Card"/>
    <s v="Desktop"/>
    <n v="6"/>
    <n v="8"/>
    <b v="1"/>
    <x v="0"/>
    <n v="9"/>
    <x v="0"/>
    <x v="3"/>
    <n v="5"/>
  </r>
  <r>
    <s v="ORD_000190"/>
    <s v="CUST_00190"/>
    <d v="2024-01-29T00:00:00"/>
    <n v="18"/>
    <s v="Other"/>
    <s v="Adana"/>
    <x v="2"/>
    <n v="64.180000000000007"/>
    <n v="3"/>
    <n v="192.54000000000002"/>
    <n v="14.83"/>
    <n v="7.7022956268827256E-2"/>
    <n v="177.71"/>
    <s v="Debit Card"/>
    <s v="Desktop"/>
    <n v="20"/>
    <n v="11"/>
    <b v="0"/>
    <x v="1"/>
    <n v="5"/>
    <x v="2"/>
    <x v="3"/>
    <n v="3"/>
  </r>
  <r>
    <s v="ORD_000191"/>
    <s v="CUST_00191"/>
    <d v="2023-11-25T00:00:00"/>
    <n v="29"/>
    <s v="Male"/>
    <s v="Istanbul"/>
    <x v="6"/>
    <n v="675.6"/>
    <n v="1"/>
    <n v="675.6"/>
    <n v="0"/>
    <n v="0"/>
    <n v="675.6"/>
    <s v="Credit Card"/>
    <s v="Desktop"/>
    <n v="4"/>
    <n v="10"/>
    <b v="0"/>
    <x v="1"/>
    <n v="2"/>
    <x v="1"/>
    <x v="1"/>
    <n v="5"/>
  </r>
  <r>
    <s v="ORD_000192"/>
    <s v="CUST_00192"/>
    <d v="2023-06-24T00:00:00"/>
    <n v="45"/>
    <s v="Female"/>
    <s v="Gaziantep"/>
    <x v="1"/>
    <n v="224.13"/>
    <n v="1"/>
    <n v="224.13"/>
    <n v="47.75"/>
    <n v="0.21304600008923394"/>
    <n v="176.38"/>
    <s v="Credit Card"/>
    <s v="Mobile"/>
    <n v="12"/>
    <n v="7"/>
    <b v="1"/>
    <x v="0"/>
    <n v="5"/>
    <x v="2"/>
    <x v="0"/>
    <n v="5"/>
  </r>
  <r>
    <s v="ORD_000193"/>
    <s v="CUST_00193"/>
    <d v="2023-02-27T00:00:00"/>
    <n v="37"/>
    <s v="Male"/>
    <s v="Bursa"/>
    <x v="5"/>
    <n v="2450.69"/>
    <n v="1"/>
    <n v="2450.69"/>
    <n v="0"/>
    <n v="0"/>
    <n v="2450.69"/>
    <s v="Credit Card"/>
    <s v="Desktop"/>
    <n v="31"/>
    <n v="8"/>
    <b v="1"/>
    <x v="0"/>
    <n v="6"/>
    <x v="2"/>
    <x v="0"/>
    <n v="4"/>
  </r>
  <r>
    <s v="ORD_000194"/>
    <s v="CUST_00194"/>
    <d v="2023-05-31T00:00:00"/>
    <n v="20"/>
    <s v="Female"/>
    <s v="Antalya"/>
    <x v="2"/>
    <n v="84.6"/>
    <n v="3"/>
    <n v="253.79999999999998"/>
    <n v="0"/>
    <n v="0"/>
    <n v="253.8"/>
    <s v="Bank Transfer"/>
    <s v="Desktop"/>
    <n v="21"/>
    <n v="7"/>
    <b v="0"/>
    <x v="1"/>
    <n v="2"/>
    <x v="1"/>
    <x v="3"/>
    <n v="5"/>
  </r>
  <r>
    <s v="ORD_000195"/>
    <s v="CUST_00195"/>
    <d v="2023-08-11T00:00:00"/>
    <n v="37"/>
    <s v="Female"/>
    <s v="Eskisehir"/>
    <x v="7"/>
    <n v="561.6"/>
    <n v="3"/>
    <n v="1684.8000000000002"/>
    <n v="0"/>
    <n v="0"/>
    <n v="1684.8"/>
    <s v="Bank Transfer"/>
    <s v="Mobile"/>
    <n v="16"/>
    <n v="9"/>
    <b v="1"/>
    <x v="0"/>
    <n v="4"/>
    <x v="2"/>
    <x v="0"/>
    <n v="2"/>
  </r>
  <r>
    <s v="ORD_000196"/>
    <s v="CUST_00196"/>
    <d v="2023-03-22T00:00:00"/>
    <n v="39"/>
    <s v="Female"/>
    <s v="Istanbul"/>
    <x v="2"/>
    <n v="123.96"/>
    <n v="3"/>
    <n v="371.88"/>
    <n v="0"/>
    <n v="0"/>
    <n v="371.88"/>
    <s v="Debit Card"/>
    <s v="Mobile"/>
    <n v="9"/>
    <n v="15"/>
    <b v="1"/>
    <x v="0"/>
    <n v="3"/>
    <x v="1"/>
    <x v="0"/>
    <n v="5"/>
  </r>
  <r>
    <s v="ORD_000197"/>
    <s v="CUST_00197"/>
    <d v="2023-08-21T00:00:00"/>
    <n v="24"/>
    <s v="Female"/>
    <s v="Konya"/>
    <x v="0"/>
    <n v="68.58"/>
    <n v="4"/>
    <n v="274.32"/>
    <n v="0"/>
    <n v="0"/>
    <n v="274.32"/>
    <s v="Credit Card"/>
    <s v="Mobile"/>
    <n v="22"/>
    <n v="14"/>
    <b v="1"/>
    <x v="0"/>
    <n v="3"/>
    <x v="1"/>
    <x v="3"/>
    <n v="2"/>
  </r>
  <r>
    <s v="ORD_000198"/>
    <s v="CUST_00198"/>
    <d v="2023-01-02T00:00:00"/>
    <n v="36"/>
    <s v="Male"/>
    <s v="Istanbul"/>
    <x v="2"/>
    <n v="81.91"/>
    <n v="1"/>
    <n v="81.91"/>
    <n v="0"/>
    <n v="0"/>
    <n v="81.91"/>
    <s v="Credit Card"/>
    <s v="Mobile"/>
    <n v="8"/>
    <n v="14"/>
    <b v="1"/>
    <x v="0"/>
    <n v="6"/>
    <x v="2"/>
    <x v="0"/>
    <n v="4"/>
  </r>
  <r>
    <s v="ORD_000199"/>
    <s v="CUST_00199"/>
    <d v="2024-01-05T00:00:00"/>
    <n v="35"/>
    <s v="Male"/>
    <s v="Ankara"/>
    <x v="4"/>
    <n v="341.94"/>
    <n v="2"/>
    <n v="683.88"/>
    <n v="84.41"/>
    <n v="0.1234280867988536"/>
    <n v="599.47"/>
    <s v="Credit Card"/>
    <s v="Mobile"/>
    <n v="18"/>
    <n v="9"/>
    <b v="1"/>
    <x v="0"/>
    <n v="6"/>
    <x v="2"/>
    <x v="1"/>
    <n v="4"/>
  </r>
  <r>
    <s v="ORD_000200"/>
    <s v="CUST_00200"/>
    <d v="2024-03-24T00:00:00"/>
    <n v="21"/>
    <s v="Male"/>
    <s v="Konya"/>
    <x v="1"/>
    <n v="96.08"/>
    <n v="2"/>
    <n v="192.16"/>
    <n v="0"/>
    <n v="0"/>
    <n v="192.16"/>
    <s v="Credit Card"/>
    <s v="Desktop"/>
    <n v="24"/>
    <n v="6"/>
    <b v="1"/>
    <x v="0"/>
    <n v="4"/>
    <x v="2"/>
    <x v="3"/>
    <n v="5"/>
  </r>
  <r>
    <s v="ORD_000201"/>
    <s v="CUST_00201"/>
    <d v="2024-01-04T00:00:00"/>
    <n v="39"/>
    <s v="Female"/>
    <s v="Konya"/>
    <x v="1"/>
    <n v="341.14"/>
    <n v="4"/>
    <n v="1364.56"/>
    <n v="0"/>
    <n v="0"/>
    <n v="1364.56"/>
    <s v="Credit Card"/>
    <s v="Mobile"/>
    <n v="8"/>
    <n v="9"/>
    <b v="1"/>
    <x v="0"/>
    <n v="9"/>
    <x v="0"/>
    <x v="0"/>
    <n v="2"/>
  </r>
  <r>
    <s v="ORD_000202"/>
    <s v="CUST_00202"/>
    <d v="2023-05-15T00:00:00"/>
    <n v="41"/>
    <s v="Female"/>
    <s v="Izmir"/>
    <x v="3"/>
    <n v="92.5"/>
    <n v="4"/>
    <n v="370"/>
    <n v="0"/>
    <n v="0"/>
    <n v="370"/>
    <s v="Digital Wallet"/>
    <s v="Desktop"/>
    <n v="14"/>
    <n v="9"/>
    <b v="1"/>
    <x v="0"/>
    <n v="9"/>
    <x v="0"/>
    <x v="0"/>
    <n v="4"/>
  </r>
  <r>
    <s v="ORD_000203"/>
    <s v="CUST_00203"/>
    <d v="2023-09-14T00:00:00"/>
    <n v="47"/>
    <s v="Male"/>
    <s v="Bursa"/>
    <x v="6"/>
    <n v="149.18"/>
    <n v="1"/>
    <n v="149.18"/>
    <n v="0"/>
    <n v="0"/>
    <n v="149.18"/>
    <s v="Debit Card"/>
    <s v="Desktop"/>
    <n v="13"/>
    <n v="16"/>
    <b v="1"/>
    <x v="0"/>
    <n v="2"/>
    <x v="1"/>
    <x v="2"/>
    <n v="4"/>
  </r>
  <r>
    <s v="ORD_000204"/>
    <s v="CUST_00204"/>
    <d v="2024-01-26T00:00:00"/>
    <n v="47"/>
    <s v="Female"/>
    <s v="Adana"/>
    <x v="7"/>
    <n v="345.35"/>
    <n v="1"/>
    <n v="345.35"/>
    <n v="0"/>
    <n v="0"/>
    <n v="345.35"/>
    <s v="Credit Card"/>
    <s v="Desktop"/>
    <n v="19"/>
    <n v="5"/>
    <b v="0"/>
    <x v="1"/>
    <n v="12"/>
    <x v="0"/>
    <x v="2"/>
    <n v="4"/>
  </r>
  <r>
    <s v="ORD_000205"/>
    <s v="CUST_00205"/>
    <d v="2023-04-02T00:00:00"/>
    <n v="18"/>
    <s v="Male"/>
    <s v="Gaziantep"/>
    <x v="3"/>
    <n v="159.18"/>
    <n v="2"/>
    <n v="318.36"/>
    <n v="0"/>
    <n v="0"/>
    <n v="318.36"/>
    <s v="Digital Wallet"/>
    <s v="Mobile"/>
    <n v="7"/>
    <n v="9"/>
    <b v="0"/>
    <x v="1"/>
    <n v="6"/>
    <x v="2"/>
    <x v="3"/>
    <n v="5"/>
  </r>
  <r>
    <s v="ORD_000206"/>
    <s v="CUST_00206"/>
    <d v="2023-09-17T00:00:00"/>
    <n v="23"/>
    <s v="Female"/>
    <s v="Istanbul"/>
    <x v="6"/>
    <n v="167.61"/>
    <n v="1"/>
    <n v="167.61"/>
    <n v="0"/>
    <n v="0"/>
    <n v="167.61"/>
    <s v="Digital Wallet"/>
    <s v="Tablet"/>
    <n v="15"/>
    <n v="10"/>
    <b v="0"/>
    <x v="1"/>
    <n v="9"/>
    <x v="0"/>
    <x v="3"/>
    <n v="1"/>
  </r>
  <r>
    <s v="ORD_000207"/>
    <s v="CUST_00207"/>
    <d v="2023-02-24T00:00:00"/>
    <n v="41"/>
    <s v="Female"/>
    <s v="Gaziantep"/>
    <x v="6"/>
    <n v="549.61"/>
    <n v="1"/>
    <n v="549.61"/>
    <n v="151.72"/>
    <n v="0.27605029020578226"/>
    <n v="397.89"/>
    <s v="Debit Card"/>
    <s v="Desktop"/>
    <n v="11"/>
    <n v="7"/>
    <b v="1"/>
    <x v="0"/>
    <n v="9"/>
    <x v="0"/>
    <x v="0"/>
    <n v="5"/>
  </r>
  <r>
    <s v="ORD_000208"/>
    <s v="CUST_00208"/>
    <d v="2024-03-21T00:00:00"/>
    <n v="41"/>
    <s v="Male"/>
    <s v="Izmir"/>
    <x v="2"/>
    <n v="53.93"/>
    <n v="2"/>
    <n v="107.86"/>
    <n v="0"/>
    <n v="0"/>
    <n v="107.86"/>
    <s v="Credit Card"/>
    <s v="Mobile"/>
    <n v="25"/>
    <n v="11"/>
    <b v="1"/>
    <x v="0"/>
    <n v="6"/>
    <x v="2"/>
    <x v="0"/>
    <n v="5"/>
  </r>
  <r>
    <s v="ORD_000209"/>
    <s v="CUST_00209"/>
    <d v="2023-11-17T00:00:00"/>
    <n v="41"/>
    <s v="Female"/>
    <s v="Izmir"/>
    <x v="7"/>
    <n v="580.51"/>
    <n v="3"/>
    <n v="1741.53"/>
    <n v="0"/>
    <n v="0"/>
    <n v="1741.53"/>
    <s v="Bank Transfer"/>
    <s v="Mobile"/>
    <n v="17"/>
    <n v="10"/>
    <b v="1"/>
    <x v="0"/>
    <n v="10"/>
    <x v="0"/>
    <x v="0"/>
    <n v="5"/>
  </r>
  <r>
    <s v="ORD_000210"/>
    <s v="CUST_00210"/>
    <d v="2023-06-02T00:00:00"/>
    <n v="75"/>
    <s v="Male"/>
    <s v="Izmir"/>
    <x v="6"/>
    <n v="279.45999999999998"/>
    <n v="1"/>
    <n v="279.45999999999998"/>
    <n v="0"/>
    <n v="0"/>
    <n v="279.45999999999998"/>
    <s v="Digital Wallet"/>
    <s v="Tablet"/>
    <n v="18"/>
    <n v="10"/>
    <b v="1"/>
    <x v="0"/>
    <n v="6"/>
    <x v="2"/>
    <x v="5"/>
    <n v="4"/>
  </r>
  <r>
    <s v="ORD_000211"/>
    <s v="CUST_00211"/>
    <d v="2024-03-06T00:00:00"/>
    <n v="41"/>
    <s v="Female"/>
    <s v="Izmir"/>
    <x v="7"/>
    <n v="629.32000000000005"/>
    <n v="1"/>
    <n v="629.32000000000005"/>
    <n v="0"/>
    <n v="0"/>
    <n v="629.32000000000005"/>
    <s v="Credit Card"/>
    <s v="Tablet"/>
    <n v="16"/>
    <n v="5"/>
    <b v="0"/>
    <x v="1"/>
    <n v="11"/>
    <x v="0"/>
    <x v="0"/>
    <n v="4"/>
  </r>
  <r>
    <s v="ORD_000212"/>
    <s v="CUST_00212"/>
    <d v="2023-11-24T00:00:00"/>
    <n v="48"/>
    <s v="Female"/>
    <s v="Kayseri"/>
    <x v="1"/>
    <n v="99.34"/>
    <n v="5"/>
    <n v="496.70000000000005"/>
    <n v="0"/>
    <n v="0"/>
    <n v="496.7"/>
    <s v="Debit Card"/>
    <s v="Desktop"/>
    <n v="9"/>
    <n v="5"/>
    <b v="1"/>
    <x v="0"/>
    <n v="2"/>
    <x v="1"/>
    <x v="2"/>
    <n v="4"/>
  </r>
  <r>
    <s v="ORD_000213"/>
    <s v="CUST_00213"/>
    <d v="2023-09-17T00:00:00"/>
    <n v="46"/>
    <s v="Male"/>
    <s v="Bursa"/>
    <x v="1"/>
    <n v="208.7"/>
    <n v="1"/>
    <n v="208.7"/>
    <n v="0"/>
    <n v="0"/>
    <n v="208.7"/>
    <s v="Debit Card"/>
    <s v="Desktop"/>
    <n v="7"/>
    <n v="12"/>
    <b v="1"/>
    <x v="0"/>
    <n v="12"/>
    <x v="0"/>
    <x v="2"/>
    <n v="5"/>
  </r>
  <r>
    <s v="ORD_000214"/>
    <s v="CUST_00214"/>
    <d v="2023-11-08T00:00:00"/>
    <n v="42"/>
    <s v="Male"/>
    <s v="Kayseri"/>
    <x v="1"/>
    <n v="136.28"/>
    <n v="2"/>
    <n v="272.56"/>
    <n v="0"/>
    <n v="0"/>
    <n v="272.56"/>
    <s v="Debit Card"/>
    <s v="Mobile"/>
    <n v="19"/>
    <n v="10"/>
    <b v="1"/>
    <x v="0"/>
    <n v="15"/>
    <x v="3"/>
    <x v="0"/>
    <n v="5"/>
  </r>
  <r>
    <s v="ORD_000215"/>
    <s v="CUST_00215"/>
    <d v="2023-04-12T00:00:00"/>
    <n v="31"/>
    <s v="Male"/>
    <s v="Istanbul"/>
    <x v="5"/>
    <n v="2003.75"/>
    <n v="1"/>
    <n v="2003.75"/>
    <n v="0"/>
    <n v="0"/>
    <n v="2003.75"/>
    <s v="Debit Card"/>
    <s v="Mobile"/>
    <n v="3"/>
    <n v="8"/>
    <b v="1"/>
    <x v="0"/>
    <n v="6"/>
    <x v="2"/>
    <x v="1"/>
    <n v="4"/>
  </r>
  <r>
    <s v="ORD_000216"/>
    <s v="CUST_00216"/>
    <d v="2023-03-20T00:00:00"/>
    <n v="44"/>
    <s v="Female"/>
    <s v="Adana"/>
    <x v="2"/>
    <n v="58.2"/>
    <n v="1"/>
    <n v="58.2"/>
    <n v="0"/>
    <n v="0"/>
    <n v="58.2"/>
    <s v="Debit Card"/>
    <s v="Mobile"/>
    <n v="8"/>
    <n v="8"/>
    <b v="1"/>
    <x v="0"/>
    <n v="9"/>
    <x v="0"/>
    <x v="0"/>
    <n v="5"/>
  </r>
  <r>
    <s v="ORD_000217"/>
    <s v="CUST_00217"/>
    <d v="2023-07-11T00:00:00"/>
    <n v="25"/>
    <s v="Female"/>
    <s v="Gaziantep"/>
    <x v="0"/>
    <n v="107.69"/>
    <n v="4"/>
    <n v="430.76"/>
    <n v="11.57"/>
    <n v="2.6859504132231406E-2"/>
    <n v="419.19"/>
    <s v="Digital Wallet"/>
    <s v="Mobile"/>
    <n v="13"/>
    <n v="11"/>
    <b v="1"/>
    <x v="0"/>
    <n v="6"/>
    <x v="2"/>
    <x v="3"/>
    <n v="5"/>
  </r>
  <r>
    <s v="ORD_000218"/>
    <s v="CUST_00218"/>
    <d v="2024-01-26T00:00:00"/>
    <n v="32"/>
    <s v="Male"/>
    <s v="Antalya"/>
    <x v="7"/>
    <n v="875.66"/>
    <n v="1"/>
    <n v="875.66"/>
    <n v="0"/>
    <n v="0"/>
    <n v="875.66"/>
    <s v="Debit Card"/>
    <s v="Desktop"/>
    <n v="17"/>
    <n v="17"/>
    <b v="1"/>
    <x v="0"/>
    <n v="2"/>
    <x v="1"/>
    <x v="1"/>
    <n v="5"/>
  </r>
  <r>
    <s v="ORD_000219"/>
    <s v="CUST_00219"/>
    <d v="2023-03-24T00:00:00"/>
    <n v="29"/>
    <s v="Female"/>
    <s v="Bursa"/>
    <x v="2"/>
    <n v="30.85"/>
    <n v="1"/>
    <n v="30.85"/>
    <n v="0"/>
    <n v="0"/>
    <n v="30.85"/>
    <s v="Credit Card"/>
    <s v="Mobile"/>
    <n v="5"/>
    <n v="10"/>
    <b v="0"/>
    <x v="1"/>
    <n v="3"/>
    <x v="1"/>
    <x v="1"/>
    <n v="5"/>
  </r>
  <r>
    <s v="ORD_000220"/>
    <s v="CUST_00220"/>
    <d v="2023-10-04T00:00:00"/>
    <n v="35"/>
    <s v="Female"/>
    <s v="Bursa"/>
    <x v="6"/>
    <n v="288.72000000000003"/>
    <n v="2"/>
    <n v="577.44000000000005"/>
    <n v="59.37"/>
    <n v="0.10281587697423107"/>
    <n v="518.07000000000005"/>
    <s v="Credit Card"/>
    <s v="Mobile"/>
    <n v="12"/>
    <n v="11"/>
    <b v="1"/>
    <x v="0"/>
    <n v="7"/>
    <x v="2"/>
    <x v="1"/>
    <n v="5"/>
  </r>
  <r>
    <s v="ORD_000221"/>
    <s v="CUST_00221"/>
    <d v="2024-02-03T00:00:00"/>
    <n v="62"/>
    <s v="Male"/>
    <s v="Konya"/>
    <x v="7"/>
    <n v="953.88"/>
    <n v="2"/>
    <n v="1907.76"/>
    <n v="0"/>
    <n v="0"/>
    <n v="1907.76"/>
    <s v="Credit Card"/>
    <s v="Mobile"/>
    <n v="14"/>
    <n v="11"/>
    <b v="1"/>
    <x v="0"/>
    <n v="3"/>
    <x v="1"/>
    <x v="4"/>
    <n v="5"/>
  </r>
  <r>
    <s v="ORD_000222"/>
    <s v="CUST_00222"/>
    <d v="2023-09-29T00:00:00"/>
    <n v="18"/>
    <s v="Male"/>
    <s v="Gaziantep"/>
    <x v="7"/>
    <n v="205.74"/>
    <n v="1"/>
    <n v="205.74"/>
    <n v="12.23"/>
    <n v="5.9443958394089627E-2"/>
    <n v="193.51"/>
    <s v="Debit Card"/>
    <s v="Desktop"/>
    <n v="12"/>
    <n v="17"/>
    <b v="1"/>
    <x v="0"/>
    <n v="17"/>
    <x v="3"/>
    <x v="3"/>
    <n v="2"/>
  </r>
  <r>
    <s v="ORD_000223"/>
    <s v="CUST_00223"/>
    <d v="2023-01-01T00:00:00"/>
    <n v="43"/>
    <s v="Female"/>
    <s v="Istanbul"/>
    <x v="3"/>
    <n v="122.46"/>
    <n v="1"/>
    <n v="122.46"/>
    <n v="0"/>
    <n v="0"/>
    <n v="122.46"/>
    <s v="Credit Card"/>
    <s v="Mobile"/>
    <n v="14"/>
    <n v="9"/>
    <b v="1"/>
    <x v="0"/>
    <n v="9"/>
    <x v="0"/>
    <x v="0"/>
    <n v="5"/>
  </r>
  <r>
    <s v="ORD_000224"/>
    <s v="CUST_00224"/>
    <d v="2023-11-03T00:00:00"/>
    <n v="18"/>
    <s v="Female"/>
    <s v="Gaziantep"/>
    <x v="7"/>
    <n v="1071.7"/>
    <n v="4"/>
    <n v="4286.8"/>
    <n v="0"/>
    <n v="0"/>
    <n v="4286.8"/>
    <s v="Digital Wallet"/>
    <s v="Desktop"/>
    <n v="9"/>
    <n v="4"/>
    <b v="0"/>
    <x v="1"/>
    <n v="11"/>
    <x v="0"/>
    <x v="3"/>
    <n v="4"/>
  </r>
  <r>
    <s v="ORD_000225"/>
    <s v="CUST_00225"/>
    <d v="2023-06-15T00:00:00"/>
    <n v="29"/>
    <s v="Male"/>
    <s v="Izmir"/>
    <x v="7"/>
    <n v="377.34"/>
    <n v="3"/>
    <n v="1132.02"/>
    <n v="0"/>
    <n v="0"/>
    <n v="1132.02"/>
    <s v="Credit Card"/>
    <s v="Mobile"/>
    <n v="22"/>
    <n v="4"/>
    <b v="0"/>
    <x v="1"/>
    <n v="3"/>
    <x v="1"/>
    <x v="1"/>
    <n v="4"/>
  </r>
  <r>
    <s v="ORD_000226"/>
    <s v="CUST_00226"/>
    <d v="2023-09-08T00:00:00"/>
    <n v="48"/>
    <s v="Male"/>
    <s v="Ankara"/>
    <x v="4"/>
    <n v="592.09"/>
    <n v="1"/>
    <n v="592.09"/>
    <n v="0"/>
    <n v="0"/>
    <n v="592.09"/>
    <s v="Digital Wallet"/>
    <s v="Tablet"/>
    <n v="16"/>
    <n v="8"/>
    <b v="0"/>
    <x v="1"/>
    <n v="5"/>
    <x v="2"/>
    <x v="2"/>
    <n v="5"/>
  </r>
  <r>
    <s v="ORD_000227"/>
    <s v="CUST_00227"/>
    <d v="2023-01-10T00:00:00"/>
    <n v="35"/>
    <s v="Male"/>
    <s v="Konya"/>
    <x v="0"/>
    <n v="78.19"/>
    <n v="1"/>
    <n v="78.19"/>
    <n v="0"/>
    <n v="0"/>
    <n v="78.19"/>
    <s v="Digital Wallet"/>
    <s v="Mobile"/>
    <n v="12"/>
    <n v="12"/>
    <b v="1"/>
    <x v="0"/>
    <n v="3"/>
    <x v="1"/>
    <x v="1"/>
    <n v="5"/>
  </r>
  <r>
    <s v="ORD_000228"/>
    <s v="CUST_00228"/>
    <d v="2023-02-27T00:00:00"/>
    <n v="22"/>
    <s v="Female"/>
    <s v="Izmir"/>
    <x v="4"/>
    <n v="654.97"/>
    <n v="4"/>
    <n v="2619.88"/>
    <n v="195.13"/>
    <n v="7.4480510557735469E-2"/>
    <n v="2424.75"/>
    <s v="Credit Card"/>
    <s v="Mobile"/>
    <n v="3"/>
    <n v="16"/>
    <b v="1"/>
    <x v="0"/>
    <n v="10"/>
    <x v="0"/>
    <x v="3"/>
    <n v="5"/>
  </r>
  <r>
    <s v="ORD_000229"/>
    <s v="CUST_00229"/>
    <d v="2023-07-05T00:00:00"/>
    <n v="26"/>
    <s v="Male"/>
    <s v="Gaziantep"/>
    <x v="3"/>
    <n v="109.85"/>
    <n v="1"/>
    <n v="109.85"/>
    <n v="0"/>
    <n v="0"/>
    <n v="109.85"/>
    <s v="Digital Wallet"/>
    <s v="Mobile"/>
    <n v="15"/>
    <n v="10"/>
    <b v="1"/>
    <x v="0"/>
    <n v="2"/>
    <x v="1"/>
    <x v="1"/>
    <n v="4"/>
  </r>
  <r>
    <s v="ORD_000230"/>
    <s v="CUST_00230"/>
    <d v="2024-03-25T00:00:00"/>
    <n v="43"/>
    <s v="Male"/>
    <s v="Ankara"/>
    <x v="5"/>
    <n v="2275.2399999999998"/>
    <n v="2"/>
    <n v="4550.4799999999996"/>
    <n v="601.72"/>
    <n v="0.1322322040751745"/>
    <n v="3948.76"/>
    <s v="Cash on Delivery"/>
    <s v="Desktop"/>
    <n v="5"/>
    <n v="9"/>
    <b v="1"/>
    <x v="0"/>
    <n v="7"/>
    <x v="2"/>
    <x v="0"/>
    <n v="4"/>
  </r>
  <r>
    <s v="ORD_000231"/>
    <s v="CUST_00231"/>
    <d v="2024-03-01T00:00:00"/>
    <n v="26"/>
    <s v="Female"/>
    <s v="Istanbul"/>
    <x v="1"/>
    <n v="380.48"/>
    <n v="2"/>
    <n v="760.96"/>
    <n v="54.13"/>
    <n v="7.1133830950378465E-2"/>
    <n v="706.83"/>
    <s v="Credit Card"/>
    <s v="Mobile"/>
    <n v="3"/>
    <n v="8"/>
    <b v="0"/>
    <x v="1"/>
    <n v="2"/>
    <x v="1"/>
    <x v="1"/>
    <n v="1"/>
  </r>
  <r>
    <s v="ORD_000232"/>
    <s v="CUST_00232"/>
    <d v="2024-02-18T00:00:00"/>
    <n v="37"/>
    <s v="Female"/>
    <s v="Izmir"/>
    <x v="6"/>
    <n v="146.1"/>
    <n v="1"/>
    <n v="146.1"/>
    <n v="0"/>
    <n v="0"/>
    <n v="146.1"/>
    <s v="Bank Transfer"/>
    <s v="Mobile"/>
    <n v="7"/>
    <n v="8"/>
    <b v="1"/>
    <x v="0"/>
    <n v="5"/>
    <x v="2"/>
    <x v="0"/>
    <n v="4"/>
  </r>
  <r>
    <s v="ORD_000233"/>
    <s v="CUST_00233"/>
    <d v="2023-06-07T00:00:00"/>
    <n v="35"/>
    <s v="Male"/>
    <s v="Istanbul"/>
    <x v="6"/>
    <n v="435.89"/>
    <n v="1"/>
    <n v="435.89"/>
    <n v="88.84"/>
    <n v="0.20381288857280508"/>
    <n v="347.05"/>
    <s v="Debit Card"/>
    <s v="Mobile"/>
    <n v="17"/>
    <n v="8"/>
    <b v="1"/>
    <x v="0"/>
    <n v="5"/>
    <x v="2"/>
    <x v="1"/>
    <n v="5"/>
  </r>
  <r>
    <s v="ORD_000234"/>
    <s v="CUST_00234"/>
    <d v="2023-05-03T00:00:00"/>
    <n v="27"/>
    <s v="Male"/>
    <s v="Adana"/>
    <x v="0"/>
    <n v="33.950000000000003"/>
    <n v="1"/>
    <n v="33.950000000000003"/>
    <n v="6.33"/>
    <n v="0.18645066273932251"/>
    <n v="27.62"/>
    <s v="Debit Card"/>
    <s v="Mobile"/>
    <n v="17"/>
    <n v="12"/>
    <b v="0"/>
    <x v="1"/>
    <n v="12"/>
    <x v="0"/>
    <x v="1"/>
    <n v="4"/>
  </r>
  <r>
    <s v="ORD_000235"/>
    <s v="CUST_00235"/>
    <d v="2023-01-30T00:00:00"/>
    <n v="60"/>
    <s v="Female"/>
    <s v="Ankara"/>
    <x v="7"/>
    <n v="785.55"/>
    <n v="1"/>
    <n v="785.55"/>
    <n v="0"/>
    <n v="0"/>
    <n v="785.55"/>
    <s v="Credit Card"/>
    <s v="Mobile"/>
    <n v="1"/>
    <n v="11"/>
    <b v="1"/>
    <x v="0"/>
    <n v="9"/>
    <x v="0"/>
    <x v="4"/>
    <n v="4"/>
  </r>
  <r>
    <s v="ORD_000236"/>
    <s v="CUST_00236"/>
    <d v="2023-05-04T00:00:00"/>
    <n v="42"/>
    <s v="Male"/>
    <s v="Izmir"/>
    <x v="2"/>
    <n v="13.46"/>
    <n v="2"/>
    <n v="26.92"/>
    <n v="0"/>
    <n v="0"/>
    <n v="26.92"/>
    <s v="Digital Wallet"/>
    <s v="Mobile"/>
    <n v="16"/>
    <n v="6"/>
    <b v="0"/>
    <x v="1"/>
    <n v="7"/>
    <x v="2"/>
    <x v="0"/>
    <n v="3"/>
  </r>
  <r>
    <s v="ORD_000237"/>
    <s v="CUST_00237"/>
    <d v="2024-03-25T00:00:00"/>
    <n v="18"/>
    <s v="Male"/>
    <s v="Istanbul"/>
    <x v="6"/>
    <n v="157.19"/>
    <n v="1"/>
    <n v="157.19"/>
    <n v="0"/>
    <n v="0"/>
    <n v="157.19"/>
    <s v="Debit Card"/>
    <s v="Tablet"/>
    <n v="4"/>
    <n v="8"/>
    <b v="1"/>
    <x v="0"/>
    <n v="3"/>
    <x v="1"/>
    <x v="3"/>
    <n v="5"/>
  </r>
  <r>
    <s v="ORD_000238"/>
    <s v="CUST_00238"/>
    <d v="2023-10-18T00:00:00"/>
    <n v="37"/>
    <s v="Female"/>
    <s v="Ankara"/>
    <x v="4"/>
    <n v="66.709999999999994"/>
    <n v="1"/>
    <n v="66.709999999999994"/>
    <n v="17.41"/>
    <n v="0.26098036276420328"/>
    <n v="49.3"/>
    <s v="Digital Wallet"/>
    <s v="Mobile"/>
    <n v="22"/>
    <n v="9"/>
    <b v="0"/>
    <x v="1"/>
    <n v="3"/>
    <x v="1"/>
    <x v="0"/>
    <n v="2"/>
  </r>
  <r>
    <s v="ORD_000239"/>
    <s v="CUST_00239"/>
    <d v="2023-02-10T00:00:00"/>
    <n v="27"/>
    <s v="Male"/>
    <s v="Gaziantep"/>
    <x v="1"/>
    <n v="266.44"/>
    <n v="2"/>
    <n v="532.88"/>
    <n v="0"/>
    <n v="0"/>
    <n v="532.88"/>
    <s v="Digital Wallet"/>
    <s v="Tablet"/>
    <n v="19"/>
    <n v="10"/>
    <b v="0"/>
    <x v="1"/>
    <n v="4"/>
    <x v="2"/>
    <x v="1"/>
    <n v="5"/>
  </r>
  <r>
    <s v="ORD_000240"/>
    <s v="CUST_00240"/>
    <d v="2023-02-13T00:00:00"/>
    <n v="45"/>
    <s v="Female"/>
    <s v="Istanbul"/>
    <x v="5"/>
    <n v="2059.12"/>
    <n v="5"/>
    <n v="10295.599999999999"/>
    <n v="0"/>
    <n v="0"/>
    <n v="10295.6"/>
    <s v="Debit Card"/>
    <s v="Mobile"/>
    <n v="3"/>
    <n v="9"/>
    <b v="0"/>
    <x v="1"/>
    <n v="5"/>
    <x v="2"/>
    <x v="0"/>
    <n v="4"/>
  </r>
  <r>
    <s v="ORD_000241"/>
    <s v="CUST_00241"/>
    <d v="2024-01-10T00:00:00"/>
    <n v="25"/>
    <s v="Female"/>
    <s v="Antalya"/>
    <x v="1"/>
    <n v="193.18"/>
    <n v="4"/>
    <n v="772.72"/>
    <n v="0"/>
    <n v="0"/>
    <n v="772.72"/>
    <s v="Credit Card"/>
    <s v="Mobile"/>
    <n v="15"/>
    <n v="7"/>
    <b v="0"/>
    <x v="1"/>
    <n v="5"/>
    <x v="2"/>
    <x v="3"/>
    <n v="1"/>
  </r>
  <r>
    <s v="ORD_000242"/>
    <s v="CUST_00242"/>
    <d v="2023-09-06T00:00:00"/>
    <n v="33"/>
    <s v="Male"/>
    <s v="Kayseri"/>
    <x v="7"/>
    <n v="458.12"/>
    <n v="1"/>
    <n v="458.12"/>
    <n v="0"/>
    <n v="0"/>
    <n v="458.12"/>
    <s v="Credit Card"/>
    <s v="Mobile"/>
    <n v="9"/>
    <n v="13"/>
    <b v="1"/>
    <x v="0"/>
    <n v="9"/>
    <x v="0"/>
    <x v="1"/>
    <n v="5"/>
  </r>
  <r>
    <s v="ORD_000243"/>
    <s v="CUST_00243"/>
    <d v="2024-02-22T00:00:00"/>
    <n v="41"/>
    <s v="Male"/>
    <s v="Antalya"/>
    <x v="0"/>
    <n v="99.82"/>
    <n v="1"/>
    <n v="99.82"/>
    <n v="0"/>
    <n v="0"/>
    <n v="99.82"/>
    <s v="Credit Card"/>
    <s v="Mobile"/>
    <n v="22"/>
    <n v="8"/>
    <b v="0"/>
    <x v="1"/>
    <n v="4"/>
    <x v="2"/>
    <x v="0"/>
    <n v="4"/>
  </r>
  <r>
    <s v="ORD_000244"/>
    <s v="CUST_00244"/>
    <d v="2023-02-05T00:00:00"/>
    <n v="45"/>
    <s v="Female"/>
    <s v="Gaziantep"/>
    <x v="1"/>
    <n v="21.76"/>
    <n v="1"/>
    <n v="21.76"/>
    <n v="0"/>
    <n v="0"/>
    <n v="21.76"/>
    <s v="Bank Transfer"/>
    <s v="Desktop"/>
    <n v="8"/>
    <n v="9"/>
    <b v="0"/>
    <x v="1"/>
    <n v="9"/>
    <x v="0"/>
    <x v="0"/>
    <n v="4"/>
  </r>
  <r>
    <s v="ORD_000245"/>
    <s v="CUST_00245"/>
    <d v="2024-01-25T00:00:00"/>
    <n v="20"/>
    <s v="Female"/>
    <s v="Istanbul"/>
    <x v="7"/>
    <n v="308.55"/>
    <n v="3"/>
    <n v="925.65000000000009"/>
    <n v="52.33"/>
    <n v="5.6533246907578452E-2"/>
    <n v="873.32"/>
    <s v="Credit Card"/>
    <s v="Desktop"/>
    <n v="27"/>
    <n v="9"/>
    <b v="0"/>
    <x v="1"/>
    <n v="7"/>
    <x v="2"/>
    <x v="3"/>
    <n v="5"/>
  </r>
  <r>
    <s v="ORD_000246"/>
    <s v="CUST_00246"/>
    <d v="2023-09-30T00:00:00"/>
    <n v="30"/>
    <s v="Female"/>
    <s v="Ankara"/>
    <x v="3"/>
    <n v="221.35"/>
    <n v="5"/>
    <n v="1106.75"/>
    <n v="0"/>
    <n v="0"/>
    <n v="1106.75"/>
    <s v="Credit Card"/>
    <s v="Mobile"/>
    <n v="20"/>
    <n v="6"/>
    <b v="0"/>
    <x v="1"/>
    <n v="3"/>
    <x v="1"/>
    <x v="1"/>
    <n v="5"/>
  </r>
  <r>
    <s v="ORD_000247"/>
    <s v="CUST_00247"/>
    <d v="2024-01-28T00:00:00"/>
    <n v="29"/>
    <s v="Female"/>
    <s v="Konya"/>
    <x v="4"/>
    <n v="225.7"/>
    <n v="1"/>
    <n v="225.7"/>
    <n v="0"/>
    <n v="0"/>
    <n v="225.7"/>
    <s v="Credit Card"/>
    <s v="Mobile"/>
    <n v="5"/>
    <n v="7"/>
    <b v="1"/>
    <x v="0"/>
    <n v="7"/>
    <x v="2"/>
    <x v="1"/>
    <n v="5"/>
  </r>
  <r>
    <s v="ORD_000248"/>
    <s v="CUST_00248"/>
    <d v="2023-03-06T00:00:00"/>
    <n v="27"/>
    <s v="Male"/>
    <s v="Adana"/>
    <x v="4"/>
    <n v="353.9"/>
    <n v="1"/>
    <n v="353.9"/>
    <n v="29.33"/>
    <n v="8.2876518790618817E-2"/>
    <n v="324.57"/>
    <s v="Bank Transfer"/>
    <s v="Tablet"/>
    <n v="29"/>
    <n v="12"/>
    <b v="0"/>
    <x v="1"/>
    <n v="6"/>
    <x v="2"/>
    <x v="1"/>
    <n v="5"/>
  </r>
  <r>
    <s v="ORD_000249"/>
    <s v="CUST_00249"/>
    <d v="2023-03-07T00:00:00"/>
    <n v="56"/>
    <s v="Female"/>
    <s v="Antalya"/>
    <x v="7"/>
    <n v="77.87"/>
    <n v="2"/>
    <n v="155.74"/>
    <n v="13.24"/>
    <n v="8.5013484011814563E-2"/>
    <n v="142.5"/>
    <s v="Debit Card"/>
    <s v="Mobile"/>
    <n v="15"/>
    <n v="9"/>
    <b v="1"/>
    <x v="0"/>
    <n v="2"/>
    <x v="1"/>
    <x v="4"/>
    <n v="4"/>
  </r>
  <r>
    <s v="ORD_000250"/>
    <s v="CUST_00250"/>
    <d v="2023-12-04T00:00:00"/>
    <n v="39"/>
    <s v="Male"/>
    <s v="Antalya"/>
    <x v="2"/>
    <n v="37.119999999999997"/>
    <n v="1"/>
    <n v="37.119999999999997"/>
    <n v="0"/>
    <n v="0"/>
    <n v="37.119999999999997"/>
    <s v="Cash on Delivery"/>
    <s v="Mobile"/>
    <n v="12"/>
    <n v="4"/>
    <b v="1"/>
    <x v="0"/>
    <n v="3"/>
    <x v="1"/>
    <x v="0"/>
    <n v="4"/>
  </r>
  <r>
    <s v="ORD_000251"/>
    <s v="CUST_00251"/>
    <d v="2023-09-01T00:00:00"/>
    <n v="19"/>
    <s v="Male"/>
    <s v="Izmir"/>
    <x v="4"/>
    <n v="555.28"/>
    <n v="1"/>
    <n v="555.28"/>
    <n v="0"/>
    <n v="0"/>
    <n v="555.28"/>
    <s v="Digital Wallet"/>
    <s v="Desktop"/>
    <n v="7"/>
    <n v="8"/>
    <b v="0"/>
    <x v="1"/>
    <n v="8"/>
    <x v="0"/>
    <x v="3"/>
    <n v="3"/>
  </r>
  <r>
    <s v="ORD_000252"/>
    <s v="CUST_00252"/>
    <d v="2023-10-09T00:00:00"/>
    <n v="46"/>
    <s v="Male"/>
    <s v="Istanbul"/>
    <x v="0"/>
    <n v="263.52999999999997"/>
    <n v="5"/>
    <n v="1317.6499999999999"/>
    <n v="0"/>
    <n v="0"/>
    <n v="1317.65"/>
    <s v="Bank Transfer"/>
    <s v="Mobile"/>
    <n v="14"/>
    <n v="9"/>
    <b v="1"/>
    <x v="0"/>
    <n v="4"/>
    <x v="2"/>
    <x v="2"/>
    <n v="5"/>
  </r>
  <r>
    <s v="ORD_000253"/>
    <s v="CUST_00253"/>
    <d v="2023-03-26T00:00:00"/>
    <n v="60"/>
    <s v="Male"/>
    <s v="Gaziantep"/>
    <x v="2"/>
    <n v="64.23"/>
    <n v="3"/>
    <n v="192.69"/>
    <n v="0"/>
    <n v="0"/>
    <n v="192.69"/>
    <s v="Credit Card"/>
    <s v="Desktop"/>
    <n v="22"/>
    <n v="8"/>
    <b v="0"/>
    <x v="1"/>
    <n v="6"/>
    <x v="2"/>
    <x v="4"/>
    <n v="5"/>
  </r>
  <r>
    <s v="ORD_000254"/>
    <s v="CUST_00254"/>
    <d v="2023-05-16T00:00:00"/>
    <n v="47"/>
    <s v="Female"/>
    <s v="Antalya"/>
    <x v="7"/>
    <n v="322.29000000000002"/>
    <n v="3"/>
    <n v="966.87000000000012"/>
    <n v="0"/>
    <n v="0"/>
    <n v="966.87"/>
    <s v="Credit Card"/>
    <s v="Mobile"/>
    <n v="16"/>
    <n v="6"/>
    <b v="0"/>
    <x v="1"/>
    <n v="10"/>
    <x v="0"/>
    <x v="2"/>
    <n v="4"/>
  </r>
  <r>
    <s v="ORD_000255"/>
    <s v="CUST_00255"/>
    <d v="2023-09-28T00:00:00"/>
    <n v="18"/>
    <s v="Male"/>
    <s v="Izmir"/>
    <x v="3"/>
    <n v="33.17"/>
    <n v="1"/>
    <n v="33.17"/>
    <n v="2.64"/>
    <n v="7.9589990955682852E-2"/>
    <n v="30.53"/>
    <s v="Credit Card"/>
    <s v="Mobile"/>
    <n v="17"/>
    <n v="12"/>
    <b v="1"/>
    <x v="0"/>
    <n v="5"/>
    <x v="2"/>
    <x v="3"/>
    <n v="2"/>
  </r>
  <r>
    <s v="ORD_000256"/>
    <s v="CUST_00256"/>
    <d v="2024-03-22T00:00:00"/>
    <n v="29"/>
    <s v="Male"/>
    <s v="Konya"/>
    <x v="7"/>
    <n v="269.26"/>
    <n v="5"/>
    <n v="1346.3"/>
    <n v="0"/>
    <n v="0"/>
    <n v="1346.3"/>
    <s v="Debit Card"/>
    <s v="Mobile"/>
    <n v="13"/>
    <n v="11"/>
    <b v="0"/>
    <x v="1"/>
    <n v="10"/>
    <x v="0"/>
    <x v="1"/>
    <n v="3"/>
  </r>
  <r>
    <s v="ORD_000257"/>
    <s v="CUST_00257"/>
    <d v="2023-11-07T00:00:00"/>
    <n v="50"/>
    <s v="Male"/>
    <s v="Ankara"/>
    <x v="3"/>
    <n v="54.26"/>
    <n v="4"/>
    <n v="217.04"/>
    <n v="13.67"/>
    <n v="6.2983781791374857E-2"/>
    <n v="203.37"/>
    <s v="Digital Wallet"/>
    <s v="Mobile"/>
    <n v="25"/>
    <n v="7"/>
    <b v="0"/>
    <x v="1"/>
    <n v="3"/>
    <x v="1"/>
    <x v="2"/>
    <n v="5"/>
  </r>
  <r>
    <s v="ORD_000258"/>
    <s v="CUST_00258"/>
    <d v="2023-08-05T00:00:00"/>
    <n v="26"/>
    <s v="Female"/>
    <s v="Ankara"/>
    <x v="6"/>
    <n v="23.78"/>
    <n v="2"/>
    <n v="47.56"/>
    <n v="2.1800000000000002"/>
    <n v="4.5836837678721619E-2"/>
    <n v="45.38"/>
    <s v="Credit Card"/>
    <s v="Mobile"/>
    <n v="15"/>
    <n v="9"/>
    <b v="0"/>
    <x v="1"/>
    <n v="10"/>
    <x v="0"/>
    <x v="1"/>
    <n v="3"/>
  </r>
  <r>
    <s v="ORD_000259"/>
    <s v="CUST_00259"/>
    <d v="2023-04-19T00:00:00"/>
    <n v="40"/>
    <s v="Female"/>
    <s v="Konya"/>
    <x v="4"/>
    <n v="219.57"/>
    <n v="1"/>
    <n v="219.57"/>
    <n v="0"/>
    <n v="0"/>
    <n v="219.57"/>
    <s v="Credit Card"/>
    <s v="Mobile"/>
    <n v="8"/>
    <n v="9"/>
    <b v="0"/>
    <x v="1"/>
    <n v="3"/>
    <x v="1"/>
    <x v="0"/>
    <n v="5"/>
  </r>
  <r>
    <s v="ORD_000260"/>
    <s v="CUST_00260"/>
    <d v="2023-10-04T00:00:00"/>
    <n v="44"/>
    <s v="Male"/>
    <s v="Gaziantep"/>
    <x v="0"/>
    <n v="45.4"/>
    <n v="1"/>
    <n v="45.4"/>
    <n v="0"/>
    <n v="0"/>
    <n v="45.4"/>
    <s v="Debit Card"/>
    <s v="Desktop"/>
    <n v="9"/>
    <n v="5"/>
    <b v="1"/>
    <x v="0"/>
    <n v="7"/>
    <x v="2"/>
    <x v="0"/>
    <n v="5"/>
  </r>
  <r>
    <s v="ORD_000261"/>
    <s v="CUST_00261"/>
    <d v="2024-01-22T00:00:00"/>
    <n v="23"/>
    <s v="Male"/>
    <s v="Izmir"/>
    <x v="2"/>
    <n v="42.64"/>
    <n v="5"/>
    <n v="213.2"/>
    <n v="0"/>
    <n v="0"/>
    <n v="213.2"/>
    <s v="Credit Card"/>
    <s v="Desktop"/>
    <n v="13"/>
    <n v="4"/>
    <b v="0"/>
    <x v="1"/>
    <n v="9"/>
    <x v="0"/>
    <x v="3"/>
    <n v="5"/>
  </r>
  <r>
    <s v="ORD_000262"/>
    <s v="CUST_00262"/>
    <d v="2024-01-09T00:00:00"/>
    <n v="34"/>
    <s v="Male"/>
    <s v="Istanbul"/>
    <x v="0"/>
    <n v="98.63"/>
    <n v="4"/>
    <n v="394.52"/>
    <n v="0"/>
    <n v="0"/>
    <n v="394.52"/>
    <s v="Debit Card"/>
    <s v="Mobile"/>
    <n v="11"/>
    <n v="7"/>
    <b v="0"/>
    <x v="1"/>
    <n v="14"/>
    <x v="0"/>
    <x v="1"/>
    <n v="1"/>
  </r>
  <r>
    <s v="ORD_000263"/>
    <s v="CUST_00263"/>
    <d v="2023-12-20T00:00:00"/>
    <n v="18"/>
    <s v="Female"/>
    <s v="Istanbul"/>
    <x v="7"/>
    <n v="1125.8800000000001"/>
    <n v="1"/>
    <n v="1125.8800000000001"/>
    <n v="160.21"/>
    <n v="0.14229758055920702"/>
    <n v="965.67"/>
    <s v="Credit Card"/>
    <s v="Desktop"/>
    <n v="23"/>
    <n v="3"/>
    <b v="1"/>
    <x v="0"/>
    <n v="18"/>
    <x v="3"/>
    <x v="3"/>
    <n v="5"/>
  </r>
  <r>
    <s v="ORD_000264"/>
    <s v="CUST_00264"/>
    <d v="2023-04-13T00:00:00"/>
    <n v="22"/>
    <s v="Female"/>
    <s v="Antalya"/>
    <x v="6"/>
    <n v="122.17"/>
    <n v="1"/>
    <n v="122.17"/>
    <n v="0"/>
    <n v="0"/>
    <n v="122.17"/>
    <s v="Digital Wallet"/>
    <s v="Mobile"/>
    <n v="17"/>
    <n v="7"/>
    <b v="1"/>
    <x v="0"/>
    <n v="3"/>
    <x v="1"/>
    <x v="3"/>
    <n v="5"/>
  </r>
  <r>
    <s v="ORD_000265"/>
    <s v="CUST_00265"/>
    <d v="2024-01-01T00:00:00"/>
    <n v="31"/>
    <s v="Female"/>
    <s v="Ankara"/>
    <x v="4"/>
    <n v="1069.82"/>
    <n v="1"/>
    <n v="1069.82"/>
    <n v="0"/>
    <n v="0"/>
    <n v="1069.82"/>
    <s v="Debit Card"/>
    <s v="Mobile"/>
    <n v="13"/>
    <n v="11"/>
    <b v="0"/>
    <x v="1"/>
    <n v="15"/>
    <x v="3"/>
    <x v="1"/>
    <n v="2"/>
  </r>
  <r>
    <s v="ORD_000266"/>
    <s v="CUST_00266"/>
    <d v="2023-06-09T00:00:00"/>
    <n v="20"/>
    <s v="Female"/>
    <s v="Gaziantep"/>
    <x v="0"/>
    <n v="44.35"/>
    <n v="3"/>
    <n v="133.05000000000001"/>
    <n v="0"/>
    <n v="0"/>
    <n v="133.05000000000001"/>
    <s v="Debit Card"/>
    <s v="Desktop"/>
    <n v="8"/>
    <n v="10"/>
    <b v="1"/>
    <x v="0"/>
    <n v="7"/>
    <x v="2"/>
    <x v="3"/>
    <n v="4"/>
  </r>
  <r>
    <s v="ORD_000267"/>
    <s v="CUST_00267"/>
    <d v="2023-07-24T00:00:00"/>
    <n v="54"/>
    <s v="Male"/>
    <s v="Kayseri"/>
    <x v="6"/>
    <n v="72.260000000000005"/>
    <n v="1"/>
    <n v="72.260000000000005"/>
    <n v="0"/>
    <n v="0"/>
    <n v="72.260000000000005"/>
    <s v="Credit Card"/>
    <s v="Tablet"/>
    <n v="11"/>
    <n v="9"/>
    <b v="0"/>
    <x v="1"/>
    <n v="4"/>
    <x v="2"/>
    <x v="2"/>
    <n v="5"/>
  </r>
  <r>
    <s v="ORD_000268"/>
    <s v="CUST_00268"/>
    <d v="2023-12-10T00:00:00"/>
    <n v="18"/>
    <s v="Female"/>
    <s v="Gaziantep"/>
    <x v="3"/>
    <n v="147.04"/>
    <n v="4"/>
    <n v="588.16"/>
    <n v="11.25"/>
    <n v="1.9127448313384116E-2"/>
    <n v="576.91"/>
    <s v="Credit Card"/>
    <s v="Mobile"/>
    <n v="10"/>
    <n v="7"/>
    <b v="1"/>
    <x v="0"/>
    <n v="12"/>
    <x v="0"/>
    <x v="3"/>
    <n v="5"/>
  </r>
  <r>
    <s v="ORD_000269"/>
    <s v="CUST_00269"/>
    <d v="2023-11-29T00:00:00"/>
    <n v="29"/>
    <s v="Female"/>
    <s v="Ankara"/>
    <x v="7"/>
    <n v="318.48"/>
    <n v="3"/>
    <n v="955.44"/>
    <n v="0"/>
    <n v="0"/>
    <n v="955.44"/>
    <s v="Digital Wallet"/>
    <s v="Desktop"/>
    <n v="20"/>
    <n v="9"/>
    <b v="1"/>
    <x v="0"/>
    <n v="8"/>
    <x v="0"/>
    <x v="1"/>
    <n v="3"/>
  </r>
  <r>
    <s v="ORD_000270"/>
    <s v="CUST_00270"/>
    <d v="2023-07-11T00:00:00"/>
    <n v="36"/>
    <s v="Male"/>
    <s v="Gaziantep"/>
    <x v="6"/>
    <n v="80.06"/>
    <n v="1"/>
    <n v="80.06"/>
    <n v="11.58"/>
    <n v="0.14464151886085436"/>
    <n v="68.48"/>
    <s v="Digital Wallet"/>
    <s v="Desktop"/>
    <n v="2"/>
    <n v="10"/>
    <b v="0"/>
    <x v="1"/>
    <n v="6"/>
    <x v="2"/>
    <x v="0"/>
    <n v="2"/>
  </r>
  <r>
    <s v="ORD_000271"/>
    <s v="CUST_00271"/>
    <d v="2023-08-13T00:00:00"/>
    <n v="52"/>
    <s v="Male"/>
    <s v="Ankara"/>
    <x v="0"/>
    <n v="28.67"/>
    <n v="5"/>
    <n v="143.35000000000002"/>
    <n v="8.34"/>
    <n v="5.8179281478897796E-2"/>
    <n v="135.01"/>
    <s v="Debit Card"/>
    <s v="Desktop"/>
    <n v="8"/>
    <n v="11"/>
    <b v="1"/>
    <x v="0"/>
    <n v="6"/>
    <x v="2"/>
    <x v="2"/>
    <n v="4"/>
  </r>
  <r>
    <s v="ORD_000272"/>
    <s v="CUST_00272"/>
    <d v="2023-09-22T00:00:00"/>
    <n v="18"/>
    <s v="Female"/>
    <s v="Istanbul"/>
    <x v="6"/>
    <n v="37.04"/>
    <n v="2"/>
    <n v="74.08"/>
    <n v="10.46"/>
    <n v="0.14119870410367172"/>
    <n v="63.62"/>
    <s v="Debit Card"/>
    <s v="Mobile"/>
    <n v="5"/>
    <n v="4"/>
    <b v="0"/>
    <x v="1"/>
    <n v="13"/>
    <x v="0"/>
    <x v="3"/>
    <n v="5"/>
  </r>
  <r>
    <s v="ORD_000273"/>
    <s v="CUST_00273"/>
    <d v="2023-08-20T00:00:00"/>
    <n v="48"/>
    <s v="Female"/>
    <s v="Istanbul"/>
    <x v="3"/>
    <n v="98.5"/>
    <n v="1"/>
    <n v="98.5"/>
    <n v="18.79"/>
    <n v="0.19076142131979695"/>
    <n v="79.709999999999994"/>
    <s v="Credit Card"/>
    <s v="Tablet"/>
    <n v="8"/>
    <n v="11"/>
    <b v="1"/>
    <x v="0"/>
    <n v="8"/>
    <x v="0"/>
    <x v="2"/>
    <n v="5"/>
  </r>
  <r>
    <s v="ORD_000274"/>
    <s v="CUST_00274"/>
    <d v="2023-03-03T00:00:00"/>
    <n v="35"/>
    <s v="Male"/>
    <s v="Ankara"/>
    <x v="1"/>
    <n v="154.55000000000001"/>
    <n v="3"/>
    <n v="463.65000000000003"/>
    <n v="32.39"/>
    <n v="6.9858729645206508E-2"/>
    <n v="431.26"/>
    <s v="Bank Transfer"/>
    <s v="Mobile"/>
    <n v="17"/>
    <n v="8"/>
    <b v="1"/>
    <x v="0"/>
    <n v="8"/>
    <x v="0"/>
    <x v="1"/>
    <n v="3"/>
  </r>
  <r>
    <s v="ORD_000275"/>
    <s v="CUST_00275"/>
    <d v="2023-05-07T00:00:00"/>
    <n v="23"/>
    <s v="Female"/>
    <s v="Konya"/>
    <x v="0"/>
    <n v="110.67"/>
    <n v="2"/>
    <n v="221.34"/>
    <n v="0"/>
    <n v="0"/>
    <n v="221.34"/>
    <s v="Digital Wallet"/>
    <s v="Mobile"/>
    <n v="17"/>
    <n v="6"/>
    <b v="0"/>
    <x v="1"/>
    <n v="10"/>
    <x v="0"/>
    <x v="3"/>
    <n v="4"/>
  </r>
  <r>
    <s v="ORD_000276"/>
    <s v="CUST_00276"/>
    <d v="2023-04-26T00:00:00"/>
    <n v="40"/>
    <s v="Female"/>
    <s v="Istanbul"/>
    <x v="3"/>
    <n v="265.5"/>
    <n v="4"/>
    <n v="1062"/>
    <n v="36.65"/>
    <n v="3.4510357815442559E-2"/>
    <n v="1025.3499999999999"/>
    <s v="Debit Card"/>
    <s v="Desktop"/>
    <n v="16"/>
    <n v="5"/>
    <b v="0"/>
    <x v="1"/>
    <n v="4"/>
    <x v="2"/>
    <x v="0"/>
    <n v="5"/>
  </r>
  <r>
    <s v="ORD_000277"/>
    <s v="CUST_00277"/>
    <d v="2023-02-02T00:00:00"/>
    <n v="37"/>
    <s v="Male"/>
    <s v="Istanbul"/>
    <x v="1"/>
    <n v="114.14"/>
    <n v="2"/>
    <n v="228.28"/>
    <n v="0"/>
    <n v="0"/>
    <n v="228.28"/>
    <s v="Bank Transfer"/>
    <s v="Mobile"/>
    <n v="5"/>
    <n v="10"/>
    <b v="1"/>
    <x v="0"/>
    <n v="9"/>
    <x v="0"/>
    <x v="0"/>
    <n v="5"/>
  </r>
  <r>
    <s v="ORD_000278"/>
    <s v="CUST_00278"/>
    <d v="2023-06-23T00:00:00"/>
    <n v="27"/>
    <s v="Male"/>
    <s v="Eskisehir"/>
    <x v="4"/>
    <n v="181.56"/>
    <n v="2"/>
    <n v="363.12"/>
    <n v="0"/>
    <n v="0"/>
    <n v="363.12"/>
    <s v="Credit Card"/>
    <s v="Mobile"/>
    <n v="14"/>
    <n v="5"/>
    <b v="1"/>
    <x v="0"/>
    <n v="7"/>
    <x v="2"/>
    <x v="1"/>
    <n v="5"/>
  </r>
  <r>
    <s v="ORD_000279"/>
    <s v="CUST_00279"/>
    <d v="2023-01-11T00:00:00"/>
    <n v="35"/>
    <s v="Male"/>
    <s v="Istanbul"/>
    <x v="7"/>
    <n v="1148.1099999999999"/>
    <n v="1"/>
    <n v="1148.1099999999999"/>
    <n v="0"/>
    <n v="0"/>
    <n v="1148.1099999999999"/>
    <s v="Digital Wallet"/>
    <s v="Mobile"/>
    <n v="26"/>
    <n v="9"/>
    <b v="0"/>
    <x v="1"/>
    <n v="12"/>
    <x v="0"/>
    <x v="1"/>
    <n v="5"/>
  </r>
  <r>
    <s v="ORD_000280"/>
    <s v="CUST_00280"/>
    <d v="2023-10-29T00:00:00"/>
    <n v="30"/>
    <s v="Female"/>
    <s v="Gaziantep"/>
    <x v="6"/>
    <n v="164.95"/>
    <n v="4"/>
    <n v="659.8"/>
    <n v="0"/>
    <n v="0"/>
    <n v="659.8"/>
    <s v="Cash on Delivery"/>
    <s v="Mobile"/>
    <n v="11"/>
    <n v="8"/>
    <b v="0"/>
    <x v="1"/>
    <n v="9"/>
    <x v="0"/>
    <x v="1"/>
    <n v="3"/>
  </r>
  <r>
    <s v="ORD_000281"/>
    <s v="CUST_00281"/>
    <d v="2023-10-11T00:00:00"/>
    <n v="36"/>
    <s v="Male"/>
    <s v="Ankara"/>
    <x v="4"/>
    <n v="635.86"/>
    <n v="1"/>
    <n v="635.86"/>
    <n v="65.25"/>
    <n v="0.10261692825464724"/>
    <n v="570.61"/>
    <s v="Credit Card"/>
    <s v="Mobile"/>
    <n v="12"/>
    <n v="9"/>
    <b v="0"/>
    <x v="1"/>
    <n v="3"/>
    <x v="1"/>
    <x v="0"/>
    <n v="5"/>
  </r>
  <r>
    <s v="ORD_000282"/>
    <s v="CUST_00282"/>
    <d v="2023-04-28T00:00:00"/>
    <n v="42"/>
    <s v="Male"/>
    <s v="Istanbul"/>
    <x v="5"/>
    <n v="1843.57"/>
    <n v="1"/>
    <n v="1843.57"/>
    <n v="0"/>
    <n v="0"/>
    <n v="1843.57"/>
    <s v="Credit Card"/>
    <s v="Tablet"/>
    <n v="9"/>
    <n v="7"/>
    <b v="1"/>
    <x v="0"/>
    <n v="4"/>
    <x v="2"/>
    <x v="0"/>
    <n v="1"/>
  </r>
  <r>
    <s v="ORD_000283"/>
    <s v="CUST_00283"/>
    <d v="2023-10-29T00:00:00"/>
    <n v="54"/>
    <s v="Female"/>
    <s v="Kayseri"/>
    <x v="3"/>
    <n v="188.47"/>
    <n v="1"/>
    <n v="188.47"/>
    <n v="0"/>
    <n v="0"/>
    <n v="188.47"/>
    <s v="Digital Wallet"/>
    <s v="Mobile"/>
    <n v="13"/>
    <n v="7"/>
    <b v="1"/>
    <x v="0"/>
    <n v="9"/>
    <x v="0"/>
    <x v="2"/>
    <n v="5"/>
  </r>
  <r>
    <s v="ORD_000284"/>
    <s v="CUST_00284"/>
    <d v="2023-04-23T00:00:00"/>
    <n v="20"/>
    <s v="Female"/>
    <s v="Istanbul"/>
    <x v="4"/>
    <n v="1223.3699999999999"/>
    <n v="2"/>
    <n v="2446.7399999999998"/>
    <n v="146.22"/>
    <n v="5.9761151573113618E-2"/>
    <n v="2300.52"/>
    <s v="Credit Card"/>
    <s v="Mobile"/>
    <n v="13"/>
    <n v="6"/>
    <b v="0"/>
    <x v="1"/>
    <n v="6"/>
    <x v="2"/>
    <x v="3"/>
    <n v="4"/>
  </r>
  <r>
    <s v="ORD_000285"/>
    <s v="CUST_00285"/>
    <d v="2023-01-04T00:00:00"/>
    <n v="60"/>
    <s v="Male"/>
    <s v="Bursa"/>
    <x v="4"/>
    <n v="912.21"/>
    <n v="4"/>
    <n v="3648.84"/>
    <n v="63.68"/>
    <n v="1.745212177020642E-2"/>
    <n v="3585.16"/>
    <s v="Bank Transfer"/>
    <s v="Mobile"/>
    <n v="13"/>
    <n v="10"/>
    <b v="1"/>
    <x v="0"/>
    <n v="4"/>
    <x v="2"/>
    <x v="4"/>
    <n v="5"/>
  </r>
  <r>
    <s v="ORD_000286"/>
    <s v="CUST_00286"/>
    <d v="2023-02-06T00:00:00"/>
    <n v="18"/>
    <s v="Male"/>
    <s v="Ankara"/>
    <x v="6"/>
    <n v="58.38"/>
    <n v="4"/>
    <n v="233.52"/>
    <n v="0"/>
    <n v="0"/>
    <n v="233.52"/>
    <s v="Credit Card"/>
    <s v="Mobile"/>
    <n v="12"/>
    <n v="11"/>
    <b v="0"/>
    <x v="1"/>
    <n v="3"/>
    <x v="1"/>
    <x v="3"/>
    <n v="5"/>
  </r>
  <r>
    <s v="ORD_000287"/>
    <s v="CUST_00287"/>
    <d v="2023-12-29T00:00:00"/>
    <n v="33"/>
    <s v="Female"/>
    <s v="Istanbul"/>
    <x v="1"/>
    <n v="53.49"/>
    <n v="3"/>
    <n v="160.47"/>
    <n v="0"/>
    <n v="0"/>
    <n v="160.47"/>
    <s v="Digital Wallet"/>
    <s v="Desktop"/>
    <n v="2"/>
    <n v="12"/>
    <b v="0"/>
    <x v="1"/>
    <n v="5"/>
    <x v="2"/>
    <x v="1"/>
    <n v="2"/>
  </r>
  <r>
    <s v="ORD_000288"/>
    <s v="CUST_00288"/>
    <d v="2023-11-20T00:00:00"/>
    <n v="42"/>
    <s v="Female"/>
    <s v="Istanbul"/>
    <x v="3"/>
    <n v="43.39"/>
    <n v="3"/>
    <n v="130.17000000000002"/>
    <n v="7"/>
    <n v="5.3775831604824451E-2"/>
    <n v="123.17"/>
    <s v="Credit Card"/>
    <s v="Mobile"/>
    <n v="35"/>
    <n v="7"/>
    <b v="1"/>
    <x v="0"/>
    <n v="6"/>
    <x v="2"/>
    <x v="0"/>
    <n v="3"/>
  </r>
  <r>
    <s v="ORD_000289"/>
    <s v="CUST_00289"/>
    <d v="2023-01-31T00:00:00"/>
    <n v="38"/>
    <s v="Female"/>
    <s v="Istanbul"/>
    <x v="1"/>
    <n v="66.84"/>
    <n v="4"/>
    <n v="267.36"/>
    <n v="0"/>
    <n v="0"/>
    <n v="267.36"/>
    <s v="Credit Card"/>
    <s v="Desktop"/>
    <n v="27"/>
    <n v="7"/>
    <b v="0"/>
    <x v="1"/>
    <n v="5"/>
    <x v="2"/>
    <x v="0"/>
    <n v="4"/>
  </r>
  <r>
    <s v="ORD_000290"/>
    <s v="CUST_00290"/>
    <d v="2023-04-28T00:00:00"/>
    <n v="27"/>
    <s v="Male"/>
    <s v="Istanbul"/>
    <x v="7"/>
    <n v="742.38"/>
    <n v="2"/>
    <n v="1484.76"/>
    <n v="0"/>
    <n v="0"/>
    <n v="1484.76"/>
    <s v="Bank Transfer"/>
    <s v="Mobile"/>
    <n v="18"/>
    <n v="6"/>
    <b v="0"/>
    <x v="1"/>
    <n v="8"/>
    <x v="0"/>
    <x v="1"/>
    <n v="5"/>
  </r>
  <r>
    <s v="ORD_000291"/>
    <s v="CUST_00291"/>
    <d v="2023-02-04T00:00:00"/>
    <n v="32"/>
    <s v="Female"/>
    <s v="Adana"/>
    <x v="4"/>
    <n v="349.92"/>
    <n v="1"/>
    <n v="349.92"/>
    <n v="0"/>
    <n v="0"/>
    <n v="349.92"/>
    <s v="Digital Wallet"/>
    <s v="Mobile"/>
    <n v="12"/>
    <n v="7"/>
    <b v="1"/>
    <x v="0"/>
    <n v="3"/>
    <x v="1"/>
    <x v="1"/>
    <n v="5"/>
  </r>
  <r>
    <s v="ORD_000292"/>
    <s v="CUST_00292"/>
    <d v="2023-01-17T00:00:00"/>
    <n v="29"/>
    <s v="Female"/>
    <s v="Izmir"/>
    <x v="3"/>
    <n v="140.69"/>
    <n v="1"/>
    <n v="140.69"/>
    <n v="0"/>
    <n v="0"/>
    <n v="140.69"/>
    <s v="Credit Card"/>
    <s v="Mobile"/>
    <n v="22"/>
    <n v="12"/>
    <b v="0"/>
    <x v="1"/>
    <n v="5"/>
    <x v="2"/>
    <x v="1"/>
    <n v="5"/>
  </r>
  <r>
    <s v="ORD_000293"/>
    <s v="CUST_00293"/>
    <d v="2024-03-16T00:00:00"/>
    <n v="27"/>
    <s v="Female"/>
    <s v="Ankara"/>
    <x v="4"/>
    <n v="584.78"/>
    <n v="1"/>
    <n v="584.78"/>
    <n v="0"/>
    <n v="0"/>
    <n v="584.78"/>
    <s v="Credit Card"/>
    <s v="Desktop"/>
    <n v="18"/>
    <n v="8"/>
    <b v="0"/>
    <x v="1"/>
    <n v="6"/>
    <x v="2"/>
    <x v="1"/>
    <n v="4"/>
  </r>
  <r>
    <s v="ORD_000294"/>
    <s v="CUST_00294"/>
    <d v="2023-06-19T00:00:00"/>
    <n v="45"/>
    <s v="Female"/>
    <s v="Izmir"/>
    <x v="7"/>
    <n v="261.44"/>
    <n v="1"/>
    <n v="261.44"/>
    <n v="0"/>
    <n v="0"/>
    <n v="261.44"/>
    <s v="Digital Wallet"/>
    <s v="Mobile"/>
    <n v="25"/>
    <n v="7"/>
    <b v="0"/>
    <x v="1"/>
    <n v="8"/>
    <x v="0"/>
    <x v="0"/>
    <n v="3"/>
  </r>
  <r>
    <s v="ORD_000295"/>
    <s v="CUST_00295"/>
    <d v="2023-02-06T00:00:00"/>
    <n v="39"/>
    <s v="Male"/>
    <s v="Kayseri"/>
    <x v="2"/>
    <n v="27.2"/>
    <n v="3"/>
    <n v="81.599999999999994"/>
    <n v="0"/>
    <n v="0"/>
    <n v="81.599999999999994"/>
    <s v="Digital Wallet"/>
    <s v="Mobile"/>
    <n v="10"/>
    <n v="10"/>
    <b v="1"/>
    <x v="0"/>
    <n v="6"/>
    <x v="2"/>
    <x v="0"/>
    <n v="1"/>
  </r>
  <r>
    <s v="ORD_000296"/>
    <s v="CUST_00296"/>
    <d v="2023-09-21T00:00:00"/>
    <n v="26"/>
    <s v="Male"/>
    <s v="Kayseri"/>
    <x v="7"/>
    <n v="246.94"/>
    <n v="1"/>
    <n v="246.94"/>
    <n v="0"/>
    <n v="0"/>
    <n v="246.94"/>
    <s v="Digital Wallet"/>
    <s v="Desktop"/>
    <n v="10"/>
    <n v="13"/>
    <b v="1"/>
    <x v="0"/>
    <n v="5"/>
    <x v="2"/>
    <x v="1"/>
    <n v="3"/>
  </r>
  <r>
    <s v="ORD_000297"/>
    <s v="CUST_00297"/>
    <d v="2023-05-02T00:00:00"/>
    <n v="45"/>
    <s v="Female"/>
    <s v="Adana"/>
    <x v="1"/>
    <n v="80.91"/>
    <n v="3"/>
    <n v="242.73"/>
    <n v="0"/>
    <n v="0"/>
    <n v="242.73"/>
    <s v="Debit Card"/>
    <s v="Desktop"/>
    <n v="33"/>
    <n v="7"/>
    <b v="1"/>
    <x v="0"/>
    <n v="4"/>
    <x v="2"/>
    <x v="0"/>
    <n v="5"/>
  </r>
  <r>
    <s v="ORD_000298"/>
    <s v="CUST_00298"/>
    <d v="2023-05-23T00:00:00"/>
    <n v="38"/>
    <s v="Female"/>
    <s v="Konya"/>
    <x v="1"/>
    <n v="718.22"/>
    <n v="2"/>
    <n v="1436.44"/>
    <n v="0"/>
    <n v="0"/>
    <n v="1436.44"/>
    <s v="Credit Card"/>
    <s v="Mobile"/>
    <n v="23"/>
    <n v="17"/>
    <b v="0"/>
    <x v="1"/>
    <n v="7"/>
    <x v="2"/>
    <x v="0"/>
    <n v="5"/>
  </r>
  <r>
    <s v="ORD_000299"/>
    <s v="CUST_00299"/>
    <d v="2023-12-09T00:00:00"/>
    <n v="44"/>
    <s v="Female"/>
    <s v="Ankara"/>
    <x v="0"/>
    <n v="55.19"/>
    <n v="1"/>
    <n v="55.19"/>
    <n v="3.94"/>
    <n v="7.1389744518934595E-2"/>
    <n v="51.25"/>
    <s v="Bank Transfer"/>
    <s v="Desktop"/>
    <n v="20"/>
    <n v="4"/>
    <b v="1"/>
    <x v="0"/>
    <n v="6"/>
    <x v="2"/>
    <x v="0"/>
    <n v="4"/>
  </r>
  <r>
    <s v="ORD_000300"/>
    <s v="CUST_00300"/>
    <d v="2023-09-06T00:00:00"/>
    <n v="42"/>
    <s v="Male"/>
    <s v="Ankara"/>
    <x v="4"/>
    <n v="585.42999999999995"/>
    <n v="1"/>
    <n v="585.42999999999995"/>
    <n v="83.78"/>
    <n v="0.14310848436192203"/>
    <n v="501.65"/>
    <s v="Digital Wallet"/>
    <s v="Desktop"/>
    <n v="6"/>
    <n v="7"/>
    <b v="1"/>
    <x v="0"/>
    <n v="5"/>
    <x v="2"/>
    <x v="0"/>
    <n v="5"/>
  </r>
  <r>
    <s v="ORD_000301"/>
    <s v="CUST_00301"/>
    <d v="2023-04-20T00:00:00"/>
    <n v="25"/>
    <s v="Female"/>
    <s v="Bursa"/>
    <x v="1"/>
    <n v="235.34"/>
    <n v="5"/>
    <n v="1176.7"/>
    <n v="0"/>
    <n v="0"/>
    <n v="1176.7"/>
    <s v="Debit Card"/>
    <s v="Mobile"/>
    <n v="8"/>
    <n v="10"/>
    <b v="0"/>
    <x v="1"/>
    <n v="5"/>
    <x v="2"/>
    <x v="3"/>
    <n v="4"/>
  </r>
  <r>
    <s v="ORD_000302"/>
    <s v="CUST_00302"/>
    <d v="2023-10-04T00:00:00"/>
    <n v="28"/>
    <s v="Female"/>
    <s v="Antalya"/>
    <x v="3"/>
    <n v="151.13"/>
    <n v="1"/>
    <n v="151.13"/>
    <n v="0"/>
    <n v="0"/>
    <n v="151.13"/>
    <s v="Debit Card"/>
    <s v="Tablet"/>
    <n v="4"/>
    <n v="7"/>
    <b v="1"/>
    <x v="0"/>
    <n v="3"/>
    <x v="1"/>
    <x v="1"/>
    <n v="4"/>
  </r>
  <r>
    <s v="ORD_000303"/>
    <s v="CUST_00303"/>
    <d v="2023-03-09T00:00:00"/>
    <n v="43"/>
    <s v="Male"/>
    <s v="Izmir"/>
    <x v="7"/>
    <n v="228.88"/>
    <n v="1"/>
    <n v="228.88"/>
    <n v="0"/>
    <n v="0"/>
    <n v="228.88"/>
    <s v="Debit Card"/>
    <s v="Desktop"/>
    <n v="5"/>
    <n v="6"/>
    <b v="1"/>
    <x v="0"/>
    <n v="6"/>
    <x v="2"/>
    <x v="0"/>
    <n v="4"/>
  </r>
  <r>
    <s v="ORD_000304"/>
    <s v="CUST_00304"/>
    <d v="2024-01-06T00:00:00"/>
    <n v="42"/>
    <s v="Male"/>
    <s v="Izmir"/>
    <x v="4"/>
    <n v="1271.81"/>
    <n v="5"/>
    <n v="6359.0499999999993"/>
    <n v="0"/>
    <n v="0"/>
    <n v="6359.05"/>
    <s v="Digital Wallet"/>
    <s v="Desktop"/>
    <n v="11"/>
    <n v="8"/>
    <b v="1"/>
    <x v="0"/>
    <n v="4"/>
    <x v="2"/>
    <x v="0"/>
    <n v="4"/>
  </r>
  <r>
    <s v="ORD_000305"/>
    <s v="CUST_00305"/>
    <d v="2023-10-20T00:00:00"/>
    <n v="34"/>
    <s v="Female"/>
    <s v="Eskisehir"/>
    <x v="7"/>
    <n v="342.67"/>
    <n v="5"/>
    <n v="1713.3500000000001"/>
    <n v="90.04"/>
    <n v="5.2552017976478828E-2"/>
    <n v="1623.31"/>
    <s v="Digital Wallet"/>
    <s v="Desktop"/>
    <n v="9"/>
    <n v="9"/>
    <b v="1"/>
    <x v="0"/>
    <n v="5"/>
    <x v="2"/>
    <x v="1"/>
    <n v="5"/>
  </r>
  <r>
    <s v="ORD_000306"/>
    <s v="CUST_00306"/>
    <d v="2023-10-23T00:00:00"/>
    <n v="36"/>
    <s v="Female"/>
    <s v="Gaziantep"/>
    <x v="7"/>
    <n v="332.34"/>
    <n v="1"/>
    <n v="332.34"/>
    <n v="0"/>
    <n v="0"/>
    <n v="332.34"/>
    <s v="Bank Transfer"/>
    <s v="Tablet"/>
    <n v="13"/>
    <n v="5"/>
    <b v="1"/>
    <x v="0"/>
    <n v="6"/>
    <x v="2"/>
    <x v="0"/>
    <n v="4"/>
  </r>
  <r>
    <s v="ORD_000307"/>
    <s v="CUST_00307"/>
    <d v="2023-08-31T00:00:00"/>
    <n v="50"/>
    <s v="Female"/>
    <s v="Izmir"/>
    <x v="4"/>
    <n v="1406.24"/>
    <n v="1"/>
    <n v="1406.24"/>
    <n v="0"/>
    <n v="0"/>
    <n v="1406.24"/>
    <s v="Debit Card"/>
    <s v="Desktop"/>
    <n v="15"/>
    <n v="8"/>
    <b v="1"/>
    <x v="0"/>
    <n v="4"/>
    <x v="2"/>
    <x v="2"/>
    <n v="3"/>
  </r>
  <r>
    <s v="ORD_000308"/>
    <s v="CUST_00308"/>
    <d v="2023-05-05T00:00:00"/>
    <n v="27"/>
    <s v="Female"/>
    <s v="Adana"/>
    <x v="6"/>
    <n v="76.77"/>
    <n v="1"/>
    <n v="76.77"/>
    <n v="0"/>
    <n v="0"/>
    <n v="76.77"/>
    <s v="Debit Card"/>
    <s v="Desktop"/>
    <n v="7"/>
    <n v="7"/>
    <b v="1"/>
    <x v="0"/>
    <n v="2"/>
    <x v="1"/>
    <x v="1"/>
    <n v="5"/>
  </r>
  <r>
    <s v="ORD_000309"/>
    <s v="CUST_00309"/>
    <d v="2024-02-06T00:00:00"/>
    <n v="41"/>
    <s v="Male"/>
    <s v="Ankara"/>
    <x v="2"/>
    <n v="63"/>
    <n v="1"/>
    <n v="63"/>
    <n v="0"/>
    <n v="0"/>
    <n v="63"/>
    <s v="Bank Transfer"/>
    <s v="Mobile"/>
    <n v="16"/>
    <n v="11"/>
    <b v="1"/>
    <x v="0"/>
    <n v="12"/>
    <x v="0"/>
    <x v="0"/>
    <n v="5"/>
  </r>
  <r>
    <s v="ORD_000310"/>
    <s v="CUST_00310"/>
    <d v="2023-08-31T00:00:00"/>
    <n v="32"/>
    <s v="Male"/>
    <s v="Istanbul"/>
    <x v="0"/>
    <n v="58.5"/>
    <n v="4"/>
    <n v="234"/>
    <n v="0"/>
    <n v="0"/>
    <n v="234"/>
    <s v="Credit Card"/>
    <s v="Mobile"/>
    <n v="14"/>
    <n v="9"/>
    <b v="1"/>
    <x v="0"/>
    <n v="3"/>
    <x v="1"/>
    <x v="1"/>
    <n v="5"/>
  </r>
  <r>
    <s v="ORD_000311"/>
    <s v="CUST_00311"/>
    <d v="2024-02-18T00:00:00"/>
    <n v="32"/>
    <s v="Female"/>
    <s v="Ankara"/>
    <x v="6"/>
    <n v="88.12"/>
    <n v="4"/>
    <n v="352.48"/>
    <n v="0"/>
    <n v="0"/>
    <n v="352.48"/>
    <s v="Debit Card"/>
    <s v="Mobile"/>
    <n v="8"/>
    <n v="5"/>
    <b v="0"/>
    <x v="1"/>
    <n v="6"/>
    <x v="2"/>
    <x v="1"/>
    <n v="3"/>
  </r>
  <r>
    <s v="ORD_000312"/>
    <s v="CUST_00312"/>
    <d v="2023-07-28T00:00:00"/>
    <n v="48"/>
    <s v="Female"/>
    <s v="Izmir"/>
    <x v="1"/>
    <n v="350.76"/>
    <n v="4"/>
    <n v="1403.04"/>
    <n v="51.81"/>
    <n v="3.6926958604173797E-2"/>
    <n v="1351.23"/>
    <s v="Debit Card"/>
    <s v="Mobile"/>
    <n v="22"/>
    <n v="10"/>
    <b v="0"/>
    <x v="1"/>
    <n v="7"/>
    <x v="2"/>
    <x v="2"/>
    <n v="3"/>
  </r>
  <r>
    <s v="ORD_000313"/>
    <s v="CUST_00313"/>
    <d v="2023-04-08T00:00:00"/>
    <n v="44"/>
    <s v="Female"/>
    <s v="Istanbul"/>
    <x v="5"/>
    <n v="504.27"/>
    <n v="1"/>
    <n v="504.27"/>
    <n v="80.12"/>
    <n v="0.15888313800146747"/>
    <n v="424.15"/>
    <s v="Bank Transfer"/>
    <s v="Mobile"/>
    <n v="12"/>
    <n v="10"/>
    <b v="1"/>
    <x v="0"/>
    <n v="9"/>
    <x v="0"/>
    <x v="0"/>
    <n v="2"/>
  </r>
  <r>
    <s v="ORD_000314"/>
    <s v="CUST_00314"/>
    <d v="2023-02-18T00:00:00"/>
    <n v="44"/>
    <s v="Female"/>
    <s v="Gaziantep"/>
    <x v="0"/>
    <n v="35.85"/>
    <n v="4"/>
    <n v="143.4"/>
    <n v="0"/>
    <n v="0"/>
    <n v="143.4"/>
    <s v="Credit Card"/>
    <s v="Mobile"/>
    <n v="5"/>
    <n v="7"/>
    <b v="0"/>
    <x v="1"/>
    <n v="2"/>
    <x v="1"/>
    <x v="0"/>
    <n v="2"/>
  </r>
  <r>
    <s v="ORD_000315"/>
    <s v="CUST_00315"/>
    <d v="2023-02-19T00:00:00"/>
    <n v="50"/>
    <s v="Male"/>
    <s v="Ankara"/>
    <x v="6"/>
    <n v="157.02000000000001"/>
    <n v="3"/>
    <n v="471.06000000000006"/>
    <n v="0"/>
    <n v="0"/>
    <n v="471.06"/>
    <s v="Credit Card"/>
    <s v="Mobile"/>
    <n v="5"/>
    <n v="8"/>
    <b v="1"/>
    <x v="0"/>
    <n v="5"/>
    <x v="2"/>
    <x v="2"/>
    <n v="5"/>
  </r>
  <r>
    <s v="ORD_000316"/>
    <s v="CUST_00316"/>
    <d v="2023-12-04T00:00:00"/>
    <n v="35"/>
    <s v="Female"/>
    <s v="Bursa"/>
    <x v="5"/>
    <n v="4047.49"/>
    <n v="4"/>
    <n v="16189.96"/>
    <n v="735.59"/>
    <n v="4.5434948573066278E-2"/>
    <n v="15454.37"/>
    <s v="Credit Card"/>
    <s v="Tablet"/>
    <n v="20"/>
    <n v="7"/>
    <b v="1"/>
    <x v="0"/>
    <n v="11"/>
    <x v="0"/>
    <x v="1"/>
    <n v="2"/>
  </r>
  <r>
    <s v="ORD_000317"/>
    <s v="CUST_00317"/>
    <d v="2023-08-09T00:00:00"/>
    <n v="43"/>
    <s v="Male"/>
    <s v="Istanbul"/>
    <x v="5"/>
    <n v="3802.5"/>
    <n v="1"/>
    <n v="3802.5"/>
    <n v="0"/>
    <n v="0"/>
    <n v="3802.5"/>
    <s v="Credit Card"/>
    <s v="Desktop"/>
    <n v="14"/>
    <n v="7"/>
    <b v="1"/>
    <x v="0"/>
    <n v="14"/>
    <x v="0"/>
    <x v="0"/>
    <n v="4"/>
  </r>
  <r>
    <s v="ORD_000318"/>
    <s v="CUST_00318"/>
    <d v="2023-07-01T00:00:00"/>
    <n v="31"/>
    <s v="Male"/>
    <s v="Istanbul"/>
    <x v="1"/>
    <n v="318.60000000000002"/>
    <n v="1"/>
    <n v="318.60000000000002"/>
    <n v="0"/>
    <n v="0"/>
    <n v="318.60000000000002"/>
    <s v="Credit Card"/>
    <s v="Mobile"/>
    <n v="12"/>
    <n v="8"/>
    <b v="0"/>
    <x v="1"/>
    <n v="5"/>
    <x v="2"/>
    <x v="1"/>
    <n v="5"/>
  </r>
  <r>
    <s v="ORD_000319"/>
    <s v="CUST_00319"/>
    <d v="2023-08-05T00:00:00"/>
    <n v="38"/>
    <s v="Male"/>
    <s v="Konya"/>
    <x v="2"/>
    <n v="40.72"/>
    <n v="2"/>
    <n v="81.44"/>
    <n v="0"/>
    <n v="0"/>
    <n v="81.44"/>
    <s v="Debit Card"/>
    <s v="Mobile"/>
    <n v="12"/>
    <n v="7"/>
    <b v="1"/>
    <x v="0"/>
    <n v="7"/>
    <x v="2"/>
    <x v="0"/>
    <n v="5"/>
  </r>
  <r>
    <s v="ORD_000320"/>
    <s v="CUST_00320"/>
    <d v="2023-07-30T00:00:00"/>
    <n v="33"/>
    <s v="Male"/>
    <s v="Bursa"/>
    <x v="7"/>
    <n v="72.16"/>
    <n v="1"/>
    <n v="72.16"/>
    <n v="0"/>
    <n v="0"/>
    <n v="72.16"/>
    <s v="Bank Transfer"/>
    <s v="Desktop"/>
    <n v="7"/>
    <n v="14"/>
    <b v="1"/>
    <x v="0"/>
    <n v="4"/>
    <x v="2"/>
    <x v="1"/>
    <n v="3"/>
  </r>
  <r>
    <s v="ORD_000321"/>
    <s v="CUST_00321"/>
    <d v="2023-08-28T00:00:00"/>
    <n v="36"/>
    <s v="Male"/>
    <s v="Kayseri"/>
    <x v="4"/>
    <n v="1077.56"/>
    <n v="1"/>
    <n v="1077.56"/>
    <n v="0"/>
    <n v="0"/>
    <n v="1077.56"/>
    <s v="Debit Card"/>
    <s v="Desktop"/>
    <n v="12"/>
    <n v="16"/>
    <b v="0"/>
    <x v="1"/>
    <n v="6"/>
    <x v="2"/>
    <x v="0"/>
    <n v="4"/>
  </r>
  <r>
    <s v="ORD_000322"/>
    <s v="CUST_00322"/>
    <d v="2024-03-18T00:00:00"/>
    <n v="42"/>
    <s v="Male"/>
    <s v="Eskisehir"/>
    <x v="2"/>
    <n v="92.08"/>
    <n v="5"/>
    <n v="460.4"/>
    <n v="0"/>
    <n v="0"/>
    <n v="460.4"/>
    <s v="Credit Card"/>
    <s v="Desktop"/>
    <n v="7"/>
    <n v="10"/>
    <b v="0"/>
    <x v="1"/>
    <n v="9"/>
    <x v="0"/>
    <x v="0"/>
    <n v="3"/>
  </r>
  <r>
    <s v="ORD_000323"/>
    <s v="CUST_00323"/>
    <d v="2024-01-09T00:00:00"/>
    <n v="25"/>
    <s v="Male"/>
    <s v="Ankara"/>
    <x v="5"/>
    <n v="1925.4"/>
    <n v="3"/>
    <n v="5776.2000000000007"/>
    <n v="247.59"/>
    <n v="4.2863820504830161E-2"/>
    <n v="5528.61"/>
    <s v="Bank Transfer"/>
    <s v="Desktop"/>
    <n v="13"/>
    <n v="16"/>
    <b v="1"/>
    <x v="0"/>
    <n v="4"/>
    <x v="2"/>
    <x v="3"/>
    <n v="3"/>
  </r>
  <r>
    <s v="ORD_000324"/>
    <s v="CUST_00324"/>
    <d v="2023-01-28T00:00:00"/>
    <n v="60"/>
    <s v="Male"/>
    <s v="Ankara"/>
    <x v="0"/>
    <n v="49.39"/>
    <n v="1"/>
    <n v="49.39"/>
    <n v="0"/>
    <n v="0"/>
    <n v="49.39"/>
    <s v="Debit Card"/>
    <s v="Tablet"/>
    <n v="14"/>
    <n v="12"/>
    <b v="1"/>
    <x v="0"/>
    <n v="6"/>
    <x v="2"/>
    <x v="4"/>
    <n v="4"/>
  </r>
  <r>
    <s v="ORD_000325"/>
    <s v="CUST_00325"/>
    <d v="2023-12-11T00:00:00"/>
    <n v="22"/>
    <s v="Female"/>
    <s v="Konya"/>
    <x v="3"/>
    <n v="157.19999999999999"/>
    <n v="2"/>
    <n v="314.39999999999998"/>
    <n v="0"/>
    <n v="0"/>
    <n v="314.39999999999998"/>
    <s v="Credit Card"/>
    <s v="Mobile"/>
    <n v="6"/>
    <n v="8"/>
    <b v="1"/>
    <x v="0"/>
    <n v="8"/>
    <x v="0"/>
    <x v="3"/>
    <n v="4"/>
  </r>
  <r>
    <s v="ORD_000326"/>
    <s v="CUST_00326"/>
    <d v="2023-12-01T00:00:00"/>
    <n v="20"/>
    <s v="Male"/>
    <s v="Eskisehir"/>
    <x v="1"/>
    <n v="229.26"/>
    <n v="2"/>
    <n v="458.52"/>
    <n v="0"/>
    <n v="0"/>
    <n v="458.52"/>
    <s v="Credit Card"/>
    <s v="Desktop"/>
    <n v="8"/>
    <n v="6"/>
    <b v="1"/>
    <x v="0"/>
    <n v="7"/>
    <x v="2"/>
    <x v="3"/>
    <n v="1"/>
  </r>
  <r>
    <s v="ORD_000327"/>
    <s v="CUST_00327"/>
    <d v="2023-11-27T00:00:00"/>
    <n v="48"/>
    <s v="Male"/>
    <s v="Antalya"/>
    <x v="6"/>
    <n v="129.38999999999999"/>
    <n v="1"/>
    <n v="129.38999999999999"/>
    <n v="0"/>
    <n v="0"/>
    <n v="129.38999999999999"/>
    <s v="Digital Wallet"/>
    <s v="Mobile"/>
    <n v="17"/>
    <n v="11"/>
    <b v="1"/>
    <x v="0"/>
    <n v="2"/>
    <x v="1"/>
    <x v="2"/>
    <n v="4"/>
  </r>
  <r>
    <s v="ORD_000328"/>
    <s v="CUST_00328"/>
    <d v="2023-02-20T00:00:00"/>
    <n v="44"/>
    <s v="Female"/>
    <s v="Gaziantep"/>
    <x v="0"/>
    <n v="16.71"/>
    <n v="2"/>
    <n v="33.42"/>
    <n v="0"/>
    <n v="0"/>
    <n v="33.42"/>
    <s v="Digital Wallet"/>
    <s v="Desktop"/>
    <n v="21"/>
    <n v="9"/>
    <b v="0"/>
    <x v="1"/>
    <n v="7"/>
    <x v="2"/>
    <x v="0"/>
    <n v="3"/>
  </r>
  <r>
    <s v="ORD_000329"/>
    <s v="CUST_00329"/>
    <d v="2023-02-01T00:00:00"/>
    <n v="42"/>
    <s v="Female"/>
    <s v="Gaziantep"/>
    <x v="1"/>
    <n v="394.76"/>
    <n v="1"/>
    <n v="394.76"/>
    <n v="0"/>
    <n v="0"/>
    <n v="394.76"/>
    <s v="Debit Card"/>
    <s v="Mobile"/>
    <n v="21"/>
    <n v="13"/>
    <b v="1"/>
    <x v="0"/>
    <n v="3"/>
    <x v="1"/>
    <x v="0"/>
    <n v="5"/>
  </r>
  <r>
    <s v="ORD_000330"/>
    <s v="CUST_00330"/>
    <d v="2023-07-26T00:00:00"/>
    <n v="42"/>
    <s v="Female"/>
    <s v="Ankara"/>
    <x v="6"/>
    <n v="161.21"/>
    <n v="4"/>
    <n v="644.84"/>
    <n v="0"/>
    <n v="0"/>
    <n v="644.84"/>
    <s v="Credit Card"/>
    <s v="Mobile"/>
    <n v="12"/>
    <n v="5"/>
    <b v="1"/>
    <x v="0"/>
    <n v="2"/>
    <x v="1"/>
    <x v="0"/>
    <n v="4"/>
  </r>
  <r>
    <s v="ORD_000331"/>
    <s v="CUST_00331"/>
    <d v="2024-01-08T00:00:00"/>
    <n v="34"/>
    <s v="Male"/>
    <s v="Bursa"/>
    <x v="4"/>
    <n v="1518.15"/>
    <n v="3"/>
    <n v="4554.4500000000007"/>
    <n v="0"/>
    <n v="0"/>
    <n v="4554.45"/>
    <s v="Digital Wallet"/>
    <s v="Desktop"/>
    <n v="24"/>
    <n v="10"/>
    <b v="0"/>
    <x v="1"/>
    <n v="3"/>
    <x v="1"/>
    <x v="1"/>
    <n v="5"/>
  </r>
  <r>
    <s v="ORD_000332"/>
    <s v="CUST_00332"/>
    <d v="2023-06-23T00:00:00"/>
    <n v="24"/>
    <s v="Female"/>
    <s v="Gaziantep"/>
    <x v="3"/>
    <n v="63.25"/>
    <n v="2"/>
    <n v="126.5"/>
    <n v="0"/>
    <n v="0"/>
    <n v="126.5"/>
    <s v="Credit Card"/>
    <s v="Desktop"/>
    <n v="8"/>
    <n v="12"/>
    <b v="0"/>
    <x v="1"/>
    <n v="4"/>
    <x v="2"/>
    <x v="3"/>
    <n v="3"/>
  </r>
  <r>
    <s v="ORD_000333"/>
    <s v="CUST_00333"/>
    <d v="2024-02-14T00:00:00"/>
    <n v="35"/>
    <s v="Male"/>
    <s v="Antalya"/>
    <x v="7"/>
    <n v="214.15"/>
    <n v="2"/>
    <n v="428.3"/>
    <n v="0"/>
    <n v="0"/>
    <n v="428.3"/>
    <s v="Digital Wallet"/>
    <s v="Desktop"/>
    <n v="4"/>
    <n v="4"/>
    <b v="0"/>
    <x v="1"/>
    <n v="3"/>
    <x v="1"/>
    <x v="1"/>
    <n v="5"/>
  </r>
  <r>
    <s v="ORD_000334"/>
    <s v="CUST_00334"/>
    <d v="2024-03-17T00:00:00"/>
    <n v="26"/>
    <s v="Male"/>
    <s v="Istanbul"/>
    <x v="2"/>
    <n v="91.5"/>
    <n v="5"/>
    <n v="457.5"/>
    <n v="0"/>
    <n v="0"/>
    <n v="457.5"/>
    <s v="Debit Card"/>
    <s v="Mobile"/>
    <n v="9"/>
    <n v="9"/>
    <b v="1"/>
    <x v="0"/>
    <n v="6"/>
    <x v="2"/>
    <x v="1"/>
    <n v="4"/>
  </r>
  <r>
    <s v="ORD_000335"/>
    <s v="CUST_00335"/>
    <d v="2023-02-25T00:00:00"/>
    <n v="46"/>
    <s v="Male"/>
    <s v="Ankara"/>
    <x v="3"/>
    <n v="206.16"/>
    <n v="5"/>
    <n v="1030.8"/>
    <n v="0"/>
    <n v="0"/>
    <n v="1030.8"/>
    <s v="Credit Card"/>
    <s v="Mobile"/>
    <n v="9"/>
    <n v="9"/>
    <b v="0"/>
    <x v="1"/>
    <n v="15"/>
    <x v="3"/>
    <x v="2"/>
    <n v="3"/>
  </r>
  <r>
    <s v="ORD_000336"/>
    <s v="CUST_00336"/>
    <d v="2023-05-08T00:00:00"/>
    <n v="33"/>
    <s v="Female"/>
    <s v="Istanbul"/>
    <x v="2"/>
    <n v="49.39"/>
    <n v="1"/>
    <n v="49.39"/>
    <n v="0"/>
    <n v="0"/>
    <n v="49.39"/>
    <s v="Credit Card"/>
    <s v="Tablet"/>
    <n v="8"/>
    <n v="13"/>
    <b v="0"/>
    <x v="1"/>
    <n v="5"/>
    <x v="2"/>
    <x v="1"/>
    <n v="5"/>
  </r>
  <r>
    <s v="ORD_000337"/>
    <s v="CUST_00337"/>
    <d v="2023-04-09T00:00:00"/>
    <n v="25"/>
    <s v="Male"/>
    <s v="Istanbul"/>
    <x v="2"/>
    <n v="82.06"/>
    <n v="1"/>
    <n v="82.06"/>
    <n v="5.79"/>
    <n v="7.0558128198878869E-2"/>
    <n v="76.27"/>
    <s v="Credit Card"/>
    <s v="Desktop"/>
    <n v="19"/>
    <n v="12"/>
    <b v="0"/>
    <x v="1"/>
    <n v="7"/>
    <x v="2"/>
    <x v="3"/>
    <n v="5"/>
  </r>
  <r>
    <s v="ORD_000338"/>
    <s v="CUST_00338"/>
    <d v="2023-04-08T00:00:00"/>
    <n v="31"/>
    <s v="Male"/>
    <s v="Konya"/>
    <x v="7"/>
    <n v="341.81"/>
    <n v="3"/>
    <n v="1025.43"/>
    <n v="0"/>
    <n v="0"/>
    <n v="1025.43"/>
    <s v="Credit Card"/>
    <s v="Mobile"/>
    <n v="13"/>
    <n v="6"/>
    <b v="0"/>
    <x v="1"/>
    <n v="9"/>
    <x v="0"/>
    <x v="1"/>
    <n v="5"/>
  </r>
  <r>
    <s v="ORD_000339"/>
    <s v="CUST_00339"/>
    <d v="2023-10-02T00:00:00"/>
    <n v="39"/>
    <s v="Male"/>
    <s v="Istanbul"/>
    <x v="7"/>
    <n v="355.96"/>
    <n v="5"/>
    <n v="1779.8"/>
    <n v="0"/>
    <n v="0"/>
    <n v="1779.8"/>
    <s v="Credit Card"/>
    <s v="Desktop"/>
    <n v="24"/>
    <n v="7"/>
    <b v="0"/>
    <x v="1"/>
    <n v="13"/>
    <x v="0"/>
    <x v="0"/>
    <n v="5"/>
  </r>
  <r>
    <s v="ORD_000340"/>
    <s v="CUST_00340"/>
    <d v="2023-08-18T00:00:00"/>
    <n v="28"/>
    <s v="Female"/>
    <s v="Istanbul"/>
    <x v="6"/>
    <n v="196.38"/>
    <n v="2"/>
    <n v="392.76"/>
    <n v="0"/>
    <n v="0"/>
    <n v="392.76"/>
    <s v="Debit Card"/>
    <s v="Mobile"/>
    <n v="9"/>
    <n v="10"/>
    <b v="0"/>
    <x v="1"/>
    <n v="6"/>
    <x v="2"/>
    <x v="1"/>
    <n v="3"/>
  </r>
  <r>
    <s v="ORD_000341"/>
    <s v="CUST_00341"/>
    <d v="2023-03-13T00:00:00"/>
    <n v="25"/>
    <s v="Female"/>
    <s v="Ankara"/>
    <x v="7"/>
    <n v="352.49"/>
    <n v="1"/>
    <n v="352.49"/>
    <n v="0"/>
    <n v="0"/>
    <n v="352.49"/>
    <s v="Debit Card"/>
    <s v="Mobile"/>
    <n v="11"/>
    <n v="7"/>
    <b v="0"/>
    <x v="1"/>
    <n v="3"/>
    <x v="1"/>
    <x v="3"/>
    <n v="4"/>
  </r>
  <r>
    <s v="ORD_000342"/>
    <s v="CUST_00342"/>
    <d v="2023-08-05T00:00:00"/>
    <n v="37"/>
    <s v="Male"/>
    <s v="Bursa"/>
    <x v="4"/>
    <n v="697.98"/>
    <n v="3"/>
    <n v="2093.94"/>
    <n v="167.79"/>
    <n v="8.0131235852030136E-2"/>
    <n v="1926.15"/>
    <s v="Debit Card"/>
    <s v="Tablet"/>
    <n v="17"/>
    <n v="14"/>
    <b v="1"/>
    <x v="0"/>
    <n v="12"/>
    <x v="0"/>
    <x v="0"/>
    <n v="4"/>
  </r>
  <r>
    <s v="ORD_000343"/>
    <s v="CUST_00343"/>
    <d v="2023-04-04T00:00:00"/>
    <n v="37"/>
    <s v="Female"/>
    <s v="Bursa"/>
    <x v="1"/>
    <n v="255.96"/>
    <n v="1"/>
    <n v="255.96"/>
    <n v="0"/>
    <n v="0"/>
    <n v="255.96"/>
    <s v="Debit Card"/>
    <s v="Mobile"/>
    <n v="21"/>
    <n v="9"/>
    <b v="1"/>
    <x v="0"/>
    <n v="5"/>
    <x v="2"/>
    <x v="0"/>
    <n v="2"/>
  </r>
  <r>
    <s v="ORD_000344"/>
    <s v="CUST_00344"/>
    <d v="2023-05-23T00:00:00"/>
    <n v="28"/>
    <s v="Female"/>
    <s v="Istanbul"/>
    <x v="5"/>
    <n v="555.79999999999995"/>
    <n v="2"/>
    <n v="1111.5999999999999"/>
    <n v="0"/>
    <n v="0"/>
    <n v="1111.5999999999999"/>
    <s v="Digital Wallet"/>
    <s v="Tablet"/>
    <n v="31"/>
    <n v="12"/>
    <b v="1"/>
    <x v="0"/>
    <n v="11"/>
    <x v="0"/>
    <x v="1"/>
    <n v="5"/>
  </r>
  <r>
    <s v="ORD_000345"/>
    <s v="CUST_00345"/>
    <d v="2023-08-25T00:00:00"/>
    <n v="29"/>
    <s v="Female"/>
    <s v="Istanbul"/>
    <x v="7"/>
    <n v="523.16"/>
    <n v="5"/>
    <n v="2615.7999999999997"/>
    <n v="0"/>
    <n v="0"/>
    <n v="2615.8000000000002"/>
    <s v="Bank Transfer"/>
    <s v="Mobile"/>
    <n v="11"/>
    <n v="6"/>
    <b v="1"/>
    <x v="0"/>
    <n v="8"/>
    <x v="0"/>
    <x v="1"/>
    <n v="4"/>
  </r>
  <r>
    <s v="ORD_000346"/>
    <s v="CUST_00346"/>
    <d v="2023-05-08T00:00:00"/>
    <n v="37"/>
    <s v="Male"/>
    <s v="Istanbul"/>
    <x v="1"/>
    <n v="102.11"/>
    <n v="5"/>
    <n v="510.55"/>
    <n v="0"/>
    <n v="0"/>
    <n v="510.55"/>
    <s v="Credit Card"/>
    <s v="Desktop"/>
    <n v="2"/>
    <n v="9"/>
    <b v="0"/>
    <x v="1"/>
    <n v="9"/>
    <x v="0"/>
    <x v="0"/>
    <n v="5"/>
  </r>
  <r>
    <s v="ORD_000347"/>
    <s v="CUST_00347"/>
    <d v="2024-03-23T00:00:00"/>
    <n v="18"/>
    <s v="Female"/>
    <s v="Izmir"/>
    <x v="6"/>
    <n v="248.3"/>
    <n v="1"/>
    <n v="248.3"/>
    <n v="0"/>
    <n v="0"/>
    <n v="248.3"/>
    <s v="Debit Card"/>
    <s v="Mobile"/>
    <n v="1"/>
    <n v="4"/>
    <b v="0"/>
    <x v="1"/>
    <n v="10"/>
    <x v="0"/>
    <x v="3"/>
    <n v="4"/>
  </r>
  <r>
    <s v="ORD_000348"/>
    <s v="CUST_00348"/>
    <d v="2023-02-08T00:00:00"/>
    <n v="18"/>
    <s v="Male"/>
    <s v="Ankara"/>
    <x v="7"/>
    <n v="893.98"/>
    <n v="2"/>
    <n v="1787.96"/>
    <n v="98.59"/>
    <n v="5.5141054609722816E-2"/>
    <n v="1689.37"/>
    <s v="Credit Card"/>
    <s v="Mobile"/>
    <n v="39"/>
    <n v="12"/>
    <b v="1"/>
    <x v="0"/>
    <n v="8"/>
    <x v="0"/>
    <x v="3"/>
    <n v="4"/>
  </r>
  <r>
    <s v="ORD_000349"/>
    <s v="CUST_00349"/>
    <d v="2023-08-15T00:00:00"/>
    <n v="26"/>
    <s v="Female"/>
    <s v="Kayseri"/>
    <x v="5"/>
    <n v="1265.69"/>
    <n v="1"/>
    <n v="1265.69"/>
    <n v="0"/>
    <n v="0"/>
    <n v="1265.69"/>
    <s v="Credit Card"/>
    <s v="Mobile"/>
    <n v="11"/>
    <n v="7"/>
    <b v="1"/>
    <x v="0"/>
    <n v="5"/>
    <x v="2"/>
    <x v="1"/>
    <n v="2"/>
  </r>
  <r>
    <s v="ORD_000350"/>
    <s v="CUST_00350"/>
    <d v="2024-02-18T00:00:00"/>
    <n v="32"/>
    <s v="Male"/>
    <s v="Izmir"/>
    <x v="3"/>
    <n v="246.17"/>
    <n v="5"/>
    <n v="1230.8499999999999"/>
    <n v="0"/>
    <n v="0"/>
    <n v="1230.8499999999999"/>
    <s v="Digital Wallet"/>
    <s v="Mobile"/>
    <n v="31"/>
    <n v="13"/>
    <b v="1"/>
    <x v="0"/>
    <n v="9"/>
    <x v="0"/>
    <x v="1"/>
    <n v="3"/>
  </r>
  <r>
    <s v="ORD_000351"/>
    <s v="CUST_00351"/>
    <d v="2024-03-17T00:00:00"/>
    <n v="38"/>
    <s v="Male"/>
    <s v="Istanbul"/>
    <x v="0"/>
    <n v="134.15"/>
    <n v="1"/>
    <n v="134.15"/>
    <n v="0"/>
    <n v="0"/>
    <n v="134.15"/>
    <s v="Debit Card"/>
    <s v="Mobile"/>
    <n v="14"/>
    <n v="6"/>
    <b v="1"/>
    <x v="0"/>
    <n v="3"/>
    <x v="1"/>
    <x v="0"/>
    <n v="5"/>
  </r>
  <r>
    <s v="ORD_000352"/>
    <s v="CUST_00352"/>
    <d v="2024-03-14T00:00:00"/>
    <n v="52"/>
    <s v="Male"/>
    <s v="Adana"/>
    <x v="7"/>
    <n v="529.26"/>
    <n v="1"/>
    <n v="529.26"/>
    <n v="45.68"/>
    <n v="8.6309186411215655E-2"/>
    <n v="483.58"/>
    <s v="Digital Wallet"/>
    <s v="Mobile"/>
    <n v="26"/>
    <n v="9"/>
    <b v="1"/>
    <x v="0"/>
    <n v="10"/>
    <x v="0"/>
    <x v="2"/>
    <n v="5"/>
  </r>
  <r>
    <s v="ORD_000353"/>
    <s v="CUST_00353"/>
    <d v="2023-10-09T00:00:00"/>
    <n v="45"/>
    <s v="Female"/>
    <s v="Ankara"/>
    <x v="1"/>
    <n v="195.94"/>
    <n v="4"/>
    <n v="783.76"/>
    <n v="14.08"/>
    <n v="1.7964683066244769E-2"/>
    <n v="769.68"/>
    <s v="Debit Card"/>
    <s v="Desktop"/>
    <n v="21"/>
    <n v="6"/>
    <b v="0"/>
    <x v="1"/>
    <n v="15"/>
    <x v="3"/>
    <x v="0"/>
    <n v="4"/>
  </r>
  <r>
    <s v="ORD_000354"/>
    <s v="CUST_00354"/>
    <d v="2023-02-20T00:00:00"/>
    <n v="33"/>
    <s v="Male"/>
    <s v="Antalya"/>
    <x v="6"/>
    <n v="281.58"/>
    <n v="1"/>
    <n v="281.58"/>
    <n v="0"/>
    <n v="0"/>
    <n v="281.58"/>
    <s v="Credit Card"/>
    <s v="Tablet"/>
    <n v="6"/>
    <n v="11"/>
    <b v="1"/>
    <x v="0"/>
    <n v="3"/>
    <x v="1"/>
    <x v="1"/>
    <n v="5"/>
  </r>
  <r>
    <s v="ORD_000355"/>
    <s v="CUST_00355"/>
    <d v="2023-01-26T00:00:00"/>
    <n v="34"/>
    <s v="Female"/>
    <s v="Ankara"/>
    <x v="6"/>
    <n v="412.45"/>
    <n v="2"/>
    <n v="824.9"/>
    <n v="0"/>
    <n v="0"/>
    <n v="824.9"/>
    <s v="Bank Transfer"/>
    <s v="Mobile"/>
    <n v="30"/>
    <n v="10"/>
    <b v="1"/>
    <x v="0"/>
    <n v="2"/>
    <x v="1"/>
    <x v="1"/>
    <n v="4"/>
  </r>
  <r>
    <s v="ORD_000356"/>
    <s v="CUST_00356"/>
    <d v="2023-11-30T00:00:00"/>
    <n v="22"/>
    <s v="Male"/>
    <s v="Bursa"/>
    <x v="0"/>
    <n v="75.63"/>
    <n v="2"/>
    <n v="151.26"/>
    <n v="0"/>
    <n v="0"/>
    <n v="151.26"/>
    <s v="Credit Card"/>
    <s v="Mobile"/>
    <n v="7"/>
    <n v="9"/>
    <b v="1"/>
    <x v="0"/>
    <n v="9"/>
    <x v="0"/>
    <x v="3"/>
    <n v="5"/>
  </r>
  <r>
    <s v="ORD_000357"/>
    <s v="CUST_00357"/>
    <d v="2023-10-04T00:00:00"/>
    <n v="34"/>
    <s v="Female"/>
    <s v="Adana"/>
    <x v="4"/>
    <n v="398.92"/>
    <n v="1"/>
    <n v="398.92"/>
    <n v="0"/>
    <n v="0"/>
    <n v="398.92"/>
    <s v="Credit Card"/>
    <s v="Desktop"/>
    <n v="22"/>
    <n v="14"/>
    <b v="1"/>
    <x v="0"/>
    <n v="6"/>
    <x v="2"/>
    <x v="1"/>
    <n v="3"/>
  </r>
  <r>
    <s v="ORD_000358"/>
    <s v="CUST_00358"/>
    <d v="2024-03-04T00:00:00"/>
    <n v="31"/>
    <s v="Female"/>
    <s v="Kayseri"/>
    <x v="6"/>
    <n v="232.13"/>
    <n v="3"/>
    <n v="696.39"/>
    <n v="51.08"/>
    <n v="7.3349703470756325E-2"/>
    <n v="645.30999999999995"/>
    <s v="Credit Card"/>
    <s v="Desktop"/>
    <n v="19"/>
    <n v="13"/>
    <b v="0"/>
    <x v="1"/>
    <n v="2"/>
    <x v="1"/>
    <x v="1"/>
    <n v="4"/>
  </r>
  <r>
    <s v="ORD_000359"/>
    <s v="CUST_00359"/>
    <d v="2023-01-08T00:00:00"/>
    <n v="38"/>
    <s v="Female"/>
    <s v="Ankara"/>
    <x v="3"/>
    <n v="94.59"/>
    <n v="3"/>
    <n v="283.77"/>
    <n v="0"/>
    <n v="0"/>
    <n v="283.77"/>
    <s v="Cash on Delivery"/>
    <s v="Mobile"/>
    <n v="24"/>
    <n v="13"/>
    <b v="1"/>
    <x v="0"/>
    <n v="2"/>
    <x v="1"/>
    <x v="0"/>
    <n v="4"/>
  </r>
  <r>
    <s v="ORD_000360"/>
    <s v="CUST_00360"/>
    <d v="2023-02-17T00:00:00"/>
    <n v="25"/>
    <s v="Female"/>
    <s v="Ankara"/>
    <x v="6"/>
    <n v="70.12"/>
    <n v="2"/>
    <n v="140.24"/>
    <n v="0"/>
    <n v="0"/>
    <n v="140.24"/>
    <s v="Debit Card"/>
    <s v="Tablet"/>
    <n v="13"/>
    <n v="7"/>
    <b v="1"/>
    <x v="0"/>
    <n v="8"/>
    <x v="0"/>
    <x v="3"/>
    <n v="4"/>
  </r>
  <r>
    <s v="ORD_000361"/>
    <s v="CUST_00361"/>
    <d v="2024-01-21T00:00:00"/>
    <n v="41"/>
    <s v="Female"/>
    <s v="Izmir"/>
    <x v="6"/>
    <n v="108.97"/>
    <n v="5"/>
    <n v="544.85"/>
    <n v="5.92"/>
    <n v="1.0865375791502247E-2"/>
    <n v="538.92999999999995"/>
    <s v="Debit Card"/>
    <s v="Mobile"/>
    <n v="22"/>
    <n v="11"/>
    <b v="1"/>
    <x v="0"/>
    <n v="7"/>
    <x v="2"/>
    <x v="0"/>
    <n v="3"/>
  </r>
  <r>
    <s v="ORD_000362"/>
    <s v="CUST_00362"/>
    <d v="2024-03-10T00:00:00"/>
    <n v="53"/>
    <s v="Male"/>
    <s v="Kayseri"/>
    <x v="3"/>
    <n v="182.33"/>
    <n v="1"/>
    <n v="182.33"/>
    <n v="0"/>
    <n v="0"/>
    <n v="182.33"/>
    <s v="Digital Wallet"/>
    <s v="Mobile"/>
    <n v="7"/>
    <n v="9"/>
    <b v="1"/>
    <x v="0"/>
    <n v="2"/>
    <x v="1"/>
    <x v="2"/>
    <n v="4"/>
  </r>
  <r>
    <s v="ORD_000363"/>
    <s v="CUST_00363"/>
    <d v="2023-05-02T00:00:00"/>
    <n v="33"/>
    <s v="Female"/>
    <s v="Konya"/>
    <x v="0"/>
    <n v="54.95"/>
    <n v="2"/>
    <n v="109.9"/>
    <n v="0"/>
    <n v="0"/>
    <n v="109.9"/>
    <s v="Debit Card"/>
    <s v="Mobile"/>
    <n v="12"/>
    <n v="10"/>
    <b v="1"/>
    <x v="0"/>
    <n v="12"/>
    <x v="0"/>
    <x v="1"/>
    <n v="4"/>
  </r>
  <r>
    <s v="ORD_000364"/>
    <s v="CUST_00364"/>
    <d v="2023-03-27T00:00:00"/>
    <n v="39"/>
    <s v="Male"/>
    <s v="Istanbul"/>
    <x v="0"/>
    <n v="40.18"/>
    <n v="1"/>
    <n v="40.18"/>
    <n v="0"/>
    <n v="0"/>
    <n v="40.18"/>
    <s v="Digital Wallet"/>
    <s v="Mobile"/>
    <n v="21"/>
    <n v="6"/>
    <b v="0"/>
    <x v="1"/>
    <n v="9"/>
    <x v="0"/>
    <x v="0"/>
    <n v="2"/>
  </r>
  <r>
    <s v="ORD_000365"/>
    <s v="CUST_00365"/>
    <d v="2023-07-28T00:00:00"/>
    <n v="43"/>
    <s v="Female"/>
    <s v="Istanbul"/>
    <x v="3"/>
    <n v="210.09"/>
    <n v="1"/>
    <n v="210.09"/>
    <n v="41.67"/>
    <n v="0.19834356704269598"/>
    <n v="168.42"/>
    <s v="Debit Card"/>
    <s v="Desktop"/>
    <n v="25"/>
    <n v="6"/>
    <b v="1"/>
    <x v="0"/>
    <n v="5"/>
    <x v="2"/>
    <x v="0"/>
    <n v="5"/>
  </r>
  <r>
    <s v="ORD_000366"/>
    <s v="CUST_00366"/>
    <d v="2023-09-06T00:00:00"/>
    <n v="30"/>
    <s v="Female"/>
    <s v="Izmir"/>
    <x v="5"/>
    <n v="2897.09"/>
    <n v="5"/>
    <n v="14485.45"/>
    <n v="0"/>
    <n v="0"/>
    <n v="14485.45"/>
    <s v="Cash on Delivery"/>
    <s v="Mobile"/>
    <n v="7"/>
    <n v="5"/>
    <b v="1"/>
    <x v="0"/>
    <n v="4"/>
    <x v="2"/>
    <x v="1"/>
    <n v="5"/>
  </r>
  <r>
    <s v="ORD_000367"/>
    <s v="CUST_00367"/>
    <d v="2023-09-04T00:00:00"/>
    <n v="37"/>
    <s v="Male"/>
    <s v="Istanbul"/>
    <x v="1"/>
    <n v="182.84"/>
    <n v="3"/>
    <n v="548.52"/>
    <n v="0"/>
    <n v="0"/>
    <n v="548.52"/>
    <s v="Digital Wallet"/>
    <s v="Desktop"/>
    <n v="21"/>
    <n v="7"/>
    <b v="0"/>
    <x v="1"/>
    <n v="5"/>
    <x v="2"/>
    <x v="0"/>
    <n v="5"/>
  </r>
  <r>
    <s v="ORD_000368"/>
    <s v="CUST_00368"/>
    <d v="2023-04-20T00:00:00"/>
    <n v="35"/>
    <s v="Male"/>
    <s v="Ankara"/>
    <x v="2"/>
    <n v="141.97999999999999"/>
    <n v="1"/>
    <n v="141.97999999999999"/>
    <n v="19.47"/>
    <n v="0.1371319904211861"/>
    <n v="122.51"/>
    <s v="Debit Card"/>
    <s v="Mobile"/>
    <n v="20"/>
    <n v="8"/>
    <b v="0"/>
    <x v="1"/>
    <n v="4"/>
    <x v="2"/>
    <x v="1"/>
    <n v="4"/>
  </r>
  <r>
    <s v="ORD_000369"/>
    <s v="CUST_00369"/>
    <d v="2024-03-18T00:00:00"/>
    <n v="36"/>
    <s v="Male"/>
    <s v="Istanbul"/>
    <x v="6"/>
    <n v="140.33000000000001"/>
    <n v="4"/>
    <n v="561.32000000000005"/>
    <n v="0"/>
    <n v="0"/>
    <n v="561.32000000000005"/>
    <s v="Credit Card"/>
    <s v="Mobile"/>
    <n v="19"/>
    <n v="7"/>
    <b v="0"/>
    <x v="1"/>
    <n v="17"/>
    <x v="3"/>
    <x v="0"/>
    <n v="2"/>
  </r>
  <r>
    <s v="ORD_000370"/>
    <s v="CUST_00370"/>
    <d v="2023-07-25T00:00:00"/>
    <n v="25"/>
    <s v="Female"/>
    <s v="Antalya"/>
    <x v="0"/>
    <n v="75.87"/>
    <n v="1"/>
    <n v="75.87"/>
    <n v="13.41"/>
    <n v="0.17674970344009489"/>
    <n v="62.46"/>
    <s v="Bank Transfer"/>
    <s v="Mobile"/>
    <n v="11"/>
    <n v="15"/>
    <b v="1"/>
    <x v="0"/>
    <n v="5"/>
    <x v="2"/>
    <x v="3"/>
    <n v="4"/>
  </r>
  <r>
    <s v="ORD_000371"/>
    <s v="CUST_00371"/>
    <d v="2023-01-31T00:00:00"/>
    <n v="35"/>
    <s v="Female"/>
    <s v="Kayseri"/>
    <x v="2"/>
    <n v="51.94"/>
    <n v="1"/>
    <n v="51.94"/>
    <n v="14.38"/>
    <n v="0.27685791297651141"/>
    <n v="37.56"/>
    <s v="Digital Wallet"/>
    <s v="Desktop"/>
    <n v="1"/>
    <n v="8"/>
    <b v="0"/>
    <x v="1"/>
    <n v="7"/>
    <x v="2"/>
    <x v="1"/>
    <n v="3"/>
  </r>
  <r>
    <s v="ORD_000372"/>
    <s v="CUST_00372"/>
    <d v="2023-03-26T00:00:00"/>
    <n v="40"/>
    <s v="Female"/>
    <s v="Eskisehir"/>
    <x v="2"/>
    <n v="29.66"/>
    <n v="1"/>
    <n v="29.66"/>
    <n v="0"/>
    <n v="0"/>
    <n v="29.66"/>
    <s v="Debit Card"/>
    <s v="Mobile"/>
    <n v="20"/>
    <n v="8"/>
    <b v="0"/>
    <x v="1"/>
    <n v="3"/>
    <x v="1"/>
    <x v="0"/>
    <n v="5"/>
  </r>
  <r>
    <s v="ORD_000373"/>
    <s v="CUST_00373"/>
    <d v="2023-07-14T00:00:00"/>
    <n v="52"/>
    <s v="Female"/>
    <s v="Ankara"/>
    <x v="4"/>
    <n v="522.49"/>
    <n v="1"/>
    <n v="522.49"/>
    <n v="0"/>
    <n v="0"/>
    <n v="522.49"/>
    <s v="Digital Wallet"/>
    <s v="Desktop"/>
    <n v="25"/>
    <n v="9"/>
    <b v="0"/>
    <x v="1"/>
    <n v="5"/>
    <x v="2"/>
    <x v="2"/>
    <n v="1"/>
  </r>
  <r>
    <s v="ORD_000374"/>
    <s v="CUST_00374"/>
    <d v="2023-01-02T00:00:00"/>
    <n v="46"/>
    <s v="Female"/>
    <s v="Bursa"/>
    <x v="7"/>
    <n v="431.85"/>
    <n v="1"/>
    <n v="431.85"/>
    <n v="0"/>
    <n v="0"/>
    <n v="431.85"/>
    <s v="Debit Card"/>
    <s v="Mobile"/>
    <n v="27"/>
    <n v="11"/>
    <b v="1"/>
    <x v="0"/>
    <n v="6"/>
    <x v="2"/>
    <x v="2"/>
    <n v="4"/>
  </r>
  <r>
    <s v="ORD_000375"/>
    <s v="CUST_00375"/>
    <d v="2023-07-19T00:00:00"/>
    <n v="60"/>
    <s v="Male"/>
    <s v="Konya"/>
    <x v="6"/>
    <n v="32.18"/>
    <n v="1"/>
    <n v="32.18"/>
    <n v="0"/>
    <n v="0"/>
    <n v="32.18"/>
    <s v="Credit Card"/>
    <s v="Mobile"/>
    <n v="5"/>
    <n v="14"/>
    <b v="0"/>
    <x v="1"/>
    <n v="6"/>
    <x v="2"/>
    <x v="4"/>
    <n v="2"/>
  </r>
  <r>
    <s v="ORD_000376"/>
    <s v="CUST_00376"/>
    <d v="2023-05-16T00:00:00"/>
    <n v="25"/>
    <s v="Male"/>
    <s v="Istanbul"/>
    <x v="7"/>
    <n v="541.58000000000004"/>
    <n v="3"/>
    <n v="1624.7400000000002"/>
    <n v="0"/>
    <n v="0"/>
    <n v="1624.74"/>
    <s v="Credit Card"/>
    <s v="Desktop"/>
    <n v="3"/>
    <n v="7"/>
    <b v="1"/>
    <x v="0"/>
    <n v="1"/>
    <x v="1"/>
    <x v="3"/>
    <n v="1"/>
  </r>
  <r>
    <s v="ORD_000377"/>
    <s v="CUST_00377"/>
    <d v="2024-02-06T00:00:00"/>
    <n v="45"/>
    <s v="Female"/>
    <s v="Antalya"/>
    <x v="7"/>
    <n v="801.16"/>
    <n v="1"/>
    <n v="801.16"/>
    <n v="0"/>
    <n v="0"/>
    <n v="801.16"/>
    <s v="Debit Card"/>
    <s v="Mobile"/>
    <n v="10"/>
    <n v="12"/>
    <b v="1"/>
    <x v="0"/>
    <n v="5"/>
    <x v="2"/>
    <x v="0"/>
    <n v="5"/>
  </r>
  <r>
    <s v="ORD_000378"/>
    <s v="CUST_00378"/>
    <d v="2024-02-06T00:00:00"/>
    <n v="37"/>
    <s v="Female"/>
    <s v="Izmir"/>
    <x v="4"/>
    <n v="239.81"/>
    <n v="5"/>
    <n v="1199.05"/>
    <n v="0"/>
    <n v="0"/>
    <n v="1199.05"/>
    <s v="Credit Card"/>
    <s v="Desktop"/>
    <n v="18"/>
    <n v="8"/>
    <b v="1"/>
    <x v="0"/>
    <n v="10"/>
    <x v="0"/>
    <x v="0"/>
    <n v="5"/>
  </r>
  <r>
    <s v="ORD_000379"/>
    <s v="CUST_00379"/>
    <d v="2023-08-21T00:00:00"/>
    <n v="61"/>
    <s v="Female"/>
    <s v="Istanbul"/>
    <x v="2"/>
    <n v="74.709999999999994"/>
    <n v="1"/>
    <n v="74.709999999999994"/>
    <n v="3.75"/>
    <n v="5.0194083790657214E-2"/>
    <n v="70.959999999999994"/>
    <s v="Debit Card"/>
    <s v="Mobile"/>
    <n v="20"/>
    <n v="7"/>
    <b v="1"/>
    <x v="0"/>
    <n v="2"/>
    <x v="1"/>
    <x v="4"/>
    <n v="4"/>
  </r>
  <r>
    <s v="ORD_000380"/>
    <s v="CUST_00380"/>
    <d v="2023-05-27T00:00:00"/>
    <n v="25"/>
    <s v="Male"/>
    <s v="Izmir"/>
    <x v="3"/>
    <n v="188.29"/>
    <n v="5"/>
    <n v="941.44999999999993"/>
    <n v="0"/>
    <n v="0"/>
    <n v="941.45"/>
    <s v="Digital Wallet"/>
    <s v="Mobile"/>
    <n v="10"/>
    <n v="11"/>
    <b v="0"/>
    <x v="1"/>
    <n v="18"/>
    <x v="3"/>
    <x v="3"/>
    <n v="3"/>
  </r>
  <r>
    <s v="ORD_000381"/>
    <s v="CUST_00381"/>
    <d v="2023-08-05T00:00:00"/>
    <n v="24"/>
    <s v="Male"/>
    <s v="Istanbul"/>
    <x v="7"/>
    <n v="398.34"/>
    <n v="2"/>
    <n v="796.68"/>
    <n v="0"/>
    <n v="0"/>
    <n v="796.68"/>
    <s v="Credit Card"/>
    <s v="Mobile"/>
    <n v="12"/>
    <n v="7"/>
    <b v="0"/>
    <x v="1"/>
    <n v="7"/>
    <x v="2"/>
    <x v="3"/>
    <n v="5"/>
  </r>
  <r>
    <s v="ORD_000382"/>
    <s v="CUST_00382"/>
    <d v="2023-12-23T00:00:00"/>
    <n v="27"/>
    <s v="Male"/>
    <s v="Antalya"/>
    <x v="0"/>
    <n v="186.71"/>
    <n v="4"/>
    <n v="746.84"/>
    <n v="0"/>
    <n v="0"/>
    <n v="746.84"/>
    <s v="Credit Card"/>
    <s v="Desktop"/>
    <n v="12"/>
    <n v="6"/>
    <b v="1"/>
    <x v="0"/>
    <n v="7"/>
    <x v="2"/>
    <x v="1"/>
    <n v="5"/>
  </r>
  <r>
    <s v="ORD_000383"/>
    <s v="CUST_00383"/>
    <d v="2024-01-10T00:00:00"/>
    <n v="18"/>
    <s v="Male"/>
    <s v="Ankara"/>
    <x v="3"/>
    <n v="113.03"/>
    <n v="3"/>
    <n v="339.09000000000003"/>
    <n v="0"/>
    <n v="0"/>
    <n v="339.09"/>
    <s v="Digital Wallet"/>
    <s v="Desktop"/>
    <n v="6"/>
    <n v="10"/>
    <b v="0"/>
    <x v="1"/>
    <n v="2"/>
    <x v="1"/>
    <x v="3"/>
    <n v="5"/>
  </r>
  <r>
    <s v="ORD_000384"/>
    <s v="CUST_00384"/>
    <d v="2024-02-06T00:00:00"/>
    <n v="28"/>
    <s v="Male"/>
    <s v="Ankara"/>
    <x v="3"/>
    <n v="27.22"/>
    <n v="4"/>
    <n v="108.88"/>
    <n v="5.68"/>
    <n v="5.2167523879500369E-2"/>
    <n v="103.2"/>
    <s v="Debit Card"/>
    <s v="Mobile"/>
    <n v="17"/>
    <n v="10"/>
    <b v="1"/>
    <x v="0"/>
    <n v="7"/>
    <x v="2"/>
    <x v="1"/>
    <n v="4"/>
  </r>
  <r>
    <s v="ORD_000385"/>
    <s v="CUST_00385"/>
    <d v="2023-10-12T00:00:00"/>
    <n v="25"/>
    <s v="Female"/>
    <s v="Istanbul"/>
    <x v="4"/>
    <n v="204.07"/>
    <n v="5"/>
    <n v="1020.3499999999999"/>
    <n v="0"/>
    <n v="0"/>
    <n v="1020.35"/>
    <s v="Credit Card"/>
    <s v="Mobile"/>
    <n v="35"/>
    <n v="9"/>
    <b v="1"/>
    <x v="0"/>
    <n v="6"/>
    <x v="2"/>
    <x v="3"/>
    <n v="2"/>
  </r>
  <r>
    <s v="ORD_000386"/>
    <s v="CUST_00386"/>
    <d v="2023-12-05T00:00:00"/>
    <n v="36"/>
    <s v="Male"/>
    <s v="Konya"/>
    <x v="0"/>
    <n v="74.34"/>
    <n v="4"/>
    <n v="297.36"/>
    <n v="0"/>
    <n v="0"/>
    <n v="297.36"/>
    <s v="Digital Wallet"/>
    <s v="Mobile"/>
    <n v="16"/>
    <n v="13"/>
    <b v="1"/>
    <x v="0"/>
    <n v="2"/>
    <x v="1"/>
    <x v="0"/>
    <n v="2"/>
  </r>
  <r>
    <s v="ORD_000387"/>
    <s v="CUST_00387"/>
    <d v="2024-01-03T00:00:00"/>
    <n v="39"/>
    <s v="Female"/>
    <s v="Izmir"/>
    <x v="4"/>
    <n v="907.02"/>
    <n v="2"/>
    <n v="1814.04"/>
    <n v="248.01"/>
    <n v="0.13671694119203545"/>
    <n v="1566.03"/>
    <s v="Digital Wallet"/>
    <s v="Mobile"/>
    <n v="22"/>
    <n v="9"/>
    <b v="1"/>
    <x v="0"/>
    <n v="11"/>
    <x v="0"/>
    <x v="0"/>
    <n v="5"/>
  </r>
  <r>
    <s v="ORD_000388"/>
    <s v="CUST_00388"/>
    <d v="2023-09-07T00:00:00"/>
    <n v="57"/>
    <s v="Male"/>
    <s v="Bursa"/>
    <x v="1"/>
    <n v="250.04"/>
    <n v="4"/>
    <n v="1000.16"/>
    <n v="0"/>
    <n v="0"/>
    <n v="1000.16"/>
    <s v="Credit Card"/>
    <s v="Mobile"/>
    <n v="9"/>
    <n v="15"/>
    <b v="1"/>
    <x v="0"/>
    <n v="4"/>
    <x v="2"/>
    <x v="4"/>
    <n v="5"/>
  </r>
  <r>
    <s v="ORD_000389"/>
    <s v="CUST_00389"/>
    <d v="2023-03-21T00:00:00"/>
    <n v="46"/>
    <s v="Female"/>
    <s v="Bursa"/>
    <x v="6"/>
    <n v="176.72"/>
    <n v="4"/>
    <n v="706.88"/>
    <n v="0"/>
    <n v="0"/>
    <n v="706.88"/>
    <s v="Credit Card"/>
    <s v="Mobile"/>
    <n v="10"/>
    <n v="12"/>
    <b v="1"/>
    <x v="0"/>
    <n v="5"/>
    <x v="2"/>
    <x v="2"/>
    <n v="4"/>
  </r>
  <r>
    <s v="ORD_000390"/>
    <s v="CUST_00390"/>
    <d v="2023-04-08T00:00:00"/>
    <n v="28"/>
    <s v="Male"/>
    <s v="Izmir"/>
    <x v="7"/>
    <n v="469.83"/>
    <n v="1"/>
    <n v="469.83"/>
    <n v="0"/>
    <n v="0"/>
    <n v="469.83"/>
    <s v="Credit Card"/>
    <s v="Mobile"/>
    <n v="13"/>
    <n v="11"/>
    <b v="1"/>
    <x v="0"/>
    <n v="11"/>
    <x v="0"/>
    <x v="1"/>
    <n v="4"/>
  </r>
  <r>
    <s v="ORD_000391"/>
    <s v="CUST_00391"/>
    <d v="2023-06-01T00:00:00"/>
    <n v="24"/>
    <s v="Male"/>
    <s v="Istanbul"/>
    <x v="2"/>
    <n v="33.29"/>
    <n v="1"/>
    <n v="33.29"/>
    <n v="0"/>
    <n v="0"/>
    <n v="33.29"/>
    <s v="Digital Wallet"/>
    <s v="Mobile"/>
    <n v="10"/>
    <n v="5"/>
    <b v="1"/>
    <x v="0"/>
    <n v="3"/>
    <x v="1"/>
    <x v="3"/>
    <n v="5"/>
  </r>
  <r>
    <s v="ORD_000392"/>
    <s v="CUST_00392"/>
    <d v="2023-04-22T00:00:00"/>
    <n v="40"/>
    <s v="Male"/>
    <s v="Adana"/>
    <x v="5"/>
    <n v="1546.14"/>
    <n v="1"/>
    <n v="1546.14"/>
    <n v="171.78"/>
    <n v="0.11110248748496254"/>
    <n v="1374.36"/>
    <s v="Debit Card"/>
    <s v="Mobile"/>
    <n v="7"/>
    <n v="7"/>
    <b v="1"/>
    <x v="0"/>
    <n v="3"/>
    <x v="1"/>
    <x v="0"/>
    <n v="5"/>
  </r>
  <r>
    <s v="ORD_000393"/>
    <s v="CUST_00393"/>
    <d v="2023-01-30T00:00:00"/>
    <n v="19"/>
    <s v="Female"/>
    <s v="Istanbul"/>
    <x v="0"/>
    <n v="17.809999999999999"/>
    <n v="1"/>
    <n v="17.809999999999999"/>
    <n v="1.41"/>
    <n v="7.9169006176305443E-2"/>
    <n v="16.399999999999999"/>
    <s v="Debit Card"/>
    <s v="Mobile"/>
    <n v="17"/>
    <n v="11"/>
    <b v="1"/>
    <x v="0"/>
    <n v="6"/>
    <x v="2"/>
    <x v="3"/>
    <n v="5"/>
  </r>
  <r>
    <s v="ORD_000394"/>
    <s v="CUST_00394"/>
    <d v="2023-10-24T00:00:00"/>
    <n v="56"/>
    <s v="Female"/>
    <s v="Istanbul"/>
    <x v="4"/>
    <n v="457.14"/>
    <n v="3"/>
    <n v="1371.42"/>
    <n v="0"/>
    <n v="0"/>
    <n v="1371.42"/>
    <s v="Bank Transfer"/>
    <s v="Mobile"/>
    <n v="7"/>
    <n v="8"/>
    <b v="1"/>
    <x v="0"/>
    <n v="6"/>
    <x v="2"/>
    <x v="4"/>
    <n v="4"/>
  </r>
  <r>
    <s v="ORD_000395"/>
    <s v="CUST_00395"/>
    <d v="2024-01-12T00:00:00"/>
    <n v="49"/>
    <s v="Male"/>
    <s v="Adana"/>
    <x v="3"/>
    <n v="135.71"/>
    <n v="1"/>
    <n v="135.71"/>
    <n v="0"/>
    <n v="0"/>
    <n v="135.71"/>
    <s v="Credit Card"/>
    <s v="Mobile"/>
    <n v="8"/>
    <n v="12"/>
    <b v="0"/>
    <x v="1"/>
    <n v="8"/>
    <x v="0"/>
    <x v="2"/>
    <n v="3"/>
  </r>
  <r>
    <s v="ORD_000396"/>
    <s v="CUST_00396"/>
    <d v="2023-10-05T00:00:00"/>
    <n v="29"/>
    <s v="Male"/>
    <s v="Istanbul"/>
    <x v="1"/>
    <n v="123.69"/>
    <n v="1"/>
    <n v="123.69"/>
    <n v="0"/>
    <n v="0"/>
    <n v="123.69"/>
    <s v="Credit Card"/>
    <s v="Mobile"/>
    <n v="21"/>
    <n v="12"/>
    <b v="0"/>
    <x v="1"/>
    <n v="15"/>
    <x v="3"/>
    <x v="1"/>
    <n v="3"/>
  </r>
  <r>
    <s v="ORD_000397"/>
    <s v="CUST_00397"/>
    <d v="2023-02-01T00:00:00"/>
    <n v="18"/>
    <s v="Female"/>
    <s v="Ankara"/>
    <x v="5"/>
    <n v="1201.31"/>
    <n v="1"/>
    <n v="1201.31"/>
    <n v="177.05"/>
    <n v="0.14738077598621507"/>
    <n v="1024.26"/>
    <s v="Credit Card"/>
    <s v="Desktop"/>
    <n v="20"/>
    <n v="10"/>
    <b v="1"/>
    <x v="0"/>
    <n v="12"/>
    <x v="0"/>
    <x v="3"/>
    <n v="5"/>
  </r>
  <r>
    <s v="ORD_000398"/>
    <s v="CUST_00398"/>
    <d v="2024-01-18T00:00:00"/>
    <n v="51"/>
    <s v="Male"/>
    <s v="Izmir"/>
    <x v="4"/>
    <n v="656.9"/>
    <n v="1"/>
    <n v="656.9"/>
    <n v="0"/>
    <n v="0"/>
    <n v="656.9"/>
    <s v="Credit Card"/>
    <s v="Tablet"/>
    <n v="1"/>
    <n v="7"/>
    <b v="0"/>
    <x v="1"/>
    <n v="9"/>
    <x v="0"/>
    <x v="2"/>
    <n v="5"/>
  </r>
  <r>
    <s v="ORD_000399"/>
    <s v="CUST_00399"/>
    <d v="2023-06-10T00:00:00"/>
    <n v="33"/>
    <s v="Male"/>
    <s v="Izmir"/>
    <x v="1"/>
    <n v="718.68"/>
    <n v="1"/>
    <n v="718.68"/>
    <n v="0"/>
    <n v="0"/>
    <n v="718.68"/>
    <s v="Digital Wallet"/>
    <s v="Desktop"/>
    <n v="10"/>
    <n v="7"/>
    <b v="1"/>
    <x v="0"/>
    <n v="8"/>
    <x v="0"/>
    <x v="1"/>
    <n v="2"/>
  </r>
  <r>
    <s v="ORD_000400"/>
    <s v="CUST_00400"/>
    <d v="2023-01-30T00:00:00"/>
    <n v="49"/>
    <s v="Female"/>
    <s v="Adana"/>
    <x v="3"/>
    <n v="178.19"/>
    <n v="2"/>
    <n v="356.38"/>
    <n v="0"/>
    <n v="0"/>
    <n v="356.38"/>
    <s v="Debit Card"/>
    <s v="Mobile"/>
    <n v="16"/>
    <n v="9"/>
    <b v="1"/>
    <x v="0"/>
    <n v="4"/>
    <x v="2"/>
    <x v="2"/>
    <n v="3"/>
  </r>
  <r>
    <s v="ORD_000401"/>
    <s v="CUST_00401"/>
    <d v="2023-01-26T00:00:00"/>
    <n v="18"/>
    <s v="Female"/>
    <s v="Antalya"/>
    <x v="7"/>
    <n v="118.11"/>
    <n v="1"/>
    <n v="118.11"/>
    <n v="0"/>
    <n v="0"/>
    <n v="118.11"/>
    <s v="Credit Card"/>
    <s v="Desktop"/>
    <n v="45"/>
    <n v="7"/>
    <b v="1"/>
    <x v="0"/>
    <n v="2"/>
    <x v="1"/>
    <x v="3"/>
    <n v="5"/>
  </r>
  <r>
    <s v="ORD_000402"/>
    <s v="CUST_00402"/>
    <d v="2023-10-27T00:00:00"/>
    <n v="27"/>
    <s v="Male"/>
    <s v="Antalya"/>
    <x v="6"/>
    <n v="520.04999999999995"/>
    <n v="2"/>
    <n v="1040.0999999999999"/>
    <n v="0"/>
    <n v="0"/>
    <n v="1040.0999999999999"/>
    <s v="Credit Card"/>
    <s v="Mobile"/>
    <n v="2"/>
    <n v="10"/>
    <b v="1"/>
    <x v="0"/>
    <n v="23"/>
    <x v="3"/>
    <x v="1"/>
    <n v="4"/>
  </r>
  <r>
    <s v="ORD_000403"/>
    <s v="CUST_00403"/>
    <d v="2023-09-02T00:00:00"/>
    <n v="35"/>
    <s v="Male"/>
    <s v="Adana"/>
    <x v="6"/>
    <n v="361.3"/>
    <n v="1"/>
    <n v="361.3"/>
    <n v="0"/>
    <n v="0"/>
    <n v="361.3"/>
    <s v="Credit Card"/>
    <s v="Mobile"/>
    <n v="9"/>
    <n v="8"/>
    <b v="0"/>
    <x v="1"/>
    <n v="4"/>
    <x v="2"/>
    <x v="1"/>
    <n v="4"/>
  </r>
  <r>
    <s v="ORD_000404"/>
    <s v="CUST_00404"/>
    <d v="2023-09-15T00:00:00"/>
    <n v="35"/>
    <s v="Female"/>
    <s v="Ankara"/>
    <x v="1"/>
    <n v="280.36"/>
    <n v="5"/>
    <n v="1401.8000000000002"/>
    <n v="0"/>
    <n v="0"/>
    <n v="1401.8"/>
    <s v="Cash on Delivery"/>
    <s v="Mobile"/>
    <n v="20"/>
    <n v="5"/>
    <b v="0"/>
    <x v="1"/>
    <n v="4"/>
    <x v="2"/>
    <x v="1"/>
    <n v="4"/>
  </r>
  <r>
    <s v="ORD_000405"/>
    <s v="CUST_00405"/>
    <d v="2024-03-12T00:00:00"/>
    <n v="29"/>
    <s v="Male"/>
    <s v="Ankara"/>
    <x v="4"/>
    <n v="1030.8599999999999"/>
    <n v="1"/>
    <n v="1030.8599999999999"/>
    <n v="296.67"/>
    <n v="0.28778883650544212"/>
    <n v="734.19"/>
    <s v="Digital Wallet"/>
    <s v="Mobile"/>
    <n v="8"/>
    <n v="9"/>
    <b v="0"/>
    <x v="1"/>
    <n v="3"/>
    <x v="1"/>
    <x v="1"/>
    <n v="5"/>
  </r>
  <r>
    <s v="ORD_000406"/>
    <s v="CUST_00406"/>
    <d v="2023-09-29T00:00:00"/>
    <n v="42"/>
    <s v="Male"/>
    <s v="Izmir"/>
    <x v="6"/>
    <n v="83.61"/>
    <n v="2"/>
    <n v="167.22"/>
    <n v="0"/>
    <n v="0"/>
    <n v="167.22"/>
    <s v="Debit Card"/>
    <s v="Tablet"/>
    <n v="9"/>
    <n v="6"/>
    <b v="0"/>
    <x v="1"/>
    <n v="8"/>
    <x v="0"/>
    <x v="0"/>
    <n v="5"/>
  </r>
  <r>
    <s v="ORD_000407"/>
    <s v="CUST_00407"/>
    <d v="2023-03-22T00:00:00"/>
    <n v="22"/>
    <s v="Female"/>
    <s v="Ankara"/>
    <x v="6"/>
    <n v="145.63999999999999"/>
    <n v="1"/>
    <n v="145.63999999999999"/>
    <n v="0"/>
    <n v="0"/>
    <n v="145.63999999999999"/>
    <s v="Credit Card"/>
    <s v="Mobile"/>
    <n v="4"/>
    <n v="8"/>
    <b v="1"/>
    <x v="0"/>
    <n v="5"/>
    <x v="2"/>
    <x v="3"/>
    <n v="4"/>
  </r>
  <r>
    <s v="ORD_000408"/>
    <s v="CUST_00408"/>
    <d v="2023-01-30T00:00:00"/>
    <n v="33"/>
    <s v="Female"/>
    <s v="Eskisehir"/>
    <x v="7"/>
    <n v="235.02"/>
    <n v="2"/>
    <n v="470.04"/>
    <n v="0"/>
    <n v="0"/>
    <n v="470.04"/>
    <s v="Debit Card"/>
    <s v="Tablet"/>
    <n v="11"/>
    <n v="13"/>
    <b v="1"/>
    <x v="0"/>
    <n v="12"/>
    <x v="0"/>
    <x v="1"/>
    <n v="4"/>
  </r>
  <r>
    <s v="ORD_000409"/>
    <s v="CUST_00409"/>
    <d v="2023-09-18T00:00:00"/>
    <n v="36"/>
    <s v="Male"/>
    <s v="Gaziantep"/>
    <x v="3"/>
    <n v="140.94999999999999"/>
    <n v="1"/>
    <n v="140.94999999999999"/>
    <n v="0"/>
    <n v="0"/>
    <n v="140.94999999999999"/>
    <s v="Credit Card"/>
    <s v="Mobile"/>
    <n v="8"/>
    <n v="6"/>
    <b v="1"/>
    <x v="0"/>
    <n v="13"/>
    <x v="0"/>
    <x v="0"/>
    <n v="2"/>
  </r>
  <r>
    <s v="ORD_000410"/>
    <s v="CUST_00410"/>
    <d v="2023-02-11T00:00:00"/>
    <n v="41"/>
    <s v="Other"/>
    <s v="Istanbul"/>
    <x v="2"/>
    <n v="185.48"/>
    <n v="1"/>
    <n v="185.48"/>
    <n v="36.340000000000003"/>
    <n v="0.19592408885054996"/>
    <n v="149.13999999999999"/>
    <s v="Cash on Delivery"/>
    <s v="Tablet"/>
    <n v="12"/>
    <n v="12"/>
    <b v="1"/>
    <x v="0"/>
    <n v="5"/>
    <x v="2"/>
    <x v="0"/>
    <n v="5"/>
  </r>
  <r>
    <s v="ORD_000411"/>
    <s v="CUST_00411"/>
    <d v="2024-03-11T00:00:00"/>
    <n v="43"/>
    <s v="Female"/>
    <s v="Istanbul"/>
    <x v="6"/>
    <n v="111.68"/>
    <n v="3"/>
    <n v="335.04"/>
    <n v="32.03"/>
    <n v="9.5600525310410689E-2"/>
    <n v="303.01"/>
    <s v="Digital Wallet"/>
    <s v="Desktop"/>
    <n v="10"/>
    <n v="16"/>
    <b v="1"/>
    <x v="0"/>
    <n v="11"/>
    <x v="0"/>
    <x v="0"/>
    <n v="5"/>
  </r>
  <r>
    <s v="ORD_000412"/>
    <s v="CUST_00412"/>
    <d v="2023-04-06T00:00:00"/>
    <n v="21"/>
    <s v="Male"/>
    <s v="Istanbul"/>
    <x v="1"/>
    <n v="218.37"/>
    <n v="1"/>
    <n v="218.37"/>
    <n v="25.68"/>
    <n v="0.11759857123231213"/>
    <n v="192.69"/>
    <s v="Debit Card"/>
    <s v="Mobile"/>
    <n v="13"/>
    <n v="10"/>
    <b v="0"/>
    <x v="1"/>
    <n v="6"/>
    <x v="2"/>
    <x v="3"/>
    <n v="4"/>
  </r>
  <r>
    <s v="ORD_000413"/>
    <s v="CUST_00413"/>
    <d v="2023-02-05T00:00:00"/>
    <n v="18"/>
    <s v="Other"/>
    <s v="Istanbul"/>
    <x v="5"/>
    <n v="1456.73"/>
    <n v="1"/>
    <n v="1456.73"/>
    <n v="0"/>
    <n v="0"/>
    <n v="1456.73"/>
    <s v="Debit Card"/>
    <s v="Desktop"/>
    <n v="13"/>
    <n v="8"/>
    <b v="1"/>
    <x v="0"/>
    <n v="3"/>
    <x v="1"/>
    <x v="3"/>
    <n v="3"/>
  </r>
  <r>
    <s v="ORD_000414"/>
    <s v="CUST_00414"/>
    <d v="2023-11-01T00:00:00"/>
    <n v="50"/>
    <s v="Male"/>
    <s v="Istanbul"/>
    <x v="0"/>
    <n v="47.29"/>
    <n v="3"/>
    <n v="141.87"/>
    <n v="10.89"/>
    <n v="7.6760414463945867E-2"/>
    <n v="130.97999999999999"/>
    <s v="Debit Card"/>
    <s v="Mobile"/>
    <n v="21"/>
    <n v="7"/>
    <b v="0"/>
    <x v="1"/>
    <n v="3"/>
    <x v="1"/>
    <x v="2"/>
    <n v="2"/>
  </r>
  <r>
    <s v="ORD_000415"/>
    <s v="CUST_00415"/>
    <d v="2023-02-04T00:00:00"/>
    <n v="38"/>
    <s v="Male"/>
    <s v="Bursa"/>
    <x v="3"/>
    <n v="135.88"/>
    <n v="4"/>
    <n v="543.52"/>
    <n v="16.14"/>
    <n v="2.9695319399470121E-2"/>
    <n v="527.38"/>
    <s v="Credit Card"/>
    <s v="Desktop"/>
    <n v="13"/>
    <n v="15"/>
    <b v="0"/>
    <x v="1"/>
    <n v="7"/>
    <x v="2"/>
    <x v="0"/>
    <n v="4"/>
  </r>
  <r>
    <s v="ORD_000416"/>
    <s v="CUST_00416"/>
    <d v="2023-12-12T00:00:00"/>
    <n v="26"/>
    <s v="Female"/>
    <s v="Konya"/>
    <x v="7"/>
    <n v="914.56"/>
    <n v="3"/>
    <n v="2743.68"/>
    <n v="163.69999999999999"/>
    <n v="5.9664392348961981E-2"/>
    <n v="2579.98"/>
    <s v="Credit Card"/>
    <s v="Mobile"/>
    <n v="8"/>
    <n v="11"/>
    <b v="1"/>
    <x v="0"/>
    <n v="4"/>
    <x v="2"/>
    <x v="1"/>
    <n v="2"/>
  </r>
  <r>
    <s v="ORD_000417"/>
    <s v="CUST_00417"/>
    <d v="2024-03-17T00:00:00"/>
    <n v="53"/>
    <s v="Male"/>
    <s v="Adana"/>
    <x v="3"/>
    <n v="66.02"/>
    <n v="1"/>
    <n v="66.02"/>
    <n v="0"/>
    <n v="0"/>
    <n v="66.02"/>
    <s v="Debit Card"/>
    <s v="Mobile"/>
    <n v="23"/>
    <n v="11"/>
    <b v="1"/>
    <x v="0"/>
    <n v="7"/>
    <x v="2"/>
    <x v="2"/>
    <n v="5"/>
  </r>
  <r>
    <s v="ORD_000418"/>
    <s v="CUST_00418"/>
    <d v="2023-05-01T00:00:00"/>
    <n v="36"/>
    <s v="Male"/>
    <s v="Istanbul"/>
    <x v="7"/>
    <n v="440.2"/>
    <n v="1"/>
    <n v="440.2"/>
    <n v="0"/>
    <n v="0"/>
    <n v="440.2"/>
    <s v="Credit Card"/>
    <s v="Desktop"/>
    <n v="7"/>
    <n v="7"/>
    <b v="1"/>
    <x v="0"/>
    <n v="8"/>
    <x v="0"/>
    <x v="0"/>
    <n v="5"/>
  </r>
  <r>
    <s v="ORD_000419"/>
    <s v="CUST_00419"/>
    <d v="2023-07-26T00:00:00"/>
    <n v="49"/>
    <s v="Male"/>
    <s v="Ankara"/>
    <x v="3"/>
    <n v="147.38999999999999"/>
    <n v="3"/>
    <n v="442.16999999999996"/>
    <n v="40.69"/>
    <n v="9.2023429902526183E-2"/>
    <n v="401.48"/>
    <s v="Credit Card"/>
    <s v="Desktop"/>
    <n v="21"/>
    <n v="7"/>
    <b v="0"/>
    <x v="1"/>
    <n v="5"/>
    <x v="2"/>
    <x v="2"/>
    <n v="4"/>
  </r>
  <r>
    <s v="ORD_000420"/>
    <s v="CUST_00420"/>
    <d v="2023-03-03T00:00:00"/>
    <n v="35"/>
    <s v="Male"/>
    <s v="Izmir"/>
    <x v="0"/>
    <n v="30.6"/>
    <n v="1"/>
    <n v="30.6"/>
    <n v="2.2000000000000002"/>
    <n v="7.1895424836601315E-2"/>
    <n v="28.4"/>
    <s v="Debit Card"/>
    <s v="Mobile"/>
    <n v="7"/>
    <n v="6"/>
    <b v="0"/>
    <x v="1"/>
    <n v="4"/>
    <x v="2"/>
    <x v="1"/>
    <n v="5"/>
  </r>
  <r>
    <s v="ORD_000421"/>
    <s v="CUST_00421"/>
    <d v="2023-10-19T00:00:00"/>
    <n v="59"/>
    <s v="Female"/>
    <s v="Gaziantep"/>
    <x v="2"/>
    <n v="23.26"/>
    <n v="1"/>
    <n v="23.26"/>
    <n v="0"/>
    <n v="0"/>
    <n v="23.26"/>
    <s v="Bank Transfer"/>
    <s v="Mobile"/>
    <n v="45"/>
    <n v="8"/>
    <b v="0"/>
    <x v="1"/>
    <n v="5"/>
    <x v="2"/>
    <x v="4"/>
    <n v="4"/>
  </r>
  <r>
    <s v="ORD_000422"/>
    <s v="CUST_00422"/>
    <d v="2023-05-07T00:00:00"/>
    <n v="56"/>
    <s v="Female"/>
    <s v="Gaziantep"/>
    <x v="1"/>
    <n v="157.38999999999999"/>
    <n v="3"/>
    <n v="472.16999999999996"/>
    <n v="0"/>
    <n v="0"/>
    <n v="472.17"/>
    <s v="Bank Transfer"/>
    <s v="Mobile"/>
    <n v="9"/>
    <n v="13"/>
    <b v="1"/>
    <x v="0"/>
    <n v="11"/>
    <x v="0"/>
    <x v="4"/>
    <n v="5"/>
  </r>
  <r>
    <s v="ORD_000423"/>
    <s v="CUST_00423"/>
    <d v="2023-10-24T00:00:00"/>
    <n v="32"/>
    <s v="Other"/>
    <s v="Konya"/>
    <x v="5"/>
    <n v="2432.27"/>
    <n v="1"/>
    <n v="2432.27"/>
    <n v="301.61"/>
    <n v="0.1240035029005826"/>
    <n v="2130.66"/>
    <s v="Credit Card"/>
    <s v="Tablet"/>
    <n v="24"/>
    <n v="11"/>
    <b v="1"/>
    <x v="0"/>
    <n v="3"/>
    <x v="1"/>
    <x v="1"/>
    <n v="1"/>
  </r>
  <r>
    <s v="ORD_000424"/>
    <s v="CUST_00424"/>
    <d v="2023-11-01T00:00:00"/>
    <n v="46"/>
    <s v="Male"/>
    <s v="Izmir"/>
    <x v="6"/>
    <n v="71.42"/>
    <n v="2"/>
    <n v="142.84"/>
    <n v="0"/>
    <n v="0"/>
    <n v="142.84"/>
    <s v="Credit Card"/>
    <s v="Tablet"/>
    <n v="5"/>
    <n v="4"/>
    <b v="1"/>
    <x v="0"/>
    <n v="3"/>
    <x v="1"/>
    <x v="2"/>
    <n v="2"/>
  </r>
  <r>
    <s v="ORD_000425"/>
    <s v="CUST_00425"/>
    <d v="2023-01-21T00:00:00"/>
    <n v="42"/>
    <s v="Male"/>
    <s v="Antalya"/>
    <x v="2"/>
    <n v="36.1"/>
    <n v="3"/>
    <n v="108.30000000000001"/>
    <n v="5.01"/>
    <n v="4.6260387811634343E-2"/>
    <n v="103.29"/>
    <s v="Debit Card"/>
    <s v="Tablet"/>
    <n v="52"/>
    <n v="7"/>
    <b v="1"/>
    <x v="0"/>
    <n v="4"/>
    <x v="2"/>
    <x v="0"/>
    <n v="4"/>
  </r>
  <r>
    <s v="ORD_000426"/>
    <s v="CUST_00426"/>
    <d v="2023-11-14T00:00:00"/>
    <n v="51"/>
    <s v="Male"/>
    <s v="Istanbul"/>
    <x v="1"/>
    <n v="241.12"/>
    <n v="1"/>
    <n v="241.12"/>
    <n v="15.58"/>
    <n v="6.46151293961513E-2"/>
    <n v="225.54"/>
    <s v="Digital Wallet"/>
    <s v="Mobile"/>
    <n v="10"/>
    <n v="15"/>
    <b v="1"/>
    <x v="0"/>
    <n v="11"/>
    <x v="0"/>
    <x v="2"/>
    <n v="4"/>
  </r>
  <r>
    <s v="ORD_000427"/>
    <s v="CUST_00427"/>
    <d v="2023-02-11T00:00:00"/>
    <n v="23"/>
    <s v="Male"/>
    <s v="Bursa"/>
    <x v="5"/>
    <n v="1635.67"/>
    <n v="4"/>
    <n v="6542.68"/>
    <n v="178.7"/>
    <n v="2.7312966551932844E-2"/>
    <n v="6363.98"/>
    <s v="Cash on Delivery"/>
    <s v="Desktop"/>
    <n v="7"/>
    <n v="9"/>
    <b v="0"/>
    <x v="1"/>
    <n v="11"/>
    <x v="0"/>
    <x v="3"/>
    <n v="1"/>
  </r>
  <r>
    <s v="ORD_000428"/>
    <s v="CUST_00428"/>
    <d v="2023-08-03T00:00:00"/>
    <n v="43"/>
    <s v="Male"/>
    <s v="Istanbul"/>
    <x v="3"/>
    <n v="87.59"/>
    <n v="1"/>
    <n v="87.59"/>
    <n v="5.76"/>
    <n v="6.5760931613197848E-2"/>
    <n v="81.83"/>
    <s v="Bank Transfer"/>
    <s v="Tablet"/>
    <n v="16"/>
    <n v="4"/>
    <b v="0"/>
    <x v="1"/>
    <n v="8"/>
    <x v="0"/>
    <x v="0"/>
    <n v="4"/>
  </r>
  <r>
    <s v="ORD_000429"/>
    <s v="CUST_00429"/>
    <d v="2023-12-03T00:00:00"/>
    <n v="47"/>
    <s v="Female"/>
    <s v="Izmir"/>
    <x v="0"/>
    <n v="61.23"/>
    <n v="1"/>
    <n v="61.23"/>
    <n v="7.57"/>
    <n v="0.12363220643475421"/>
    <n v="53.66"/>
    <s v="Digital Wallet"/>
    <s v="Desktop"/>
    <n v="17"/>
    <n v="11"/>
    <b v="0"/>
    <x v="1"/>
    <n v="10"/>
    <x v="0"/>
    <x v="2"/>
    <n v="4"/>
  </r>
  <r>
    <s v="ORD_000430"/>
    <s v="CUST_00430"/>
    <d v="2023-10-26T00:00:00"/>
    <n v="18"/>
    <s v="Female"/>
    <s v="Antalya"/>
    <x v="6"/>
    <n v="45.25"/>
    <n v="1"/>
    <n v="45.25"/>
    <n v="0"/>
    <n v="0"/>
    <n v="45.25"/>
    <s v="Credit Card"/>
    <s v="Mobile"/>
    <n v="14"/>
    <n v="11"/>
    <b v="1"/>
    <x v="0"/>
    <n v="4"/>
    <x v="2"/>
    <x v="3"/>
    <n v="5"/>
  </r>
  <r>
    <s v="ORD_000431"/>
    <s v="CUST_00431"/>
    <d v="2023-10-17T00:00:00"/>
    <n v="20"/>
    <s v="Female"/>
    <s v="Ankara"/>
    <x v="5"/>
    <n v="892.29"/>
    <n v="4"/>
    <n v="3569.16"/>
    <n v="0"/>
    <n v="0"/>
    <n v="3569.16"/>
    <s v="Credit Card"/>
    <s v="Mobile"/>
    <n v="9"/>
    <n v="5"/>
    <b v="1"/>
    <x v="0"/>
    <n v="3"/>
    <x v="1"/>
    <x v="3"/>
    <n v="4"/>
  </r>
  <r>
    <s v="ORD_000432"/>
    <s v="CUST_00432"/>
    <d v="2023-09-25T00:00:00"/>
    <n v="18"/>
    <s v="Male"/>
    <s v="Istanbul"/>
    <x v="4"/>
    <n v="1028.79"/>
    <n v="1"/>
    <n v="1028.79"/>
    <n v="0"/>
    <n v="0"/>
    <n v="1028.79"/>
    <s v="Credit Card"/>
    <s v="Tablet"/>
    <n v="10"/>
    <n v="6"/>
    <b v="1"/>
    <x v="0"/>
    <n v="6"/>
    <x v="2"/>
    <x v="3"/>
    <n v="4"/>
  </r>
  <r>
    <s v="ORD_000433"/>
    <s v="CUST_00433"/>
    <d v="2023-06-11T00:00:00"/>
    <n v="31"/>
    <s v="Female"/>
    <s v="Istanbul"/>
    <x v="5"/>
    <n v="836.04"/>
    <n v="5"/>
    <n v="4180.2"/>
    <n v="0"/>
    <n v="0"/>
    <n v="4180.2"/>
    <s v="Debit Card"/>
    <s v="Desktop"/>
    <n v="8"/>
    <n v="10"/>
    <b v="0"/>
    <x v="1"/>
    <n v="8"/>
    <x v="0"/>
    <x v="1"/>
    <n v="5"/>
  </r>
  <r>
    <s v="ORD_000434"/>
    <s v="CUST_00434"/>
    <d v="2023-05-14T00:00:00"/>
    <n v="43"/>
    <s v="Male"/>
    <s v="Istanbul"/>
    <x v="1"/>
    <n v="275.02999999999997"/>
    <n v="2"/>
    <n v="550.05999999999995"/>
    <n v="0"/>
    <n v="0"/>
    <n v="550.05999999999995"/>
    <s v="Credit Card"/>
    <s v="Mobile"/>
    <n v="16"/>
    <n v="12"/>
    <b v="1"/>
    <x v="0"/>
    <n v="12"/>
    <x v="0"/>
    <x v="0"/>
    <n v="5"/>
  </r>
  <r>
    <s v="ORD_000435"/>
    <s v="CUST_00435"/>
    <d v="2023-04-15T00:00:00"/>
    <n v="53"/>
    <s v="Male"/>
    <s v="Istanbul"/>
    <x v="2"/>
    <n v="52.51"/>
    <n v="1"/>
    <n v="52.51"/>
    <n v="2.99"/>
    <n v="5.6941534945724633E-2"/>
    <n v="49.52"/>
    <s v="Digital Wallet"/>
    <s v="Mobile"/>
    <n v="9"/>
    <n v="10"/>
    <b v="1"/>
    <x v="0"/>
    <n v="2"/>
    <x v="1"/>
    <x v="2"/>
    <n v="4"/>
  </r>
  <r>
    <s v="ORD_000436"/>
    <s v="CUST_00436"/>
    <d v="2023-12-09T00:00:00"/>
    <n v="35"/>
    <s v="Female"/>
    <s v="Istanbul"/>
    <x v="6"/>
    <n v="240.93"/>
    <n v="2"/>
    <n v="481.86"/>
    <n v="14.37"/>
    <n v="2.9821939982567547E-2"/>
    <n v="467.49"/>
    <s v="Digital Wallet"/>
    <s v="Tablet"/>
    <n v="23"/>
    <n v="9"/>
    <b v="0"/>
    <x v="1"/>
    <n v="6"/>
    <x v="2"/>
    <x v="1"/>
    <n v="4"/>
  </r>
  <r>
    <s v="ORD_000437"/>
    <s v="CUST_00437"/>
    <d v="2024-01-02T00:00:00"/>
    <n v="54"/>
    <s v="Female"/>
    <s v="Istanbul"/>
    <x v="2"/>
    <n v="82.82"/>
    <n v="2"/>
    <n v="165.64"/>
    <n v="0"/>
    <n v="0"/>
    <n v="165.64"/>
    <s v="Credit Card"/>
    <s v="Desktop"/>
    <n v="19"/>
    <n v="10"/>
    <b v="1"/>
    <x v="0"/>
    <n v="4"/>
    <x v="2"/>
    <x v="2"/>
    <n v="5"/>
  </r>
  <r>
    <s v="ORD_000438"/>
    <s v="CUST_00438"/>
    <d v="2023-06-10T00:00:00"/>
    <n v="18"/>
    <s v="Male"/>
    <s v="Istanbul"/>
    <x v="6"/>
    <n v="314.82"/>
    <n v="5"/>
    <n v="1574.1"/>
    <n v="34.229999999999997"/>
    <n v="2.1745759481608538E-2"/>
    <n v="1539.87"/>
    <s v="Bank Transfer"/>
    <s v="Mobile"/>
    <n v="18"/>
    <n v="12"/>
    <b v="1"/>
    <x v="0"/>
    <n v="1"/>
    <x v="1"/>
    <x v="3"/>
    <n v="3"/>
  </r>
  <r>
    <s v="ORD_000439"/>
    <s v="CUST_00439"/>
    <d v="2023-05-03T00:00:00"/>
    <n v="18"/>
    <s v="Male"/>
    <s v="Eskisehir"/>
    <x v="4"/>
    <n v="1513.47"/>
    <n v="1"/>
    <n v="1513.47"/>
    <n v="0"/>
    <n v="0"/>
    <n v="1513.47"/>
    <s v="Debit Card"/>
    <s v="Mobile"/>
    <n v="8"/>
    <n v="9"/>
    <b v="1"/>
    <x v="0"/>
    <n v="6"/>
    <x v="2"/>
    <x v="3"/>
    <n v="2"/>
  </r>
  <r>
    <s v="ORD_000440"/>
    <s v="CUST_00440"/>
    <d v="2023-05-16T00:00:00"/>
    <n v="34"/>
    <s v="Male"/>
    <s v="Ankara"/>
    <x v="1"/>
    <n v="118.91"/>
    <n v="4"/>
    <n v="475.64"/>
    <n v="0"/>
    <n v="0"/>
    <n v="475.64"/>
    <s v="Bank Transfer"/>
    <s v="Mobile"/>
    <n v="6"/>
    <n v="12"/>
    <b v="1"/>
    <x v="0"/>
    <n v="8"/>
    <x v="0"/>
    <x v="1"/>
    <n v="4"/>
  </r>
  <r>
    <s v="ORD_000441"/>
    <s v="CUST_00441"/>
    <d v="2023-07-22T00:00:00"/>
    <n v="39"/>
    <s v="Female"/>
    <s v="Istanbul"/>
    <x v="0"/>
    <n v="11.65"/>
    <n v="1"/>
    <n v="11.65"/>
    <n v="0"/>
    <n v="0"/>
    <n v="11.65"/>
    <s v="Bank Transfer"/>
    <s v="Desktop"/>
    <n v="18"/>
    <n v="10"/>
    <b v="1"/>
    <x v="0"/>
    <n v="5"/>
    <x v="2"/>
    <x v="0"/>
    <n v="5"/>
  </r>
  <r>
    <s v="ORD_000442"/>
    <s v="CUST_00442"/>
    <d v="2023-03-09T00:00:00"/>
    <n v="34"/>
    <s v="Male"/>
    <s v="Bursa"/>
    <x v="0"/>
    <n v="45.6"/>
    <n v="2"/>
    <n v="91.2"/>
    <n v="6.6"/>
    <n v="7.2368421052631568E-2"/>
    <n v="84.6"/>
    <s v="Credit Card"/>
    <s v="Mobile"/>
    <n v="15"/>
    <n v="5"/>
    <b v="0"/>
    <x v="1"/>
    <n v="5"/>
    <x v="2"/>
    <x v="1"/>
    <n v="3"/>
  </r>
  <r>
    <s v="ORD_000443"/>
    <s v="CUST_00443"/>
    <d v="2023-12-10T00:00:00"/>
    <n v="18"/>
    <s v="Other"/>
    <s v="Konya"/>
    <x v="5"/>
    <n v="635.69000000000005"/>
    <n v="2"/>
    <n v="1271.3800000000001"/>
    <n v="0"/>
    <n v="0"/>
    <n v="1271.3800000000001"/>
    <s v="Credit Card"/>
    <s v="Desktop"/>
    <n v="17"/>
    <n v="6"/>
    <b v="1"/>
    <x v="0"/>
    <n v="5"/>
    <x v="2"/>
    <x v="3"/>
    <n v="3"/>
  </r>
  <r>
    <s v="ORD_000444"/>
    <s v="CUST_00444"/>
    <d v="2023-11-27T00:00:00"/>
    <n v="33"/>
    <s v="Male"/>
    <s v="Antalya"/>
    <x v="4"/>
    <n v="311.36"/>
    <n v="1"/>
    <n v="311.36"/>
    <n v="46.57"/>
    <n v="0.14956963001027748"/>
    <n v="264.79000000000002"/>
    <s v="Credit Card"/>
    <s v="Mobile"/>
    <n v="10"/>
    <n v="11"/>
    <b v="1"/>
    <x v="0"/>
    <n v="2"/>
    <x v="1"/>
    <x v="1"/>
    <n v="3"/>
  </r>
  <r>
    <s v="ORD_000445"/>
    <s v="CUST_00445"/>
    <d v="2023-06-03T00:00:00"/>
    <n v="19"/>
    <s v="Male"/>
    <s v="Ankara"/>
    <x v="3"/>
    <n v="132.38999999999999"/>
    <n v="1"/>
    <n v="132.38999999999999"/>
    <n v="0"/>
    <n v="0"/>
    <n v="132.38999999999999"/>
    <s v="Digital Wallet"/>
    <s v="Mobile"/>
    <n v="9"/>
    <n v="11"/>
    <b v="0"/>
    <x v="1"/>
    <n v="5"/>
    <x v="2"/>
    <x v="3"/>
    <n v="5"/>
  </r>
  <r>
    <s v="ORD_000446"/>
    <s v="CUST_00446"/>
    <d v="2023-08-23T00:00:00"/>
    <n v="43"/>
    <s v="Female"/>
    <s v="Bursa"/>
    <x v="7"/>
    <n v="905.87"/>
    <n v="4"/>
    <n v="3623.48"/>
    <n v="0"/>
    <n v="0"/>
    <n v="3623.48"/>
    <s v="Debit Card"/>
    <s v="Desktop"/>
    <n v="19"/>
    <n v="10"/>
    <b v="1"/>
    <x v="0"/>
    <n v="2"/>
    <x v="1"/>
    <x v="0"/>
    <n v="4"/>
  </r>
  <r>
    <s v="ORD_000447"/>
    <s v="CUST_00447"/>
    <d v="2023-06-11T00:00:00"/>
    <n v="39"/>
    <s v="Female"/>
    <s v="Adana"/>
    <x v="3"/>
    <n v="110.03"/>
    <n v="1"/>
    <n v="110.03"/>
    <n v="0"/>
    <n v="0"/>
    <n v="110.03"/>
    <s v="Bank Transfer"/>
    <s v="Mobile"/>
    <n v="8"/>
    <n v="13"/>
    <b v="1"/>
    <x v="0"/>
    <n v="8"/>
    <x v="0"/>
    <x v="0"/>
    <n v="5"/>
  </r>
  <r>
    <s v="ORD_000448"/>
    <s v="CUST_00448"/>
    <d v="2024-01-20T00:00:00"/>
    <n v="23"/>
    <s v="Male"/>
    <s v="Adana"/>
    <x v="1"/>
    <n v="148.35"/>
    <n v="4"/>
    <n v="593.4"/>
    <n v="0"/>
    <n v="0"/>
    <n v="593.4"/>
    <s v="Credit Card"/>
    <s v="Mobile"/>
    <n v="21"/>
    <n v="10"/>
    <b v="0"/>
    <x v="1"/>
    <n v="4"/>
    <x v="2"/>
    <x v="3"/>
    <n v="4"/>
  </r>
  <r>
    <s v="ORD_000449"/>
    <s v="CUST_00449"/>
    <d v="2023-02-07T00:00:00"/>
    <n v="28"/>
    <s v="Female"/>
    <s v="Antalya"/>
    <x v="4"/>
    <n v="711.42"/>
    <n v="3"/>
    <n v="2134.2599999999998"/>
    <n v="0"/>
    <n v="0"/>
    <n v="2134.2600000000002"/>
    <s v="Digital Wallet"/>
    <s v="Mobile"/>
    <n v="16"/>
    <n v="9"/>
    <b v="0"/>
    <x v="1"/>
    <n v="11"/>
    <x v="0"/>
    <x v="1"/>
    <n v="5"/>
  </r>
  <r>
    <s v="ORD_000450"/>
    <s v="CUST_00450"/>
    <d v="2023-01-05T00:00:00"/>
    <n v="22"/>
    <s v="Female"/>
    <s v="Konya"/>
    <x v="2"/>
    <n v="77.599999999999994"/>
    <n v="1"/>
    <n v="77.599999999999994"/>
    <n v="10.69"/>
    <n v="0.1377577319587629"/>
    <n v="66.91"/>
    <s v="Cash on Delivery"/>
    <s v="Mobile"/>
    <n v="9"/>
    <n v="10"/>
    <b v="1"/>
    <x v="0"/>
    <n v="1"/>
    <x v="1"/>
    <x v="3"/>
    <n v="4"/>
  </r>
  <r>
    <s v="ORD_000451"/>
    <s v="CUST_00451"/>
    <d v="2023-08-23T00:00:00"/>
    <n v="34"/>
    <s v="Female"/>
    <s v="Konya"/>
    <x v="4"/>
    <n v="172.79"/>
    <n v="1"/>
    <n v="172.79"/>
    <n v="30.83"/>
    <n v="0.17842467735401354"/>
    <n v="141.96"/>
    <s v="Digital Wallet"/>
    <s v="Mobile"/>
    <n v="16"/>
    <n v="9"/>
    <b v="0"/>
    <x v="1"/>
    <n v="11"/>
    <x v="0"/>
    <x v="1"/>
    <n v="4"/>
  </r>
  <r>
    <s v="ORD_000452"/>
    <s v="CUST_00452"/>
    <d v="2023-11-15T00:00:00"/>
    <n v="46"/>
    <s v="Female"/>
    <s v="Bursa"/>
    <x v="7"/>
    <n v="350.06"/>
    <n v="3"/>
    <n v="1050.18"/>
    <n v="97.43"/>
    <n v="9.2774571978137085E-2"/>
    <n v="952.75"/>
    <s v="Credit Card"/>
    <s v="Desktop"/>
    <n v="18"/>
    <n v="10"/>
    <b v="1"/>
    <x v="0"/>
    <n v="3"/>
    <x v="1"/>
    <x v="2"/>
    <n v="5"/>
  </r>
  <r>
    <s v="ORD_000453"/>
    <s v="CUST_00453"/>
    <d v="2023-10-16T00:00:00"/>
    <n v="23"/>
    <s v="Female"/>
    <s v="Izmir"/>
    <x v="0"/>
    <n v="50.95"/>
    <n v="1"/>
    <n v="50.95"/>
    <n v="8.3800000000000008"/>
    <n v="0.16447497546614329"/>
    <n v="42.57"/>
    <s v="Debit Card"/>
    <s v="Desktop"/>
    <n v="23"/>
    <n v="13"/>
    <b v="0"/>
    <x v="1"/>
    <n v="13"/>
    <x v="0"/>
    <x v="3"/>
    <n v="5"/>
  </r>
  <r>
    <s v="ORD_000454"/>
    <s v="CUST_00454"/>
    <d v="2023-02-21T00:00:00"/>
    <n v="41"/>
    <s v="Female"/>
    <s v="Antalya"/>
    <x v="1"/>
    <n v="214.36"/>
    <n v="1"/>
    <n v="214.36"/>
    <n v="0"/>
    <n v="0"/>
    <n v="214.36"/>
    <s v="Credit Card"/>
    <s v="Mobile"/>
    <n v="8"/>
    <n v="7"/>
    <b v="0"/>
    <x v="1"/>
    <n v="8"/>
    <x v="0"/>
    <x v="0"/>
    <n v="5"/>
  </r>
  <r>
    <s v="ORD_000455"/>
    <s v="CUST_00455"/>
    <d v="2023-02-07T00:00:00"/>
    <n v="28"/>
    <s v="Female"/>
    <s v="Gaziantep"/>
    <x v="4"/>
    <n v="293.95"/>
    <n v="1"/>
    <n v="293.95"/>
    <n v="22.04"/>
    <n v="7.4978737880591936E-2"/>
    <n v="271.91000000000003"/>
    <s v="Credit Card"/>
    <s v="Tablet"/>
    <n v="10"/>
    <n v="10"/>
    <b v="1"/>
    <x v="0"/>
    <n v="12"/>
    <x v="0"/>
    <x v="1"/>
    <n v="5"/>
  </r>
  <r>
    <s v="ORD_000456"/>
    <s v="CUST_00456"/>
    <d v="2023-10-03T00:00:00"/>
    <n v="25"/>
    <s v="Male"/>
    <s v="Istanbul"/>
    <x v="6"/>
    <n v="182.49"/>
    <n v="3"/>
    <n v="547.47"/>
    <n v="40.229999999999997"/>
    <n v="7.3483478546769676E-2"/>
    <n v="507.24"/>
    <s v="Credit Card"/>
    <s v="Mobile"/>
    <n v="25"/>
    <n v="7"/>
    <b v="0"/>
    <x v="1"/>
    <n v="5"/>
    <x v="2"/>
    <x v="3"/>
    <n v="4"/>
  </r>
  <r>
    <s v="ORD_000457"/>
    <s v="CUST_00457"/>
    <d v="2023-04-20T00:00:00"/>
    <n v="33"/>
    <s v="Male"/>
    <s v="Eskisehir"/>
    <x v="3"/>
    <n v="122.34"/>
    <n v="1"/>
    <n v="122.34"/>
    <n v="0"/>
    <n v="0"/>
    <n v="122.34"/>
    <s v="Credit Card"/>
    <s v="Desktop"/>
    <n v="16"/>
    <n v="8"/>
    <b v="1"/>
    <x v="0"/>
    <n v="9"/>
    <x v="0"/>
    <x v="1"/>
    <n v="4"/>
  </r>
  <r>
    <s v="ORD_000458"/>
    <s v="CUST_00458"/>
    <d v="2023-09-17T00:00:00"/>
    <n v="22"/>
    <s v="Male"/>
    <s v="Istanbul"/>
    <x v="5"/>
    <n v="665.91"/>
    <n v="2"/>
    <n v="1331.82"/>
    <n v="0"/>
    <n v="0"/>
    <n v="1331.82"/>
    <s v="Digital Wallet"/>
    <s v="Mobile"/>
    <n v="9"/>
    <n v="8"/>
    <b v="0"/>
    <x v="1"/>
    <n v="6"/>
    <x v="2"/>
    <x v="3"/>
    <n v="4"/>
  </r>
  <r>
    <s v="ORD_000459"/>
    <s v="CUST_00459"/>
    <d v="2023-05-16T00:00:00"/>
    <n v="28"/>
    <s v="Male"/>
    <s v="Izmir"/>
    <x v="3"/>
    <n v="213.77"/>
    <n v="4"/>
    <n v="855.08"/>
    <n v="0"/>
    <n v="0"/>
    <n v="855.08"/>
    <s v="Credit Card"/>
    <s v="Desktop"/>
    <n v="22"/>
    <n v="5"/>
    <b v="0"/>
    <x v="1"/>
    <n v="2"/>
    <x v="1"/>
    <x v="1"/>
    <n v="4"/>
  </r>
  <r>
    <s v="ORD_000460"/>
    <s v="CUST_00460"/>
    <d v="2023-03-09T00:00:00"/>
    <n v="20"/>
    <s v="Male"/>
    <s v="Konya"/>
    <x v="1"/>
    <n v="96.23"/>
    <n v="2"/>
    <n v="192.46"/>
    <n v="0"/>
    <n v="0"/>
    <n v="192.46"/>
    <s v="Digital Wallet"/>
    <s v="Desktop"/>
    <n v="26"/>
    <n v="13"/>
    <b v="0"/>
    <x v="1"/>
    <n v="3"/>
    <x v="1"/>
    <x v="3"/>
    <n v="4"/>
  </r>
  <r>
    <s v="ORD_000461"/>
    <s v="CUST_00461"/>
    <d v="2023-06-28T00:00:00"/>
    <n v="58"/>
    <s v="Female"/>
    <s v="Istanbul"/>
    <x v="0"/>
    <n v="36.1"/>
    <n v="3"/>
    <n v="108.30000000000001"/>
    <n v="0"/>
    <n v="0"/>
    <n v="108.3"/>
    <s v="Credit Card"/>
    <s v="Mobile"/>
    <n v="14"/>
    <n v="7"/>
    <b v="1"/>
    <x v="0"/>
    <n v="13"/>
    <x v="0"/>
    <x v="4"/>
    <n v="4"/>
  </r>
  <r>
    <s v="ORD_000462"/>
    <s v="CUST_00462"/>
    <d v="2023-02-05T00:00:00"/>
    <n v="35"/>
    <s v="Male"/>
    <s v="Izmir"/>
    <x v="4"/>
    <n v="205.05"/>
    <n v="2"/>
    <n v="410.1"/>
    <n v="0"/>
    <n v="0"/>
    <n v="410.1"/>
    <s v="Credit Card"/>
    <s v="Desktop"/>
    <n v="22"/>
    <n v="6"/>
    <b v="1"/>
    <x v="0"/>
    <n v="5"/>
    <x v="2"/>
    <x v="1"/>
    <n v="5"/>
  </r>
  <r>
    <s v="ORD_000463"/>
    <s v="CUST_00463"/>
    <d v="2024-03-26T00:00:00"/>
    <n v="26"/>
    <s v="Male"/>
    <s v="Istanbul"/>
    <x v="0"/>
    <n v="19.84"/>
    <n v="3"/>
    <n v="59.519999999999996"/>
    <n v="0"/>
    <n v="0"/>
    <n v="59.52"/>
    <s v="Credit Card"/>
    <s v="Mobile"/>
    <n v="11"/>
    <n v="10"/>
    <b v="0"/>
    <x v="1"/>
    <n v="6"/>
    <x v="2"/>
    <x v="1"/>
    <n v="4"/>
  </r>
  <r>
    <s v="ORD_000464"/>
    <s v="CUST_00464"/>
    <d v="2023-05-06T00:00:00"/>
    <n v="37"/>
    <s v="Female"/>
    <s v="Ankara"/>
    <x v="3"/>
    <n v="103.09"/>
    <n v="2"/>
    <n v="206.18"/>
    <n v="0"/>
    <n v="0"/>
    <n v="206.18"/>
    <s v="Credit Card"/>
    <s v="Mobile"/>
    <n v="15"/>
    <n v="8"/>
    <b v="0"/>
    <x v="1"/>
    <n v="5"/>
    <x v="2"/>
    <x v="0"/>
    <n v="3"/>
  </r>
  <r>
    <s v="ORD_000465"/>
    <s v="CUST_00465"/>
    <d v="2023-07-09T00:00:00"/>
    <n v="33"/>
    <s v="Male"/>
    <s v="Istanbul"/>
    <x v="4"/>
    <n v="343.43"/>
    <n v="5"/>
    <n v="1717.15"/>
    <n v="0"/>
    <n v="0"/>
    <n v="1717.15"/>
    <s v="Credit Card"/>
    <s v="Mobile"/>
    <n v="16"/>
    <n v="9"/>
    <b v="1"/>
    <x v="0"/>
    <n v="4"/>
    <x v="2"/>
    <x v="1"/>
    <n v="1"/>
  </r>
  <r>
    <s v="ORD_000466"/>
    <s v="CUST_00466"/>
    <d v="2023-05-26T00:00:00"/>
    <n v="32"/>
    <s v="Male"/>
    <s v="Ankara"/>
    <x v="3"/>
    <n v="163.89"/>
    <n v="1"/>
    <n v="163.89"/>
    <n v="0"/>
    <n v="0"/>
    <n v="163.89"/>
    <s v="Debit Card"/>
    <s v="Mobile"/>
    <n v="7"/>
    <n v="9"/>
    <b v="0"/>
    <x v="1"/>
    <n v="4"/>
    <x v="2"/>
    <x v="1"/>
    <n v="5"/>
  </r>
  <r>
    <s v="ORD_000467"/>
    <s v="CUST_00467"/>
    <d v="2023-03-22T00:00:00"/>
    <n v="42"/>
    <s v="Male"/>
    <s v="Ankara"/>
    <x v="1"/>
    <n v="125.69"/>
    <n v="2"/>
    <n v="251.38"/>
    <n v="36.31"/>
    <n v="0.14444267642612779"/>
    <n v="215.07"/>
    <s v="Cash on Delivery"/>
    <s v="Mobile"/>
    <n v="9"/>
    <n v="11"/>
    <b v="1"/>
    <x v="0"/>
    <n v="5"/>
    <x v="2"/>
    <x v="0"/>
    <n v="5"/>
  </r>
  <r>
    <s v="ORD_000468"/>
    <s v="CUST_00468"/>
    <d v="2023-08-13T00:00:00"/>
    <n v="44"/>
    <s v="Male"/>
    <s v="Eskisehir"/>
    <x v="2"/>
    <n v="32.53"/>
    <n v="5"/>
    <n v="162.65"/>
    <n v="3.22"/>
    <n v="1.9797110359668E-2"/>
    <n v="159.43"/>
    <s v="Credit Card"/>
    <s v="Desktop"/>
    <n v="16"/>
    <n v="10"/>
    <b v="1"/>
    <x v="0"/>
    <n v="5"/>
    <x v="2"/>
    <x v="0"/>
    <n v="4"/>
  </r>
  <r>
    <s v="ORD_000469"/>
    <s v="CUST_00469"/>
    <d v="2024-03-02T00:00:00"/>
    <n v="28"/>
    <s v="Male"/>
    <s v="Eskisehir"/>
    <x v="0"/>
    <n v="97.62"/>
    <n v="1"/>
    <n v="97.62"/>
    <n v="9.61"/>
    <n v="9.8442942020077848E-2"/>
    <n v="88.01"/>
    <s v="Credit Card"/>
    <s v="Mobile"/>
    <n v="33"/>
    <n v="5"/>
    <b v="0"/>
    <x v="1"/>
    <n v="11"/>
    <x v="0"/>
    <x v="1"/>
    <n v="5"/>
  </r>
  <r>
    <s v="ORD_000470"/>
    <s v="CUST_00470"/>
    <d v="2023-10-06T00:00:00"/>
    <n v="28"/>
    <s v="Female"/>
    <s v="Istanbul"/>
    <x v="0"/>
    <n v="25.98"/>
    <n v="2"/>
    <n v="51.96"/>
    <n v="0"/>
    <n v="0"/>
    <n v="51.96"/>
    <s v="Credit Card"/>
    <s v="Mobile"/>
    <n v="8"/>
    <n v="11"/>
    <b v="0"/>
    <x v="1"/>
    <n v="4"/>
    <x v="2"/>
    <x v="1"/>
    <n v="5"/>
  </r>
  <r>
    <s v="ORD_000471"/>
    <s v="CUST_00471"/>
    <d v="2023-12-27T00:00:00"/>
    <n v="31"/>
    <s v="Female"/>
    <s v="Adana"/>
    <x v="3"/>
    <n v="69.81"/>
    <n v="1"/>
    <n v="69.81"/>
    <n v="7.88"/>
    <n v="0.11287781120183354"/>
    <n v="61.93"/>
    <s v="Bank Transfer"/>
    <s v="Mobile"/>
    <n v="12"/>
    <n v="13"/>
    <b v="0"/>
    <x v="1"/>
    <n v="12"/>
    <x v="0"/>
    <x v="1"/>
    <n v="5"/>
  </r>
  <r>
    <s v="ORD_000472"/>
    <s v="CUST_00472"/>
    <d v="2023-06-04T00:00:00"/>
    <n v="18"/>
    <s v="Male"/>
    <s v="Istanbul"/>
    <x v="5"/>
    <n v="3463.03"/>
    <n v="5"/>
    <n v="17315.150000000001"/>
    <n v="215.85"/>
    <n v="1.2465961888866107E-2"/>
    <n v="17099.3"/>
    <s v="Digital Wallet"/>
    <s v="Desktop"/>
    <n v="20"/>
    <n v="5"/>
    <b v="1"/>
    <x v="0"/>
    <n v="4"/>
    <x v="2"/>
    <x v="3"/>
    <n v="4"/>
  </r>
  <r>
    <s v="ORD_000473"/>
    <s v="CUST_00473"/>
    <d v="2023-11-10T00:00:00"/>
    <n v="18"/>
    <s v="Male"/>
    <s v="Istanbul"/>
    <x v="3"/>
    <n v="19.34"/>
    <n v="1"/>
    <n v="19.34"/>
    <n v="0"/>
    <n v="0"/>
    <n v="19.34"/>
    <s v="Digital Wallet"/>
    <s v="Desktop"/>
    <n v="17"/>
    <n v="12"/>
    <b v="1"/>
    <x v="0"/>
    <n v="5"/>
    <x v="2"/>
    <x v="3"/>
    <n v="4"/>
  </r>
  <r>
    <s v="ORD_000474"/>
    <s v="CUST_00474"/>
    <d v="2024-02-18T00:00:00"/>
    <n v="51"/>
    <s v="Male"/>
    <s v="Istanbul"/>
    <x v="1"/>
    <n v="76.66"/>
    <n v="1"/>
    <n v="76.66"/>
    <n v="0"/>
    <n v="0"/>
    <n v="76.66"/>
    <s v="Credit Card"/>
    <s v="Mobile"/>
    <n v="9"/>
    <n v="9"/>
    <b v="1"/>
    <x v="0"/>
    <n v="4"/>
    <x v="2"/>
    <x v="2"/>
    <n v="2"/>
  </r>
  <r>
    <s v="ORD_000475"/>
    <s v="CUST_00475"/>
    <d v="2023-12-01T00:00:00"/>
    <n v="54"/>
    <s v="Female"/>
    <s v="Eskisehir"/>
    <x v="3"/>
    <n v="235.12"/>
    <n v="1"/>
    <n v="235.12"/>
    <n v="0"/>
    <n v="0"/>
    <n v="235.12"/>
    <s v="Credit Card"/>
    <s v="Mobile"/>
    <n v="34"/>
    <n v="13"/>
    <b v="1"/>
    <x v="0"/>
    <n v="6"/>
    <x v="2"/>
    <x v="2"/>
    <n v="5"/>
  </r>
  <r>
    <s v="ORD_000476"/>
    <s v="CUST_00476"/>
    <d v="2023-09-28T00:00:00"/>
    <n v="32"/>
    <s v="Male"/>
    <s v="Kayseri"/>
    <x v="5"/>
    <n v="1939.72"/>
    <n v="1"/>
    <n v="1939.72"/>
    <n v="487.88"/>
    <n v="0.2515208380591013"/>
    <n v="1451.84"/>
    <s v="Credit Card"/>
    <s v="Desktop"/>
    <n v="15"/>
    <n v="6"/>
    <b v="1"/>
    <x v="0"/>
    <n v="5"/>
    <x v="2"/>
    <x v="1"/>
    <n v="5"/>
  </r>
  <r>
    <s v="ORD_000477"/>
    <s v="CUST_00477"/>
    <d v="2023-01-05T00:00:00"/>
    <n v="41"/>
    <s v="Male"/>
    <s v="Istanbul"/>
    <x v="6"/>
    <n v="181.88"/>
    <n v="1"/>
    <n v="181.88"/>
    <n v="26.42"/>
    <n v="0.14526061139212668"/>
    <n v="155.46"/>
    <s v="Bank Transfer"/>
    <s v="Mobile"/>
    <n v="14"/>
    <n v="9"/>
    <b v="1"/>
    <x v="0"/>
    <n v="9"/>
    <x v="0"/>
    <x v="0"/>
    <n v="5"/>
  </r>
  <r>
    <s v="ORD_000478"/>
    <s v="CUST_00478"/>
    <d v="2023-12-08T00:00:00"/>
    <n v="38"/>
    <s v="Female"/>
    <s v="Istanbul"/>
    <x v="5"/>
    <n v="410.32"/>
    <n v="1"/>
    <n v="410.32"/>
    <n v="0"/>
    <n v="0"/>
    <n v="410.32"/>
    <s v="Credit Card"/>
    <s v="Mobile"/>
    <n v="15"/>
    <n v="9"/>
    <b v="1"/>
    <x v="0"/>
    <n v="5"/>
    <x v="2"/>
    <x v="0"/>
    <n v="4"/>
  </r>
  <r>
    <s v="ORD_000479"/>
    <s v="CUST_00479"/>
    <d v="2024-02-23T00:00:00"/>
    <n v="71"/>
    <s v="Male"/>
    <s v="Istanbul"/>
    <x v="1"/>
    <n v="254.01"/>
    <n v="2"/>
    <n v="508.02"/>
    <n v="0"/>
    <n v="0"/>
    <n v="508.02"/>
    <s v="Debit Card"/>
    <s v="Mobile"/>
    <n v="11"/>
    <n v="11"/>
    <b v="0"/>
    <x v="1"/>
    <n v="13"/>
    <x v="0"/>
    <x v="5"/>
    <n v="4"/>
  </r>
  <r>
    <s v="ORD_000480"/>
    <s v="CUST_00480"/>
    <d v="2023-10-11T00:00:00"/>
    <n v="48"/>
    <s v="Male"/>
    <s v="Izmir"/>
    <x v="4"/>
    <n v="279.39999999999998"/>
    <n v="2"/>
    <n v="558.79999999999995"/>
    <n v="0"/>
    <n v="0"/>
    <n v="558.79999999999995"/>
    <s v="Debit Card"/>
    <s v="Mobile"/>
    <n v="34"/>
    <n v="8"/>
    <b v="0"/>
    <x v="1"/>
    <n v="4"/>
    <x v="2"/>
    <x v="2"/>
    <n v="4"/>
  </r>
  <r>
    <s v="ORD_000481"/>
    <s v="CUST_00481"/>
    <d v="2023-06-03T00:00:00"/>
    <n v="33"/>
    <s v="Male"/>
    <s v="Bursa"/>
    <x v="3"/>
    <n v="166.69"/>
    <n v="1"/>
    <n v="166.69"/>
    <n v="0"/>
    <n v="0"/>
    <n v="166.69"/>
    <s v="Debit Card"/>
    <s v="Mobile"/>
    <n v="4"/>
    <n v="8"/>
    <b v="0"/>
    <x v="1"/>
    <n v="7"/>
    <x v="2"/>
    <x v="1"/>
    <n v="4"/>
  </r>
  <r>
    <s v="ORD_000482"/>
    <s v="CUST_00482"/>
    <d v="2023-12-06T00:00:00"/>
    <n v="23"/>
    <s v="Female"/>
    <s v="Istanbul"/>
    <x v="2"/>
    <n v="86.96"/>
    <n v="1"/>
    <n v="86.96"/>
    <n v="0"/>
    <n v="0"/>
    <n v="86.96"/>
    <s v="Credit Card"/>
    <s v="Mobile"/>
    <n v="11"/>
    <n v="7"/>
    <b v="1"/>
    <x v="0"/>
    <n v="8"/>
    <x v="0"/>
    <x v="3"/>
    <n v="4"/>
  </r>
  <r>
    <s v="ORD_000483"/>
    <s v="CUST_00483"/>
    <d v="2023-02-23T00:00:00"/>
    <n v="18"/>
    <s v="Female"/>
    <s v="Adana"/>
    <x v="5"/>
    <n v="911.25"/>
    <n v="1"/>
    <n v="911.25"/>
    <n v="0"/>
    <n v="0"/>
    <n v="911.25"/>
    <s v="Debit Card"/>
    <s v="Tablet"/>
    <n v="7"/>
    <n v="11"/>
    <b v="0"/>
    <x v="1"/>
    <n v="10"/>
    <x v="0"/>
    <x v="3"/>
    <n v="2"/>
  </r>
  <r>
    <s v="ORD_000484"/>
    <s v="CUST_00484"/>
    <d v="2024-03-25T00:00:00"/>
    <n v="37"/>
    <s v="Female"/>
    <s v="Ankara"/>
    <x v="6"/>
    <n v="207.48"/>
    <n v="1"/>
    <n v="207.48"/>
    <n v="0"/>
    <n v="0"/>
    <n v="207.48"/>
    <s v="Credit Card"/>
    <s v="Desktop"/>
    <n v="11"/>
    <n v="13"/>
    <b v="1"/>
    <x v="0"/>
    <n v="4"/>
    <x v="2"/>
    <x v="0"/>
    <n v="5"/>
  </r>
  <r>
    <s v="ORD_000485"/>
    <s v="CUST_00485"/>
    <d v="2023-03-10T00:00:00"/>
    <n v="25"/>
    <s v="Female"/>
    <s v="Kayseri"/>
    <x v="5"/>
    <n v="1852.09"/>
    <n v="1"/>
    <n v="1852.09"/>
    <n v="0"/>
    <n v="0"/>
    <n v="1852.09"/>
    <s v="Cash on Delivery"/>
    <s v="Mobile"/>
    <n v="26"/>
    <n v="9"/>
    <b v="1"/>
    <x v="0"/>
    <n v="10"/>
    <x v="0"/>
    <x v="3"/>
    <n v="4"/>
  </r>
  <r>
    <s v="ORD_000486"/>
    <s v="CUST_00486"/>
    <d v="2023-05-16T00:00:00"/>
    <n v="18"/>
    <s v="Female"/>
    <s v="Antalya"/>
    <x v="3"/>
    <n v="86.95"/>
    <n v="2"/>
    <n v="173.9"/>
    <n v="0"/>
    <n v="0"/>
    <n v="173.9"/>
    <s v="Credit Card"/>
    <s v="Desktop"/>
    <n v="36"/>
    <n v="11"/>
    <b v="0"/>
    <x v="1"/>
    <n v="16"/>
    <x v="3"/>
    <x v="3"/>
    <n v="5"/>
  </r>
  <r>
    <s v="ORD_000487"/>
    <s v="CUST_00487"/>
    <d v="2023-03-01T00:00:00"/>
    <n v="27"/>
    <s v="Female"/>
    <s v="Izmir"/>
    <x v="4"/>
    <n v="287.64"/>
    <n v="1"/>
    <n v="287.64"/>
    <n v="70.08"/>
    <n v="0.24363788068418857"/>
    <n v="217.56"/>
    <s v="Credit Card"/>
    <s v="Mobile"/>
    <n v="8"/>
    <n v="7"/>
    <b v="0"/>
    <x v="1"/>
    <n v="9"/>
    <x v="0"/>
    <x v="1"/>
    <n v="5"/>
  </r>
  <r>
    <s v="ORD_000488"/>
    <s v="CUST_00488"/>
    <d v="2023-02-24T00:00:00"/>
    <n v="22"/>
    <s v="Female"/>
    <s v="Gaziantep"/>
    <x v="0"/>
    <n v="42.67"/>
    <n v="1"/>
    <n v="42.67"/>
    <n v="0"/>
    <n v="0"/>
    <n v="42.67"/>
    <s v="Credit Card"/>
    <s v="Mobile"/>
    <n v="15"/>
    <n v="10"/>
    <b v="0"/>
    <x v="1"/>
    <n v="3"/>
    <x v="1"/>
    <x v="3"/>
    <n v="4"/>
  </r>
  <r>
    <s v="ORD_000489"/>
    <s v="CUST_00489"/>
    <d v="2024-01-16T00:00:00"/>
    <n v="55"/>
    <s v="Male"/>
    <s v="Gaziantep"/>
    <x v="3"/>
    <n v="162.56"/>
    <n v="5"/>
    <n v="812.8"/>
    <n v="0"/>
    <n v="0"/>
    <n v="812.8"/>
    <s v="Digital Wallet"/>
    <s v="Mobile"/>
    <n v="15"/>
    <n v="14"/>
    <b v="1"/>
    <x v="0"/>
    <n v="5"/>
    <x v="2"/>
    <x v="2"/>
    <n v="3"/>
  </r>
  <r>
    <s v="ORD_000490"/>
    <s v="CUST_00490"/>
    <d v="2023-10-11T00:00:00"/>
    <n v="45"/>
    <s v="Female"/>
    <s v="Ankara"/>
    <x v="0"/>
    <n v="140.83000000000001"/>
    <n v="2"/>
    <n v="281.66000000000003"/>
    <n v="29.09"/>
    <n v="0.10328055101895901"/>
    <n v="252.57"/>
    <s v="Credit Card"/>
    <s v="Mobile"/>
    <n v="1"/>
    <n v="9"/>
    <b v="0"/>
    <x v="1"/>
    <n v="6"/>
    <x v="2"/>
    <x v="0"/>
    <n v="5"/>
  </r>
  <r>
    <s v="ORD_000491"/>
    <s v="CUST_00491"/>
    <d v="2023-03-21T00:00:00"/>
    <n v="34"/>
    <s v="Male"/>
    <s v="Ankara"/>
    <x v="6"/>
    <n v="111.96"/>
    <n v="1"/>
    <n v="111.96"/>
    <n v="8.74"/>
    <n v="7.8063594140764567E-2"/>
    <n v="103.22"/>
    <s v="Debit Card"/>
    <s v="Mobile"/>
    <n v="9"/>
    <n v="8"/>
    <b v="0"/>
    <x v="1"/>
    <n v="4"/>
    <x v="2"/>
    <x v="1"/>
    <n v="5"/>
  </r>
  <r>
    <s v="ORD_000492"/>
    <s v="CUST_00492"/>
    <d v="2023-05-20T00:00:00"/>
    <n v="52"/>
    <s v="Male"/>
    <s v="Kayseri"/>
    <x v="6"/>
    <n v="375.36"/>
    <n v="2"/>
    <n v="750.72"/>
    <n v="0"/>
    <n v="0"/>
    <n v="750.72"/>
    <s v="Credit Card"/>
    <s v="Desktop"/>
    <n v="15"/>
    <n v="9"/>
    <b v="0"/>
    <x v="1"/>
    <n v="11"/>
    <x v="0"/>
    <x v="2"/>
    <n v="3"/>
  </r>
  <r>
    <s v="ORD_000493"/>
    <s v="CUST_00493"/>
    <d v="2023-05-25T00:00:00"/>
    <n v="35"/>
    <s v="Female"/>
    <s v="Istanbul"/>
    <x v="1"/>
    <n v="318"/>
    <n v="1"/>
    <n v="318"/>
    <n v="0"/>
    <n v="0"/>
    <n v="318"/>
    <s v="Credit Card"/>
    <s v="Mobile"/>
    <n v="32"/>
    <n v="11"/>
    <b v="0"/>
    <x v="1"/>
    <n v="3"/>
    <x v="1"/>
    <x v="1"/>
    <n v="2"/>
  </r>
  <r>
    <s v="ORD_000494"/>
    <s v="CUST_00494"/>
    <d v="2023-11-06T00:00:00"/>
    <n v="24"/>
    <s v="Male"/>
    <s v="Istanbul"/>
    <x v="2"/>
    <n v="46.29"/>
    <n v="1"/>
    <n v="46.29"/>
    <n v="0"/>
    <n v="0"/>
    <n v="46.29"/>
    <s v="Debit Card"/>
    <s v="Mobile"/>
    <n v="5"/>
    <n v="7"/>
    <b v="0"/>
    <x v="1"/>
    <n v="4"/>
    <x v="2"/>
    <x v="3"/>
    <n v="5"/>
  </r>
  <r>
    <s v="ORD_000495"/>
    <s v="CUST_00495"/>
    <d v="2023-04-18T00:00:00"/>
    <n v="53"/>
    <s v="Female"/>
    <s v="Izmir"/>
    <x v="3"/>
    <n v="82.32"/>
    <n v="1"/>
    <n v="82.32"/>
    <n v="0"/>
    <n v="0"/>
    <n v="82.32"/>
    <s v="Credit Card"/>
    <s v="Desktop"/>
    <n v="16"/>
    <n v="10"/>
    <b v="1"/>
    <x v="0"/>
    <n v="4"/>
    <x v="2"/>
    <x v="2"/>
    <n v="4"/>
  </r>
  <r>
    <s v="ORD_000496"/>
    <s v="CUST_00496"/>
    <d v="2024-01-03T00:00:00"/>
    <n v="41"/>
    <s v="Male"/>
    <s v="Gaziantep"/>
    <x v="5"/>
    <n v="734.28"/>
    <n v="2"/>
    <n v="1468.56"/>
    <n v="0"/>
    <n v="0"/>
    <n v="1468.56"/>
    <s v="Digital Wallet"/>
    <s v="Desktop"/>
    <n v="18"/>
    <n v="5"/>
    <b v="1"/>
    <x v="0"/>
    <n v="9"/>
    <x v="0"/>
    <x v="0"/>
    <n v="3"/>
  </r>
  <r>
    <s v="ORD_000497"/>
    <s v="CUST_00497"/>
    <d v="2023-06-25T00:00:00"/>
    <n v="22"/>
    <s v="Female"/>
    <s v="Adana"/>
    <x v="5"/>
    <n v="2148.3200000000002"/>
    <n v="2"/>
    <n v="4296.6400000000003"/>
    <n v="0"/>
    <n v="0"/>
    <n v="4296.6400000000003"/>
    <s v="Digital Wallet"/>
    <s v="Desktop"/>
    <n v="28"/>
    <n v="8"/>
    <b v="1"/>
    <x v="0"/>
    <n v="6"/>
    <x v="2"/>
    <x v="3"/>
    <n v="5"/>
  </r>
  <r>
    <s v="ORD_000498"/>
    <s v="CUST_00498"/>
    <d v="2023-04-15T00:00:00"/>
    <n v="32"/>
    <s v="Female"/>
    <s v="Kayseri"/>
    <x v="1"/>
    <n v="669.82"/>
    <n v="1"/>
    <n v="669.82"/>
    <n v="0"/>
    <n v="0"/>
    <n v="669.82"/>
    <s v="Bank Transfer"/>
    <s v="Desktop"/>
    <n v="9"/>
    <n v="9"/>
    <b v="1"/>
    <x v="0"/>
    <n v="8"/>
    <x v="0"/>
    <x v="1"/>
    <n v="5"/>
  </r>
  <r>
    <s v="ORD_000499"/>
    <s v="CUST_00499"/>
    <d v="2023-12-18T00:00:00"/>
    <n v="24"/>
    <s v="Female"/>
    <s v="Bursa"/>
    <x v="4"/>
    <n v="524.52"/>
    <n v="1"/>
    <n v="524.52"/>
    <n v="0"/>
    <n v="0"/>
    <n v="524.52"/>
    <s v="Credit Card"/>
    <s v="Desktop"/>
    <n v="6"/>
    <n v="11"/>
    <b v="1"/>
    <x v="0"/>
    <n v="6"/>
    <x v="2"/>
    <x v="3"/>
    <n v="4"/>
  </r>
  <r>
    <s v="ORD_000500"/>
    <s v="CUST_00500"/>
    <d v="2023-11-21T00:00:00"/>
    <n v="18"/>
    <s v="Male"/>
    <s v="Istanbul"/>
    <x v="3"/>
    <n v="48.17"/>
    <n v="2"/>
    <n v="96.34"/>
    <n v="0"/>
    <n v="0"/>
    <n v="96.34"/>
    <s v="Debit Card"/>
    <s v="Tablet"/>
    <n v="9"/>
    <n v="9"/>
    <b v="0"/>
    <x v="1"/>
    <n v="7"/>
    <x v="2"/>
    <x v="3"/>
    <n v="5"/>
  </r>
  <r>
    <s v="ORD_000501"/>
    <s v="CUST_00501"/>
    <d v="2024-03-12T00:00:00"/>
    <n v="46"/>
    <s v="Male"/>
    <s v="Bursa"/>
    <x v="7"/>
    <n v="725.33"/>
    <n v="5"/>
    <n v="3626.65"/>
    <n v="0"/>
    <n v="0"/>
    <n v="3626.65"/>
    <s v="Bank Transfer"/>
    <s v="Desktop"/>
    <n v="12"/>
    <n v="7"/>
    <b v="0"/>
    <x v="1"/>
    <n v="4"/>
    <x v="2"/>
    <x v="2"/>
    <n v="5"/>
  </r>
  <r>
    <s v="ORD_000502"/>
    <s v="CUST_00502"/>
    <d v="2023-05-16T00:00:00"/>
    <n v="57"/>
    <s v="Female"/>
    <s v="Adana"/>
    <x v="4"/>
    <n v="423.12"/>
    <n v="2"/>
    <n v="846.24"/>
    <n v="0"/>
    <n v="0"/>
    <n v="846.24"/>
    <s v="Digital Wallet"/>
    <s v="Desktop"/>
    <n v="17"/>
    <n v="12"/>
    <b v="1"/>
    <x v="0"/>
    <n v="7"/>
    <x v="2"/>
    <x v="4"/>
    <n v="5"/>
  </r>
  <r>
    <s v="ORD_000503"/>
    <s v="CUST_00503"/>
    <d v="2023-09-16T00:00:00"/>
    <n v="18"/>
    <s v="Male"/>
    <s v="Istanbul"/>
    <x v="5"/>
    <n v="725.66"/>
    <n v="2"/>
    <n v="1451.32"/>
    <n v="0"/>
    <n v="0"/>
    <n v="1451.32"/>
    <s v="Credit Card"/>
    <s v="Tablet"/>
    <n v="25"/>
    <n v="10"/>
    <b v="0"/>
    <x v="1"/>
    <n v="9"/>
    <x v="0"/>
    <x v="3"/>
    <n v="3"/>
  </r>
  <r>
    <s v="ORD_000504"/>
    <s v="CUST_00504"/>
    <d v="2023-09-08T00:00:00"/>
    <n v="41"/>
    <s v="Female"/>
    <s v="Istanbul"/>
    <x v="6"/>
    <n v="43.88"/>
    <n v="1"/>
    <n v="43.88"/>
    <n v="0"/>
    <n v="0"/>
    <n v="43.88"/>
    <s v="Debit Card"/>
    <s v="Mobile"/>
    <n v="18"/>
    <n v="10"/>
    <b v="1"/>
    <x v="0"/>
    <n v="3"/>
    <x v="1"/>
    <x v="0"/>
    <n v="4"/>
  </r>
  <r>
    <s v="ORD_000505"/>
    <s v="CUST_00505"/>
    <d v="2023-05-09T00:00:00"/>
    <n v="27"/>
    <s v="Female"/>
    <s v="Istanbul"/>
    <x v="3"/>
    <n v="133"/>
    <n v="2"/>
    <n v="266"/>
    <n v="0"/>
    <n v="0"/>
    <n v="266"/>
    <s v="Bank Transfer"/>
    <s v="Desktop"/>
    <n v="8"/>
    <n v="9"/>
    <b v="1"/>
    <x v="0"/>
    <n v="5"/>
    <x v="2"/>
    <x v="1"/>
    <n v="2"/>
  </r>
  <r>
    <s v="ORD_000506"/>
    <s v="CUST_00506"/>
    <d v="2024-03-09T00:00:00"/>
    <n v="29"/>
    <s v="Male"/>
    <s v="Bursa"/>
    <x v="6"/>
    <n v="314.54000000000002"/>
    <n v="4"/>
    <n v="1258.1600000000001"/>
    <n v="0"/>
    <n v="0"/>
    <n v="1258.1600000000001"/>
    <s v="Debit Card"/>
    <s v="Desktop"/>
    <n v="13"/>
    <n v="8"/>
    <b v="1"/>
    <x v="0"/>
    <n v="7"/>
    <x v="2"/>
    <x v="1"/>
    <n v="4"/>
  </r>
  <r>
    <s v="ORD_000507"/>
    <s v="CUST_00507"/>
    <d v="2023-01-27T00:00:00"/>
    <n v="27"/>
    <s v="Male"/>
    <s v="Konya"/>
    <x v="5"/>
    <n v="503.88"/>
    <n v="5"/>
    <n v="2519.4"/>
    <n v="0"/>
    <n v="0"/>
    <n v="2519.4"/>
    <s v="Digital Wallet"/>
    <s v="Desktop"/>
    <n v="14"/>
    <n v="4"/>
    <b v="1"/>
    <x v="0"/>
    <n v="7"/>
    <x v="2"/>
    <x v="1"/>
    <n v="5"/>
  </r>
  <r>
    <s v="ORD_000508"/>
    <s v="CUST_00508"/>
    <d v="2023-02-17T00:00:00"/>
    <n v="24"/>
    <s v="Male"/>
    <s v="Antalya"/>
    <x v="2"/>
    <n v="40.43"/>
    <n v="1"/>
    <n v="40.43"/>
    <n v="0"/>
    <n v="0"/>
    <n v="40.43"/>
    <s v="Debit Card"/>
    <s v="Mobile"/>
    <n v="16"/>
    <n v="7"/>
    <b v="1"/>
    <x v="0"/>
    <n v="3"/>
    <x v="1"/>
    <x v="3"/>
    <n v="5"/>
  </r>
  <r>
    <s v="ORD_000509"/>
    <s v="CUST_00509"/>
    <d v="2023-11-21T00:00:00"/>
    <n v="35"/>
    <s v="Female"/>
    <s v="Eskisehir"/>
    <x v="4"/>
    <n v="490.05"/>
    <n v="1"/>
    <n v="490.05"/>
    <n v="0"/>
    <n v="0"/>
    <n v="490.05"/>
    <s v="Credit Card"/>
    <s v="Mobile"/>
    <n v="12"/>
    <n v="6"/>
    <b v="1"/>
    <x v="0"/>
    <n v="12"/>
    <x v="0"/>
    <x v="1"/>
    <n v="5"/>
  </r>
  <r>
    <s v="ORD_000510"/>
    <s v="CUST_00510"/>
    <d v="2023-08-05T00:00:00"/>
    <n v="25"/>
    <s v="Male"/>
    <s v="Istanbul"/>
    <x v="7"/>
    <n v="239.25"/>
    <n v="3"/>
    <n v="717.75"/>
    <n v="0"/>
    <n v="0"/>
    <n v="717.75"/>
    <s v="Credit Card"/>
    <s v="Mobile"/>
    <n v="17"/>
    <n v="8"/>
    <b v="1"/>
    <x v="0"/>
    <n v="5"/>
    <x v="2"/>
    <x v="3"/>
    <n v="4"/>
  </r>
  <r>
    <s v="ORD_000511"/>
    <s v="CUST_00511"/>
    <d v="2024-02-29T00:00:00"/>
    <n v="38"/>
    <s v="Male"/>
    <s v="Konya"/>
    <x v="2"/>
    <n v="112.45"/>
    <n v="3"/>
    <n v="337.35"/>
    <n v="0"/>
    <n v="0"/>
    <n v="337.35"/>
    <s v="Credit Card"/>
    <s v="Desktop"/>
    <n v="10"/>
    <n v="11"/>
    <b v="1"/>
    <x v="0"/>
    <n v="5"/>
    <x v="2"/>
    <x v="0"/>
    <n v="5"/>
  </r>
  <r>
    <s v="ORD_000512"/>
    <s v="CUST_00512"/>
    <d v="2023-05-22T00:00:00"/>
    <n v="34"/>
    <s v="Male"/>
    <s v="Gaziantep"/>
    <x v="7"/>
    <n v="122.1"/>
    <n v="1"/>
    <n v="122.1"/>
    <n v="0"/>
    <n v="0"/>
    <n v="122.1"/>
    <s v="Credit Card"/>
    <s v="Mobile"/>
    <n v="28"/>
    <n v="9"/>
    <b v="0"/>
    <x v="1"/>
    <n v="17"/>
    <x v="3"/>
    <x v="1"/>
    <n v="4"/>
  </r>
  <r>
    <s v="ORD_000513"/>
    <s v="CUST_00513"/>
    <d v="2023-01-23T00:00:00"/>
    <n v="32"/>
    <s v="Female"/>
    <s v="Ankara"/>
    <x v="2"/>
    <n v="63.89"/>
    <n v="2"/>
    <n v="127.78"/>
    <n v="11.91"/>
    <n v="9.3207074659571135E-2"/>
    <n v="115.87"/>
    <s v="Bank Transfer"/>
    <s v="Tablet"/>
    <n v="21"/>
    <n v="13"/>
    <b v="1"/>
    <x v="0"/>
    <n v="7"/>
    <x v="2"/>
    <x v="1"/>
    <n v="1"/>
  </r>
  <r>
    <s v="ORD_000514"/>
    <s v="CUST_00514"/>
    <d v="2023-01-02T00:00:00"/>
    <n v="24"/>
    <s v="Male"/>
    <s v="Eskisehir"/>
    <x v="4"/>
    <n v="897.02"/>
    <n v="5"/>
    <n v="4485.1000000000004"/>
    <n v="0"/>
    <n v="0"/>
    <n v="4485.1000000000004"/>
    <s v="Digital Wallet"/>
    <s v="Desktop"/>
    <n v="17"/>
    <n v="7"/>
    <b v="1"/>
    <x v="0"/>
    <n v="8"/>
    <x v="0"/>
    <x v="3"/>
    <n v="4"/>
  </r>
  <r>
    <s v="ORD_000515"/>
    <s v="CUST_00515"/>
    <d v="2023-06-20T00:00:00"/>
    <n v="28"/>
    <s v="Male"/>
    <s v="Ankara"/>
    <x v="5"/>
    <n v="764.24"/>
    <n v="2"/>
    <n v="1528.48"/>
    <n v="0"/>
    <n v="0"/>
    <n v="1528.48"/>
    <s v="Digital Wallet"/>
    <s v="Mobile"/>
    <n v="11"/>
    <n v="2"/>
    <b v="1"/>
    <x v="0"/>
    <n v="6"/>
    <x v="2"/>
    <x v="1"/>
    <n v="4"/>
  </r>
  <r>
    <s v="ORD_000516"/>
    <s v="CUST_00516"/>
    <d v="2024-01-30T00:00:00"/>
    <n v="44"/>
    <s v="Female"/>
    <s v="Konya"/>
    <x v="7"/>
    <n v="193.85"/>
    <n v="4"/>
    <n v="775.4"/>
    <n v="44.4"/>
    <n v="5.7260768635542948E-2"/>
    <n v="731"/>
    <s v="Debit Card"/>
    <s v="Desktop"/>
    <n v="14"/>
    <n v="11"/>
    <b v="0"/>
    <x v="1"/>
    <n v="6"/>
    <x v="2"/>
    <x v="0"/>
    <n v="3"/>
  </r>
  <r>
    <s v="ORD_000517"/>
    <s v="CUST_00517"/>
    <d v="2023-03-08T00:00:00"/>
    <n v="41"/>
    <s v="Female"/>
    <s v="Konya"/>
    <x v="0"/>
    <n v="37.49"/>
    <n v="5"/>
    <n v="187.45000000000002"/>
    <n v="0"/>
    <n v="0"/>
    <n v="187.45"/>
    <s v="Credit Card"/>
    <s v="Desktop"/>
    <n v="9"/>
    <n v="10"/>
    <b v="1"/>
    <x v="0"/>
    <n v="8"/>
    <x v="0"/>
    <x v="0"/>
    <n v="3"/>
  </r>
  <r>
    <s v="ORD_000518"/>
    <s v="CUST_00518"/>
    <d v="2023-11-23T00:00:00"/>
    <n v="23"/>
    <s v="Female"/>
    <s v="Adana"/>
    <x v="4"/>
    <n v="114.26"/>
    <n v="1"/>
    <n v="114.26"/>
    <n v="0"/>
    <n v="0"/>
    <n v="114.26"/>
    <s v="Credit Card"/>
    <s v="Mobile"/>
    <n v="23"/>
    <n v="6"/>
    <b v="1"/>
    <x v="0"/>
    <n v="3"/>
    <x v="1"/>
    <x v="3"/>
    <n v="3"/>
  </r>
  <r>
    <s v="ORD_000519"/>
    <s v="CUST_00519"/>
    <d v="2023-05-15T00:00:00"/>
    <n v="36"/>
    <s v="Male"/>
    <s v="Bursa"/>
    <x v="7"/>
    <n v="288.48"/>
    <n v="1"/>
    <n v="288.48"/>
    <n v="0"/>
    <n v="0"/>
    <n v="288.48"/>
    <s v="Bank Transfer"/>
    <s v="Mobile"/>
    <n v="28"/>
    <n v="11"/>
    <b v="1"/>
    <x v="0"/>
    <n v="6"/>
    <x v="2"/>
    <x v="0"/>
    <n v="4"/>
  </r>
  <r>
    <s v="ORD_000520"/>
    <s v="CUST_00520"/>
    <d v="2023-03-24T00:00:00"/>
    <n v="44"/>
    <s v="Male"/>
    <s v="Istanbul"/>
    <x v="0"/>
    <n v="43.96"/>
    <n v="1"/>
    <n v="43.96"/>
    <n v="0"/>
    <n v="0"/>
    <n v="43.96"/>
    <s v="Debit Card"/>
    <s v="Mobile"/>
    <n v="24"/>
    <n v="5"/>
    <b v="1"/>
    <x v="0"/>
    <n v="4"/>
    <x v="2"/>
    <x v="0"/>
    <n v="3"/>
  </r>
  <r>
    <s v="ORD_000521"/>
    <s v="CUST_00521"/>
    <d v="2024-01-15T00:00:00"/>
    <n v="18"/>
    <s v="Female"/>
    <s v="Bursa"/>
    <x v="4"/>
    <n v="1900.45"/>
    <n v="2"/>
    <n v="3800.9"/>
    <n v="0"/>
    <n v="0"/>
    <n v="3800.9"/>
    <s v="Debit Card"/>
    <s v="Mobile"/>
    <n v="5"/>
    <n v="9"/>
    <b v="1"/>
    <x v="0"/>
    <n v="4"/>
    <x v="2"/>
    <x v="3"/>
    <n v="5"/>
  </r>
  <r>
    <s v="ORD_000522"/>
    <s v="CUST_00522"/>
    <d v="2023-08-15T00:00:00"/>
    <n v="41"/>
    <s v="Male"/>
    <s v="Ankara"/>
    <x v="2"/>
    <n v="17.25"/>
    <n v="3"/>
    <n v="51.75"/>
    <n v="1.07"/>
    <n v="2.0676328502415461E-2"/>
    <n v="50.68"/>
    <s v="Cash on Delivery"/>
    <s v="Desktop"/>
    <n v="14"/>
    <n v="17"/>
    <b v="0"/>
    <x v="1"/>
    <n v="3"/>
    <x v="1"/>
    <x v="0"/>
    <n v="4"/>
  </r>
  <r>
    <s v="ORD_000523"/>
    <s v="CUST_00523"/>
    <d v="2023-10-10T00:00:00"/>
    <n v="27"/>
    <s v="Female"/>
    <s v="Gaziantep"/>
    <x v="4"/>
    <n v="521.12"/>
    <n v="2"/>
    <n v="1042.24"/>
    <n v="80.91"/>
    <n v="7.7630871968068768E-2"/>
    <n v="961.33"/>
    <s v="Credit Card"/>
    <s v="Mobile"/>
    <n v="4"/>
    <n v="9"/>
    <b v="1"/>
    <x v="0"/>
    <n v="4"/>
    <x v="2"/>
    <x v="1"/>
    <n v="4"/>
  </r>
  <r>
    <s v="ORD_000524"/>
    <s v="CUST_00524"/>
    <d v="2023-12-28T00:00:00"/>
    <n v="41"/>
    <s v="Female"/>
    <s v="Adana"/>
    <x v="2"/>
    <n v="77.75"/>
    <n v="1"/>
    <n v="77.75"/>
    <n v="0"/>
    <n v="0"/>
    <n v="77.75"/>
    <s v="Bank Transfer"/>
    <s v="Mobile"/>
    <n v="24"/>
    <n v="14"/>
    <b v="0"/>
    <x v="1"/>
    <n v="4"/>
    <x v="2"/>
    <x v="0"/>
    <n v="5"/>
  </r>
  <r>
    <s v="ORD_000525"/>
    <s v="CUST_00525"/>
    <d v="2023-08-07T00:00:00"/>
    <n v="25"/>
    <s v="Male"/>
    <s v="Kayseri"/>
    <x v="5"/>
    <n v="4257.38"/>
    <n v="5"/>
    <n v="21286.9"/>
    <n v="1075.0899999999999"/>
    <n v="5.0504770539627653E-2"/>
    <n v="20211.810000000001"/>
    <s v="Bank Transfer"/>
    <s v="Desktop"/>
    <n v="12"/>
    <n v="8"/>
    <b v="0"/>
    <x v="1"/>
    <n v="2"/>
    <x v="1"/>
    <x v="3"/>
    <n v="4"/>
  </r>
  <r>
    <s v="ORD_000526"/>
    <s v="CUST_00526"/>
    <d v="2023-10-15T00:00:00"/>
    <n v="18"/>
    <s v="Female"/>
    <s v="Istanbul"/>
    <x v="2"/>
    <n v="18.3"/>
    <n v="1"/>
    <n v="18.3"/>
    <n v="0"/>
    <n v="0"/>
    <n v="18.3"/>
    <s v="Credit Card"/>
    <s v="Tablet"/>
    <n v="3"/>
    <n v="16"/>
    <b v="0"/>
    <x v="1"/>
    <n v="12"/>
    <x v="0"/>
    <x v="3"/>
    <n v="4"/>
  </r>
  <r>
    <s v="ORD_000527"/>
    <s v="CUST_00527"/>
    <d v="2023-01-05T00:00:00"/>
    <n v="18"/>
    <s v="Female"/>
    <s v="Gaziantep"/>
    <x v="1"/>
    <n v="746.9"/>
    <n v="1"/>
    <n v="746.9"/>
    <n v="0"/>
    <n v="0"/>
    <n v="746.9"/>
    <s v="Credit Card"/>
    <s v="Mobile"/>
    <n v="13"/>
    <n v="6"/>
    <b v="1"/>
    <x v="0"/>
    <n v="8"/>
    <x v="0"/>
    <x v="3"/>
    <n v="5"/>
  </r>
  <r>
    <s v="ORD_000528"/>
    <s v="CUST_00528"/>
    <d v="2023-02-27T00:00:00"/>
    <n v="35"/>
    <s v="Male"/>
    <s v="Kayseri"/>
    <x v="5"/>
    <n v="1122.1199999999999"/>
    <n v="2"/>
    <n v="2244.2399999999998"/>
    <n v="0"/>
    <n v="0"/>
    <n v="2244.2399999999998"/>
    <s v="Cash on Delivery"/>
    <s v="Tablet"/>
    <n v="29"/>
    <n v="8"/>
    <b v="0"/>
    <x v="1"/>
    <n v="3"/>
    <x v="1"/>
    <x v="1"/>
    <n v="4"/>
  </r>
  <r>
    <s v="ORD_000529"/>
    <s v="CUST_00529"/>
    <d v="2023-02-08T00:00:00"/>
    <n v="38"/>
    <s v="Female"/>
    <s v="Gaziantep"/>
    <x v="6"/>
    <n v="116.84"/>
    <n v="1"/>
    <n v="116.84"/>
    <n v="0"/>
    <n v="0"/>
    <n v="116.84"/>
    <s v="Debit Card"/>
    <s v="Tablet"/>
    <n v="32"/>
    <n v="6"/>
    <b v="1"/>
    <x v="0"/>
    <n v="3"/>
    <x v="1"/>
    <x v="0"/>
    <n v="5"/>
  </r>
  <r>
    <s v="ORD_000530"/>
    <s v="CUST_00530"/>
    <d v="2023-12-20T00:00:00"/>
    <n v="24"/>
    <s v="Male"/>
    <s v="Istanbul"/>
    <x v="6"/>
    <n v="55.84"/>
    <n v="1"/>
    <n v="55.84"/>
    <n v="0"/>
    <n v="0"/>
    <n v="55.84"/>
    <s v="Credit Card"/>
    <s v="Desktop"/>
    <n v="11"/>
    <n v="10"/>
    <b v="0"/>
    <x v="1"/>
    <n v="3"/>
    <x v="1"/>
    <x v="3"/>
    <n v="4"/>
  </r>
  <r>
    <s v="ORD_000531"/>
    <s v="CUST_00531"/>
    <d v="2023-03-18T00:00:00"/>
    <n v="42"/>
    <s v="Male"/>
    <s v="Istanbul"/>
    <x v="6"/>
    <n v="153.72"/>
    <n v="1"/>
    <n v="153.72"/>
    <n v="45.44"/>
    <n v="0.29560239396304971"/>
    <n v="108.28"/>
    <s v="Debit Card"/>
    <s v="Mobile"/>
    <n v="17"/>
    <n v="8"/>
    <b v="0"/>
    <x v="1"/>
    <n v="5"/>
    <x v="2"/>
    <x v="0"/>
    <n v="3"/>
  </r>
  <r>
    <s v="ORD_000532"/>
    <s v="CUST_00532"/>
    <d v="2023-10-07T00:00:00"/>
    <n v="18"/>
    <s v="Male"/>
    <s v="Istanbul"/>
    <x v="3"/>
    <n v="281.38"/>
    <n v="3"/>
    <n v="844.14"/>
    <n v="0"/>
    <n v="0"/>
    <n v="844.14"/>
    <s v="Debit Card"/>
    <s v="Desktop"/>
    <n v="12"/>
    <n v="6"/>
    <b v="1"/>
    <x v="0"/>
    <n v="4"/>
    <x v="2"/>
    <x v="3"/>
    <n v="4"/>
  </r>
  <r>
    <s v="ORD_000533"/>
    <s v="CUST_00533"/>
    <d v="2023-01-19T00:00:00"/>
    <n v="34"/>
    <s v="Female"/>
    <s v="Antalya"/>
    <x v="0"/>
    <n v="61.34"/>
    <n v="1"/>
    <n v="61.34"/>
    <n v="13.77"/>
    <n v="0.22448646886208018"/>
    <n v="47.57"/>
    <s v="Digital Wallet"/>
    <s v="Desktop"/>
    <n v="27"/>
    <n v="9"/>
    <b v="0"/>
    <x v="1"/>
    <n v="16"/>
    <x v="3"/>
    <x v="1"/>
    <n v="4"/>
  </r>
  <r>
    <s v="ORD_000534"/>
    <s v="CUST_00534"/>
    <d v="2024-03-03T00:00:00"/>
    <n v="20"/>
    <s v="Female"/>
    <s v="Antalya"/>
    <x v="3"/>
    <n v="52.53"/>
    <n v="1"/>
    <n v="52.53"/>
    <n v="6.69"/>
    <n v="0.12735579668760708"/>
    <n v="45.84"/>
    <s v="Bank Transfer"/>
    <s v="Desktop"/>
    <n v="15"/>
    <n v="11"/>
    <b v="1"/>
    <x v="0"/>
    <n v="4"/>
    <x v="2"/>
    <x v="3"/>
    <n v="3"/>
  </r>
  <r>
    <s v="ORD_000535"/>
    <s v="CUST_00535"/>
    <d v="2023-07-09T00:00:00"/>
    <n v="27"/>
    <s v="Female"/>
    <s v="Eskisehir"/>
    <x v="4"/>
    <n v="339.98"/>
    <n v="1"/>
    <n v="339.98"/>
    <n v="0"/>
    <n v="0"/>
    <n v="339.98"/>
    <s v="Bank Transfer"/>
    <s v="Mobile"/>
    <n v="9"/>
    <n v="8"/>
    <b v="0"/>
    <x v="1"/>
    <n v="7"/>
    <x v="2"/>
    <x v="1"/>
    <n v="2"/>
  </r>
  <r>
    <s v="ORD_000536"/>
    <s v="CUST_00536"/>
    <d v="2023-10-26T00:00:00"/>
    <n v="35"/>
    <s v="Male"/>
    <s v="Ankara"/>
    <x v="4"/>
    <n v="353.29"/>
    <n v="4"/>
    <n v="1413.16"/>
    <n v="0"/>
    <n v="0"/>
    <n v="1413.16"/>
    <s v="Bank Transfer"/>
    <s v="Desktop"/>
    <n v="18"/>
    <n v="6"/>
    <b v="0"/>
    <x v="1"/>
    <n v="4"/>
    <x v="2"/>
    <x v="1"/>
    <n v="3"/>
  </r>
  <r>
    <s v="ORD_000537"/>
    <s v="CUST_00537"/>
    <d v="2023-10-10T00:00:00"/>
    <n v="24"/>
    <s v="Female"/>
    <s v="Ankara"/>
    <x v="0"/>
    <n v="155.32"/>
    <n v="4"/>
    <n v="621.28"/>
    <n v="18.670000000000002"/>
    <n v="3.0050862734998716E-2"/>
    <n v="602.61"/>
    <s v="Credit Card"/>
    <s v="Desktop"/>
    <n v="18"/>
    <n v="3"/>
    <b v="1"/>
    <x v="0"/>
    <n v="9"/>
    <x v="0"/>
    <x v="3"/>
    <n v="5"/>
  </r>
  <r>
    <s v="ORD_000538"/>
    <s v="CUST_00538"/>
    <d v="2023-03-17T00:00:00"/>
    <n v="30"/>
    <s v="Male"/>
    <s v="Antalya"/>
    <x v="1"/>
    <n v="712.9"/>
    <n v="1"/>
    <n v="712.9"/>
    <n v="0"/>
    <n v="0"/>
    <n v="712.9"/>
    <s v="Digital Wallet"/>
    <s v="Desktop"/>
    <n v="13"/>
    <n v="11"/>
    <b v="0"/>
    <x v="1"/>
    <n v="4"/>
    <x v="2"/>
    <x v="1"/>
    <n v="5"/>
  </r>
  <r>
    <s v="ORD_000539"/>
    <s v="CUST_00539"/>
    <d v="2023-08-09T00:00:00"/>
    <n v="47"/>
    <s v="Female"/>
    <s v="Gaziantep"/>
    <x v="4"/>
    <n v="159.22"/>
    <n v="2"/>
    <n v="318.44"/>
    <n v="31.31"/>
    <n v="9.8323074990579074E-2"/>
    <n v="287.13"/>
    <s v="Credit Card"/>
    <s v="Mobile"/>
    <n v="12"/>
    <n v="7"/>
    <b v="0"/>
    <x v="1"/>
    <n v="3"/>
    <x v="1"/>
    <x v="2"/>
    <n v="5"/>
  </r>
  <r>
    <s v="ORD_000540"/>
    <s v="CUST_00540"/>
    <d v="2023-03-07T00:00:00"/>
    <n v="28"/>
    <s v="Male"/>
    <s v="Kayseri"/>
    <x v="5"/>
    <n v="549.32000000000005"/>
    <n v="3"/>
    <n v="1647.96"/>
    <n v="155.63999999999999"/>
    <n v="9.4444039903881158E-2"/>
    <n v="1492.32"/>
    <s v="Credit Card"/>
    <s v="Desktop"/>
    <n v="27"/>
    <n v="9"/>
    <b v="1"/>
    <x v="0"/>
    <n v="4"/>
    <x v="2"/>
    <x v="1"/>
    <n v="3"/>
  </r>
  <r>
    <s v="ORD_000541"/>
    <s v="CUST_00541"/>
    <d v="2023-01-22T00:00:00"/>
    <n v="45"/>
    <s v="Male"/>
    <s v="Gaziantep"/>
    <x v="5"/>
    <n v="609.04"/>
    <n v="1"/>
    <n v="609.04"/>
    <n v="0"/>
    <n v="0"/>
    <n v="609.04"/>
    <s v="Digital Wallet"/>
    <s v="Mobile"/>
    <n v="15"/>
    <n v="14"/>
    <b v="1"/>
    <x v="0"/>
    <n v="4"/>
    <x v="2"/>
    <x v="0"/>
    <n v="5"/>
  </r>
  <r>
    <s v="ORD_000542"/>
    <s v="CUST_00542"/>
    <d v="2023-06-07T00:00:00"/>
    <n v="21"/>
    <s v="Male"/>
    <s v="Izmir"/>
    <x v="6"/>
    <n v="94.67"/>
    <n v="3"/>
    <n v="284.01"/>
    <n v="0"/>
    <n v="0"/>
    <n v="284.01"/>
    <s v="Debit Card"/>
    <s v="Desktop"/>
    <n v="5"/>
    <n v="9"/>
    <b v="1"/>
    <x v="0"/>
    <n v="7"/>
    <x v="2"/>
    <x v="3"/>
    <n v="3"/>
  </r>
  <r>
    <s v="ORD_000543"/>
    <s v="CUST_00543"/>
    <d v="2023-07-06T00:00:00"/>
    <n v="41"/>
    <s v="Female"/>
    <s v="Antalya"/>
    <x v="2"/>
    <n v="150.69"/>
    <n v="4"/>
    <n v="602.76"/>
    <n v="0"/>
    <n v="0"/>
    <n v="602.76"/>
    <s v="Bank Transfer"/>
    <s v="Desktop"/>
    <n v="7"/>
    <n v="9"/>
    <b v="1"/>
    <x v="0"/>
    <n v="6"/>
    <x v="2"/>
    <x v="0"/>
    <n v="4"/>
  </r>
  <r>
    <s v="ORD_000544"/>
    <s v="CUST_00544"/>
    <d v="2024-02-12T00:00:00"/>
    <n v="52"/>
    <s v="Male"/>
    <s v="Konya"/>
    <x v="7"/>
    <n v="1385.22"/>
    <n v="5"/>
    <n v="6926.1"/>
    <n v="148.16999999999999"/>
    <n v="2.1392991726945896E-2"/>
    <n v="6777.93"/>
    <s v="Credit Card"/>
    <s v="Mobile"/>
    <n v="15"/>
    <n v="8"/>
    <b v="1"/>
    <x v="0"/>
    <n v="7"/>
    <x v="2"/>
    <x v="2"/>
    <n v="5"/>
  </r>
  <r>
    <s v="ORD_000545"/>
    <s v="CUST_00545"/>
    <d v="2024-03-16T00:00:00"/>
    <n v="18"/>
    <s v="Female"/>
    <s v="Izmir"/>
    <x v="4"/>
    <n v="574.49"/>
    <n v="4"/>
    <n v="2297.96"/>
    <n v="0"/>
    <n v="0"/>
    <n v="2297.96"/>
    <s v="Digital Wallet"/>
    <s v="Desktop"/>
    <n v="13"/>
    <n v="8"/>
    <b v="1"/>
    <x v="0"/>
    <n v="9"/>
    <x v="0"/>
    <x v="3"/>
    <n v="1"/>
  </r>
  <r>
    <s v="ORD_000546"/>
    <s v="CUST_00546"/>
    <d v="2023-01-21T00:00:00"/>
    <n v="25"/>
    <s v="Male"/>
    <s v="Istanbul"/>
    <x v="1"/>
    <n v="169.49"/>
    <n v="1"/>
    <n v="169.49"/>
    <n v="0"/>
    <n v="0"/>
    <n v="169.49"/>
    <s v="Credit Card"/>
    <s v="Desktop"/>
    <n v="12"/>
    <n v="9"/>
    <b v="1"/>
    <x v="0"/>
    <n v="2"/>
    <x v="1"/>
    <x v="3"/>
    <n v="5"/>
  </r>
  <r>
    <s v="ORD_000547"/>
    <s v="CUST_00547"/>
    <d v="2023-07-03T00:00:00"/>
    <n v="41"/>
    <s v="Male"/>
    <s v="Istanbul"/>
    <x v="6"/>
    <n v="25.17"/>
    <n v="4"/>
    <n v="100.68"/>
    <n v="0"/>
    <n v="0"/>
    <n v="100.68"/>
    <s v="Credit Card"/>
    <s v="Mobile"/>
    <n v="6"/>
    <n v="11"/>
    <b v="1"/>
    <x v="0"/>
    <n v="5"/>
    <x v="2"/>
    <x v="0"/>
    <n v="5"/>
  </r>
  <r>
    <s v="ORD_000548"/>
    <s v="CUST_00548"/>
    <d v="2023-04-18T00:00:00"/>
    <n v="32"/>
    <s v="Male"/>
    <s v="Istanbul"/>
    <x v="0"/>
    <n v="68.3"/>
    <n v="1"/>
    <n v="68.3"/>
    <n v="0"/>
    <n v="0"/>
    <n v="68.3"/>
    <s v="Debit Card"/>
    <s v="Mobile"/>
    <n v="19"/>
    <n v="11"/>
    <b v="1"/>
    <x v="0"/>
    <n v="4"/>
    <x v="2"/>
    <x v="1"/>
    <n v="5"/>
  </r>
  <r>
    <s v="ORD_000549"/>
    <s v="CUST_00549"/>
    <d v="2023-12-16T00:00:00"/>
    <n v="39"/>
    <s v="Female"/>
    <s v="Adana"/>
    <x v="3"/>
    <n v="99.77"/>
    <n v="2"/>
    <n v="199.54"/>
    <n v="0"/>
    <n v="0"/>
    <n v="199.54"/>
    <s v="Credit Card"/>
    <s v="Mobile"/>
    <n v="16"/>
    <n v="9"/>
    <b v="1"/>
    <x v="0"/>
    <n v="7"/>
    <x v="2"/>
    <x v="0"/>
    <n v="5"/>
  </r>
  <r>
    <s v="ORD_000550"/>
    <s v="CUST_00550"/>
    <d v="2023-05-08T00:00:00"/>
    <n v="27"/>
    <s v="Female"/>
    <s v="Istanbul"/>
    <x v="0"/>
    <n v="22.56"/>
    <n v="1"/>
    <n v="22.56"/>
    <n v="0"/>
    <n v="0"/>
    <n v="22.56"/>
    <s v="Debit Card"/>
    <s v="Mobile"/>
    <n v="14"/>
    <n v="5"/>
    <b v="0"/>
    <x v="1"/>
    <n v="7"/>
    <x v="2"/>
    <x v="1"/>
    <n v="5"/>
  </r>
  <r>
    <s v="ORD_000551"/>
    <s v="CUST_00551"/>
    <d v="2023-12-08T00:00:00"/>
    <n v="36"/>
    <s v="Male"/>
    <s v="Istanbul"/>
    <x v="5"/>
    <n v="1911.31"/>
    <n v="3"/>
    <n v="5733.93"/>
    <n v="0"/>
    <n v="0"/>
    <n v="5733.93"/>
    <s v="Bank Transfer"/>
    <s v="Mobile"/>
    <n v="5"/>
    <n v="8"/>
    <b v="0"/>
    <x v="1"/>
    <n v="2"/>
    <x v="1"/>
    <x v="0"/>
    <n v="5"/>
  </r>
  <r>
    <s v="ORD_000552"/>
    <s v="CUST_00552"/>
    <d v="2023-02-22T00:00:00"/>
    <n v="33"/>
    <s v="Male"/>
    <s v="Ankara"/>
    <x v="5"/>
    <n v="2717.55"/>
    <n v="4"/>
    <n v="10870.2"/>
    <n v="0"/>
    <n v="0"/>
    <n v="10870.2"/>
    <s v="Digital Wallet"/>
    <s v="Mobile"/>
    <n v="8"/>
    <n v="7"/>
    <b v="1"/>
    <x v="0"/>
    <n v="7"/>
    <x v="2"/>
    <x v="1"/>
    <n v="5"/>
  </r>
  <r>
    <s v="ORD_000553"/>
    <s v="CUST_00553"/>
    <d v="2023-07-01T00:00:00"/>
    <n v="49"/>
    <s v="Male"/>
    <s v="Bursa"/>
    <x v="5"/>
    <n v="489.75"/>
    <n v="2"/>
    <n v="979.5"/>
    <n v="0"/>
    <n v="0"/>
    <n v="979.5"/>
    <s v="Credit Card"/>
    <s v="Desktop"/>
    <n v="5"/>
    <n v="11"/>
    <b v="0"/>
    <x v="1"/>
    <n v="4"/>
    <x v="2"/>
    <x v="2"/>
    <n v="4"/>
  </r>
  <r>
    <s v="ORD_000554"/>
    <s v="CUST_00554"/>
    <d v="2024-02-04T00:00:00"/>
    <n v="38"/>
    <s v="Female"/>
    <s v="Ankara"/>
    <x v="7"/>
    <n v="292.22000000000003"/>
    <n v="1"/>
    <n v="292.22000000000003"/>
    <n v="0"/>
    <n v="0"/>
    <n v="292.22000000000003"/>
    <s v="Credit Card"/>
    <s v="Desktop"/>
    <n v="6"/>
    <n v="10"/>
    <b v="1"/>
    <x v="0"/>
    <n v="11"/>
    <x v="0"/>
    <x v="0"/>
    <n v="4"/>
  </r>
  <r>
    <s v="ORD_000555"/>
    <s v="CUST_00555"/>
    <d v="2023-10-14T00:00:00"/>
    <n v="39"/>
    <s v="Male"/>
    <s v="Antalya"/>
    <x v="7"/>
    <n v="791.79"/>
    <n v="4"/>
    <n v="3167.16"/>
    <n v="0"/>
    <n v="0"/>
    <n v="3167.16"/>
    <s v="Debit Card"/>
    <s v="Desktop"/>
    <n v="7"/>
    <n v="7"/>
    <b v="1"/>
    <x v="0"/>
    <n v="5"/>
    <x v="2"/>
    <x v="0"/>
    <n v="4"/>
  </r>
  <r>
    <s v="ORD_000556"/>
    <s v="CUST_00556"/>
    <d v="2024-03-23T00:00:00"/>
    <n v="30"/>
    <s v="Female"/>
    <s v="Istanbul"/>
    <x v="4"/>
    <n v="325.14"/>
    <n v="3"/>
    <n v="975.42"/>
    <n v="0"/>
    <n v="0"/>
    <n v="975.42"/>
    <s v="Debit Card"/>
    <s v="Mobile"/>
    <n v="6"/>
    <n v="7"/>
    <b v="0"/>
    <x v="1"/>
    <n v="4"/>
    <x v="2"/>
    <x v="1"/>
    <n v="5"/>
  </r>
  <r>
    <s v="ORD_000557"/>
    <s v="CUST_00557"/>
    <d v="2023-07-28T00:00:00"/>
    <n v="29"/>
    <s v="Female"/>
    <s v="Istanbul"/>
    <x v="3"/>
    <n v="64.760000000000005"/>
    <n v="4"/>
    <n v="259.04000000000002"/>
    <n v="0"/>
    <n v="0"/>
    <n v="259.04000000000002"/>
    <s v="Debit Card"/>
    <s v="Mobile"/>
    <n v="8"/>
    <n v="3"/>
    <b v="0"/>
    <x v="1"/>
    <n v="11"/>
    <x v="0"/>
    <x v="1"/>
    <n v="5"/>
  </r>
  <r>
    <s v="ORD_000558"/>
    <s v="CUST_00558"/>
    <d v="2023-11-14T00:00:00"/>
    <n v="29"/>
    <s v="Male"/>
    <s v="Izmir"/>
    <x v="1"/>
    <n v="164.08"/>
    <n v="3"/>
    <n v="492.24"/>
    <n v="0"/>
    <n v="0"/>
    <n v="492.24"/>
    <s v="Credit Card"/>
    <s v="Mobile"/>
    <n v="34"/>
    <n v="9"/>
    <b v="0"/>
    <x v="1"/>
    <n v="3"/>
    <x v="1"/>
    <x v="1"/>
    <n v="4"/>
  </r>
  <r>
    <s v="ORD_000559"/>
    <s v="CUST_00559"/>
    <d v="2024-01-19T00:00:00"/>
    <n v="39"/>
    <s v="Female"/>
    <s v="Ankara"/>
    <x v="7"/>
    <n v="598.76"/>
    <n v="1"/>
    <n v="598.76"/>
    <n v="0"/>
    <n v="0"/>
    <n v="598.76"/>
    <s v="Digital Wallet"/>
    <s v="Mobile"/>
    <n v="14"/>
    <n v="7"/>
    <b v="0"/>
    <x v="1"/>
    <n v="9"/>
    <x v="0"/>
    <x v="0"/>
    <n v="5"/>
  </r>
  <r>
    <s v="ORD_000560"/>
    <s v="CUST_00560"/>
    <d v="2023-03-21T00:00:00"/>
    <n v="29"/>
    <s v="Female"/>
    <s v="Ankara"/>
    <x v="0"/>
    <n v="120.51"/>
    <n v="1"/>
    <n v="120.51"/>
    <n v="0"/>
    <n v="0"/>
    <n v="120.51"/>
    <s v="Credit Card"/>
    <s v="Desktop"/>
    <n v="11"/>
    <n v="13"/>
    <b v="0"/>
    <x v="1"/>
    <n v="8"/>
    <x v="0"/>
    <x v="1"/>
    <n v="5"/>
  </r>
  <r>
    <s v="ORD_000561"/>
    <s v="CUST_00561"/>
    <d v="2023-05-02T00:00:00"/>
    <n v="38"/>
    <s v="Female"/>
    <s v="Istanbul"/>
    <x v="2"/>
    <n v="124.09"/>
    <n v="5"/>
    <n v="620.45000000000005"/>
    <n v="13.36"/>
    <n v="2.1532758481747117E-2"/>
    <n v="607.09"/>
    <s v="Debit Card"/>
    <s v="Mobile"/>
    <n v="18"/>
    <n v="7"/>
    <b v="0"/>
    <x v="1"/>
    <n v="11"/>
    <x v="0"/>
    <x v="0"/>
    <n v="3"/>
  </r>
  <r>
    <s v="ORD_000562"/>
    <s v="CUST_00562"/>
    <d v="2024-03-18T00:00:00"/>
    <n v="59"/>
    <s v="Male"/>
    <s v="Konya"/>
    <x v="7"/>
    <n v="854.83"/>
    <n v="3"/>
    <n v="2564.4900000000002"/>
    <n v="0"/>
    <n v="0"/>
    <n v="2564.4899999999998"/>
    <s v="Debit Card"/>
    <s v="Mobile"/>
    <n v="3"/>
    <n v="8"/>
    <b v="1"/>
    <x v="0"/>
    <n v="8"/>
    <x v="0"/>
    <x v="4"/>
    <n v="4"/>
  </r>
  <r>
    <s v="ORD_000563"/>
    <s v="CUST_00563"/>
    <d v="2023-03-25T00:00:00"/>
    <n v="45"/>
    <s v="Male"/>
    <s v="Antalya"/>
    <x v="5"/>
    <n v="1407.18"/>
    <n v="1"/>
    <n v="1407.18"/>
    <n v="0"/>
    <n v="0"/>
    <n v="1407.18"/>
    <s v="Credit Card"/>
    <s v="Mobile"/>
    <n v="13"/>
    <n v="7"/>
    <b v="1"/>
    <x v="0"/>
    <n v="10"/>
    <x v="0"/>
    <x v="0"/>
    <n v="4"/>
  </r>
  <r>
    <s v="ORD_000564"/>
    <s v="CUST_00564"/>
    <d v="2024-02-14T00:00:00"/>
    <n v="31"/>
    <s v="Male"/>
    <s v="Istanbul"/>
    <x v="0"/>
    <n v="90.82"/>
    <n v="1"/>
    <n v="90.82"/>
    <n v="0"/>
    <n v="0"/>
    <n v="90.82"/>
    <s v="Digital Wallet"/>
    <s v="Mobile"/>
    <n v="19"/>
    <n v="8"/>
    <b v="1"/>
    <x v="0"/>
    <n v="6"/>
    <x v="2"/>
    <x v="1"/>
    <n v="5"/>
  </r>
  <r>
    <s v="ORD_000565"/>
    <s v="CUST_00565"/>
    <d v="2024-02-20T00:00:00"/>
    <n v="49"/>
    <s v="Male"/>
    <s v="Istanbul"/>
    <x v="1"/>
    <n v="84.47"/>
    <n v="1"/>
    <n v="84.47"/>
    <n v="15.05"/>
    <n v="0.17816976441340121"/>
    <n v="69.42"/>
    <s v="Debit Card"/>
    <s v="Mobile"/>
    <n v="32"/>
    <n v="7"/>
    <b v="0"/>
    <x v="1"/>
    <n v="13"/>
    <x v="0"/>
    <x v="2"/>
    <n v="4"/>
  </r>
  <r>
    <s v="ORD_000566"/>
    <s v="CUST_00566"/>
    <d v="2023-04-01T00:00:00"/>
    <n v="30"/>
    <s v="Male"/>
    <s v="Eskisehir"/>
    <x v="4"/>
    <n v="2182.37"/>
    <n v="2"/>
    <n v="4364.74"/>
    <n v="0"/>
    <n v="0"/>
    <n v="4364.74"/>
    <s v="Debit Card"/>
    <s v="Tablet"/>
    <n v="13"/>
    <n v="9"/>
    <b v="1"/>
    <x v="0"/>
    <n v="5"/>
    <x v="2"/>
    <x v="1"/>
    <n v="5"/>
  </r>
  <r>
    <s v="ORD_000567"/>
    <s v="CUST_00567"/>
    <d v="2023-07-31T00:00:00"/>
    <n v="18"/>
    <s v="Male"/>
    <s v="Antalya"/>
    <x v="7"/>
    <n v="227.16"/>
    <n v="1"/>
    <n v="227.16"/>
    <n v="0"/>
    <n v="0"/>
    <n v="227.16"/>
    <s v="Debit Card"/>
    <s v="Mobile"/>
    <n v="9"/>
    <n v="6"/>
    <b v="0"/>
    <x v="1"/>
    <n v="3"/>
    <x v="1"/>
    <x v="3"/>
    <n v="4"/>
  </r>
  <r>
    <s v="ORD_000568"/>
    <s v="CUST_00568"/>
    <d v="2023-01-13T00:00:00"/>
    <n v="22"/>
    <s v="Female"/>
    <s v="Izmir"/>
    <x v="5"/>
    <n v="2111.5700000000002"/>
    <n v="3"/>
    <n v="6334.7100000000009"/>
    <n v="0"/>
    <n v="0"/>
    <n v="6334.71"/>
    <s v="Bank Transfer"/>
    <s v="Tablet"/>
    <n v="6"/>
    <n v="7"/>
    <b v="0"/>
    <x v="1"/>
    <n v="3"/>
    <x v="1"/>
    <x v="3"/>
    <n v="2"/>
  </r>
  <r>
    <s v="ORD_000569"/>
    <s v="CUST_00569"/>
    <d v="2023-04-02T00:00:00"/>
    <n v="18"/>
    <s v="Male"/>
    <s v="Adana"/>
    <x v="6"/>
    <n v="161.71"/>
    <n v="4"/>
    <n v="646.84"/>
    <n v="0"/>
    <n v="0"/>
    <n v="646.84"/>
    <s v="Digital Wallet"/>
    <s v="Mobile"/>
    <n v="13"/>
    <n v="8"/>
    <b v="0"/>
    <x v="1"/>
    <n v="2"/>
    <x v="1"/>
    <x v="3"/>
    <n v="2"/>
  </r>
  <r>
    <s v="ORD_000570"/>
    <s v="CUST_00570"/>
    <d v="2024-01-13T00:00:00"/>
    <n v="30"/>
    <s v="Male"/>
    <s v="Adana"/>
    <x v="2"/>
    <n v="20.37"/>
    <n v="2"/>
    <n v="40.74"/>
    <n v="3.95"/>
    <n v="9.6956308296514485E-2"/>
    <n v="36.79"/>
    <s v="Credit Card"/>
    <s v="Desktop"/>
    <n v="9"/>
    <n v="10"/>
    <b v="1"/>
    <x v="0"/>
    <n v="14"/>
    <x v="0"/>
    <x v="1"/>
    <n v="2"/>
  </r>
  <r>
    <s v="ORD_000571"/>
    <s v="CUST_00571"/>
    <d v="2023-06-20T00:00:00"/>
    <n v="35"/>
    <s v="Male"/>
    <s v="Adana"/>
    <x v="2"/>
    <n v="29.29"/>
    <n v="2"/>
    <n v="58.58"/>
    <n v="0"/>
    <n v="0"/>
    <n v="58.58"/>
    <s v="Credit Card"/>
    <s v="Mobile"/>
    <n v="10"/>
    <n v="10"/>
    <b v="0"/>
    <x v="1"/>
    <n v="6"/>
    <x v="2"/>
    <x v="1"/>
    <n v="1"/>
  </r>
  <r>
    <s v="ORD_000572"/>
    <s v="CUST_00572"/>
    <d v="2024-02-05T00:00:00"/>
    <n v="55"/>
    <s v="Female"/>
    <s v="Izmir"/>
    <x v="6"/>
    <n v="313.64"/>
    <n v="1"/>
    <n v="313.64"/>
    <n v="89.14"/>
    <n v="0.28421119755133273"/>
    <n v="224.5"/>
    <s v="Credit Card"/>
    <s v="Mobile"/>
    <n v="14"/>
    <n v="10"/>
    <b v="1"/>
    <x v="0"/>
    <n v="2"/>
    <x v="1"/>
    <x v="2"/>
    <n v="4"/>
  </r>
  <r>
    <s v="ORD_000573"/>
    <s v="CUST_00573"/>
    <d v="2023-07-30T00:00:00"/>
    <n v="38"/>
    <s v="Female"/>
    <s v="Izmir"/>
    <x v="4"/>
    <n v="516.20000000000005"/>
    <n v="5"/>
    <n v="2581"/>
    <n v="0"/>
    <n v="0"/>
    <n v="2581"/>
    <s v="Credit Card"/>
    <s v="Mobile"/>
    <n v="9"/>
    <n v="9"/>
    <b v="1"/>
    <x v="0"/>
    <n v="8"/>
    <x v="0"/>
    <x v="0"/>
    <n v="5"/>
  </r>
  <r>
    <s v="ORD_000574"/>
    <s v="CUST_00574"/>
    <d v="2024-02-15T00:00:00"/>
    <n v="32"/>
    <s v="Female"/>
    <s v="Istanbul"/>
    <x v="4"/>
    <n v="261"/>
    <n v="4"/>
    <n v="1044"/>
    <n v="0"/>
    <n v="0"/>
    <n v="1044"/>
    <s v="Cash on Delivery"/>
    <s v="Mobile"/>
    <n v="5"/>
    <n v="9"/>
    <b v="0"/>
    <x v="1"/>
    <n v="5"/>
    <x v="2"/>
    <x v="1"/>
    <n v="2"/>
  </r>
  <r>
    <s v="ORD_000575"/>
    <s v="CUST_00575"/>
    <d v="2023-12-09T00:00:00"/>
    <n v="44"/>
    <s v="Male"/>
    <s v="Kayseri"/>
    <x v="7"/>
    <n v="345.82"/>
    <n v="2"/>
    <n v="691.64"/>
    <n v="0"/>
    <n v="0"/>
    <n v="691.64"/>
    <s v="Debit Card"/>
    <s v="Mobile"/>
    <n v="15"/>
    <n v="5"/>
    <b v="1"/>
    <x v="0"/>
    <n v="11"/>
    <x v="0"/>
    <x v="0"/>
    <n v="4"/>
  </r>
  <r>
    <s v="ORD_000576"/>
    <s v="CUST_00576"/>
    <d v="2024-03-18T00:00:00"/>
    <n v="18"/>
    <s v="Female"/>
    <s v="Bursa"/>
    <x v="4"/>
    <n v="260.91000000000003"/>
    <n v="1"/>
    <n v="260.91000000000003"/>
    <n v="0"/>
    <n v="0"/>
    <n v="260.91000000000003"/>
    <s v="Bank Transfer"/>
    <s v="Desktop"/>
    <n v="8"/>
    <n v="12"/>
    <b v="1"/>
    <x v="0"/>
    <n v="8"/>
    <x v="0"/>
    <x v="3"/>
    <n v="4"/>
  </r>
  <r>
    <s v="ORD_000577"/>
    <s v="CUST_00577"/>
    <d v="2024-01-12T00:00:00"/>
    <n v="37"/>
    <s v="Male"/>
    <s v="Istanbul"/>
    <x v="0"/>
    <n v="38.729999999999997"/>
    <n v="4"/>
    <n v="154.91999999999999"/>
    <n v="0"/>
    <n v="0"/>
    <n v="154.91999999999999"/>
    <s v="Credit Card"/>
    <s v="Mobile"/>
    <n v="20"/>
    <n v="11"/>
    <b v="0"/>
    <x v="1"/>
    <n v="7"/>
    <x v="2"/>
    <x v="0"/>
    <n v="3"/>
  </r>
  <r>
    <s v="ORD_000578"/>
    <s v="CUST_00578"/>
    <d v="2024-02-20T00:00:00"/>
    <n v="44"/>
    <s v="Male"/>
    <s v="Kayseri"/>
    <x v="3"/>
    <n v="31.21"/>
    <n v="4"/>
    <n v="124.84"/>
    <n v="0"/>
    <n v="0"/>
    <n v="124.84"/>
    <s v="Debit Card"/>
    <s v="Mobile"/>
    <n v="7"/>
    <n v="13"/>
    <b v="1"/>
    <x v="0"/>
    <n v="4"/>
    <x v="2"/>
    <x v="0"/>
    <n v="4"/>
  </r>
  <r>
    <s v="ORD_000579"/>
    <s v="CUST_00579"/>
    <d v="2023-05-08T00:00:00"/>
    <n v="18"/>
    <s v="Male"/>
    <s v="Kayseri"/>
    <x v="3"/>
    <n v="93.11"/>
    <n v="3"/>
    <n v="279.33"/>
    <n v="12.18"/>
    <n v="4.3604338953925466E-2"/>
    <n v="267.14999999999998"/>
    <s v="Cash on Delivery"/>
    <s v="Desktop"/>
    <n v="24"/>
    <n v="7"/>
    <b v="0"/>
    <x v="1"/>
    <n v="15"/>
    <x v="3"/>
    <x v="3"/>
    <n v="5"/>
  </r>
  <r>
    <s v="ORD_000580"/>
    <s v="CUST_00580"/>
    <d v="2023-05-17T00:00:00"/>
    <n v="48"/>
    <s v="Male"/>
    <s v="Eskisehir"/>
    <x v="5"/>
    <n v="1571.22"/>
    <n v="3"/>
    <n v="4713.66"/>
    <n v="0"/>
    <n v="0"/>
    <n v="4713.66"/>
    <s v="Credit Card"/>
    <s v="Mobile"/>
    <n v="9"/>
    <n v="14"/>
    <b v="0"/>
    <x v="1"/>
    <n v="6"/>
    <x v="2"/>
    <x v="2"/>
    <n v="1"/>
  </r>
  <r>
    <s v="ORD_000581"/>
    <s v="CUST_00581"/>
    <d v="2023-03-23T00:00:00"/>
    <n v="39"/>
    <s v="Male"/>
    <s v="Konya"/>
    <x v="5"/>
    <n v="918.11"/>
    <n v="4"/>
    <n v="3672.44"/>
    <n v="144.07"/>
    <n v="3.9230048686976507E-2"/>
    <n v="3528.37"/>
    <s v="Debit Card"/>
    <s v="Mobile"/>
    <n v="30"/>
    <n v="9"/>
    <b v="1"/>
    <x v="0"/>
    <n v="8"/>
    <x v="0"/>
    <x v="0"/>
    <n v="3"/>
  </r>
  <r>
    <s v="ORD_000582"/>
    <s v="CUST_00582"/>
    <d v="2024-02-08T00:00:00"/>
    <n v="30"/>
    <s v="Female"/>
    <s v="Eskisehir"/>
    <x v="0"/>
    <n v="125.42"/>
    <n v="1"/>
    <n v="125.42"/>
    <n v="17.46"/>
    <n v="0.13921224685058206"/>
    <n v="107.96"/>
    <s v="Bank Transfer"/>
    <s v="Mobile"/>
    <n v="5"/>
    <n v="5"/>
    <b v="1"/>
    <x v="0"/>
    <n v="4"/>
    <x v="2"/>
    <x v="1"/>
    <n v="5"/>
  </r>
  <r>
    <s v="ORD_000583"/>
    <s v="CUST_00583"/>
    <d v="2023-12-26T00:00:00"/>
    <n v="42"/>
    <s v="Female"/>
    <s v="Istanbul"/>
    <x v="5"/>
    <n v="962.37"/>
    <n v="1"/>
    <n v="962.37"/>
    <n v="0"/>
    <n v="0"/>
    <n v="962.37"/>
    <s v="Bank Transfer"/>
    <s v="Mobile"/>
    <n v="23"/>
    <n v="5"/>
    <b v="0"/>
    <x v="1"/>
    <n v="5"/>
    <x v="2"/>
    <x v="0"/>
    <n v="5"/>
  </r>
  <r>
    <s v="ORD_000584"/>
    <s v="CUST_00584"/>
    <d v="2023-02-25T00:00:00"/>
    <n v="62"/>
    <s v="Male"/>
    <s v="Gaziantep"/>
    <x v="3"/>
    <n v="85.3"/>
    <n v="1"/>
    <n v="85.3"/>
    <n v="0"/>
    <n v="0"/>
    <n v="85.3"/>
    <s v="Digital Wallet"/>
    <s v="Mobile"/>
    <n v="8"/>
    <n v="9"/>
    <b v="0"/>
    <x v="1"/>
    <n v="2"/>
    <x v="1"/>
    <x v="4"/>
    <n v="4"/>
  </r>
  <r>
    <s v="ORD_000585"/>
    <s v="CUST_00585"/>
    <d v="2023-07-15T00:00:00"/>
    <n v="37"/>
    <s v="Female"/>
    <s v="Gaziantep"/>
    <x v="7"/>
    <n v="270.27999999999997"/>
    <n v="2"/>
    <n v="540.55999999999995"/>
    <n v="0"/>
    <n v="0"/>
    <n v="540.55999999999995"/>
    <s v="Bank Transfer"/>
    <s v="Mobile"/>
    <n v="4"/>
    <n v="9"/>
    <b v="1"/>
    <x v="0"/>
    <n v="5"/>
    <x v="2"/>
    <x v="0"/>
    <n v="4"/>
  </r>
  <r>
    <s v="ORD_000586"/>
    <s v="CUST_00586"/>
    <d v="2024-03-22T00:00:00"/>
    <n v="37"/>
    <s v="Male"/>
    <s v="Istanbul"/>
    <x v="7"/>
    <n v="319.39999999999998"/>
    <n v="5"/>
    <n v="1597"/>
    <n v="0"/>
    <n v="0"/>
    <n v="1597"/>
    <s v="Digital Wallet"/>
    <s v="Mobile"/>
    <n v="7"/>
    <n v="12"/>
    <b v="1"/>
    <x v="0"/>
    <n v="7"/>
    <x v="2"/>
    <x v="0"/>
    <n v="5"/>
  </r>
  <r>
    <s v="ORD_000587"/>
    <s v="CUST_00587"/>
    <d v="2023-01-20T00:00:00"/>
    <n v="29"/>
    <s v="Male"/>
    <s v="Istanbul"/>
    <x v="4"/>
    <n v="923.93"/>
    <n v="1"/>
    <n v="923.93"/>
    <n v="0"/>
    <n v="0"/>
    <n v="923.93"/>
    <s v="Credit Card"/>
    <s v="Mobile"/>
    <n v="30"/>
    <n v="11"/>
    <b v="0"/>
    <x v="1"/>
    <n v="2"/>
    <x v="1"/>
    <x v="1"/>
    <n v="5"/>
  </r>
  <r>
    <s v="ORD_000588"/>
    <s v="CUST_00588"/>
    <d v="2024-03-15T00:00:00"/>
    <n v="24"/>
    <s v="Female"/>
    <s v="Eskisehir"/>
    <x v="7"/>
    <n v="150.93"/>
    <n v="2"/>
    <n v="301.86"/>
    <n v="0"/>
    <n v="0"/>
    <n v="301.86"/>
    <s v="Digital Wallet"/>
    <s v="Desktop"/>
    <n v="10"/>
    <n v="12"/>
    <b v="1"/>
    <x v="0"/>
    <n v="3"/>
    <x v="1"/>
    <x v="3"/>
    <n v="4"/>
  </r>
  <r>
    <s v="ORD_000589"/>
    <s v="CUST_00589"/>
    <d v="2023-08-29T00:00:00"/>
    <n v="44"/>
    <s v="Female"/>
    <s v="Ankara"/>
    <x v="5"/>
    <n v="1897.92"/>
    <n v="5"/>
    <n v="9489.6"/>
    <n v="443.01"/>
    <n v="4.6683737986848758E-2"/>
    <n v="9046.59"/>
    <s v="Cash on Delivery"/>
    <s v="Mobile"/>
    <n v="16"/>
    <n v="13"/>
    <b v="0"/>
    <x v="1"/>
    <n v="4"/>
    <x v="2"/>
    <x v="0"/>
    <n v="4"/>
  </r>
  <r>
    <s v="ORD_000590"/>
    <s v="CUST_00590"/>
    <d v="2023-04-24T00:00:00"/>
    <n v="24"/>
    <s v="Male"/>
    <s v="Konya"/>
    <x v="1"/>
    <n v="136.07"/>
    <n v="5"/>
    <n v="680.34999999999991"/>
    <n v="0"/>
    <n v="0"/>
    <n v="680.35"/>
    <s v="Debit Card"/>
    <s v="Mobile"/>
    <n v="10"/>
    <n v="9"/>
    <b v="0"/>
    <x v="1"/>
    <n v="3"/>
    <x v="1"/>
    <x v="3"/>
    <n v="5"/>
  </r>
  <r>
    <s v="ORD_000591"/>
    <s v="CUST_00591"/>
    <d v="2023-04-13T00:00:00"/>
    <n v="35"/>
    <s v="Male"/>
    <s v="Istanbul"/>
    <x v="5"/>
    <n v="491.74"/>
    <n v="2"/>
    <n v="983.48"/>
    <n v="68.33"/>
    <n v="6.9477772806767799E-2"/>
    <n v="915.15"/>
    <s v="Credit Card"/>
    <s v="Mobile"/>
    <n v="13"/>
    <n v="13"/>
    <b v="1"/>
    <x v="0"/>
    <n v="3"/>
    <x v="1"/>
    <x v="1"/>
    <n v="2"/>
  </r>
  <r>
    <s v="ORD_000592"/>
    <s v="CUST_00592"/>
    <d v="2024-02-23T00:00:00"/>
    <n v="29"/>
    <s v="Female"/>
    <s v="Istanbul"/>
    <x v="3"/>
    <n v="73.459999999999994"/>
    <n v="2"/>
    <n v="146.91999999999999"/>
    <n v="0"/>
    <n v="0"/>
    <n v="146.91999999999999"/>
    <s v="Debit Card"/>
    <s v="Tablet"/>
    <n v="10"/>
    <n v="9"/>
    <b v="1"/>
    <x v="0"/>
    <n v="4"/>
    <x v="2"/>
    <x v="1"/>
    <n v="5"/>
  </r>
  <r>
    <s v="ORD_000593"/>
    <s v="CUST_00593"/>
    <d v="2023-08-24T00:00:00"/>
    <n v="40"/>
    <s v="Female"/>
    <s v="Izmir"/>
    <x v="6"/>
    <n v="212.57"/>
    <n v="1"/>
    <n v="212.57"/>
    <n v="0"/>
    <n v="0"/>
    <n v="212.57"/>
    <s v="Digital Wallet"/>
    <s v="Desktop"/>
    <n v="8"/>
    <n v="8"/>
    <b v="1"/>
    <x v="0"/>
    <n v="7"/>
    <x v="2"/>
    <x v="0"/>
    <n v="4"/>
  </r>
  <r>
    <s v="ORD_000594"/>
    <s v="CUST_00594"/>
    <d v="2023-06-29T00:00:00"/>
    <n v="39"/>
    <s v="Female"/>
    <s v="Istanbul"/>
    <x v="1"/>
    <n v="177.03"/>
    <n v="2"/>
    <n v="354.06"/>
    <n v="0"/>
    <n v="0"/>
    <n v="354.06"/>
    <s v="Credit Card"/>
    <s v="Desktop"/>
    <n v="17"/>
    <n v="10"/>
    <b v="1"/>
    <x v="0"/>
    <n v="2"/>
    <x v="1"/>
    <x v="0"/>
    <n v="4"/>
  </r>
  <r>
    <s v="ORD_000595"/>
    <s v="CUST_00595"/>
    <d v="2023-06-06T00:00:00"/>
    <n v="47"/>
    <s v="Male"/>
    <s v="Antalya"/>
    <x v="4"/>
    <n v="269.47000000000003"/>
    <n v="1"/>
    <n v="269.47000000000003"/>
    <n v="0"/>
    <n v="0"/>
    <n v="269.47000000000003"/>
    <s v="Digital Wallet"/>
    <s v="Desktop"/>
    <n v="4"/>
    <n v="9"/>
    <b v="1"/>
    <x v="0"/>
    <n v="3"/>
    <x v="1"/>
    <x v="2"/>
    <n v="5"/>
  </r>
  <r>
    <s v="ORD_000596"/>
    <s v="CUST_00596"/>
    <d v="2024-02-25T00:00:00"/>
    <n v="28"/>
    <s v="Male"/>
    <s v="Bursa"/>
    <x v="2"/>
    <n v="136.05000000000001"/>
    <n v="2"/>
    <n v="272.10000000000002"/>
    <n v="0"/>
    <n v="0"/>
    <n v="272.10000000000002"/>
    <s v="Debit Card"/>
    <s v="Desktop"/>
    <n v="6"/>
    <n v="16"/>
    <b v="1"/>
    <x v="0"/>
    <n v="6"/>
    <x v="2"/>
    <x v="1"/>
    <n v="2"/>
  </r>
  <r>
    <s v="ORD_000597"/>
    <s v="CUST_00597"/>
    <d v="2024-02-12T00:00:00"/>
    <n v="31"/>
    <s v="Male"/>
    <s v="Istanbul"/>
    <x v="6"/>
    <n v="175.34"/>
    <n v="1"/>
    <n v="175.34"/>
    <n v="27.85"/>
    <n v="0.15883426485684957"/>
    <n v="147.49"/>
    <s v="Debit Card"/>
    <s v="Mobile"/>
    <n v="18"/>
    <n v="15"/>
    <b v="0"/>
    <x v="1"/>
    <n v="10"/>
    <x v="0"/>
    <x v="1"/>
    <n v="1"/>
  </r>
  <r>
    <s v="ORD_000598"/>
    <s v="CUST_00598"/>
    <d v="2024-03-22T00:00:00"/>
    <n v="23"/>
    <s v="Male"/>
    <s v="Istanbul"/>
    <x v="7"/>
    <n v="440.72"/>
    <n v="2"/>
    <n v="881.44"/>
    <n v="0"/>
    <n v="0"/>
    <n v="881.44"/>
    <s v="Credit Card"/>
    <s v="Desktop"/>
    <n v="12"/>
    <n v="8"/>
    <b v="0"/>
    <x v="1"/>
    <n v="14"/>
    <x v="0"/>
    <x v="3"/>
    <n v="5"/>
  </r>
  <r>
    <s v="ORD_000599"/>
    <s v="CUST_00599"/>
    <d v="2023-04-27T00:00:00"/>
    <n v="29"/>
    <s v="Female"/>
    <s v="Ankara"/>
    <x v="7"/>
    <n v="621.79"/>
    <n v="3"/>
    <n v="1865.37"/>
    <n v="87.78"/>
    <n v="4.7057688287042251E-2"/>
    <n v="1777.59"/>
    <s v="Credit Card"/>
    <s v="Tablet"/>
    <n v="21"/>
    <n v="8"/>
    <b v="0"/>
    <x v="1"/>
    <n v="3"/>
    <x v="1"/>
    <x v="1"/>
    <n v="4"/>
  </r>
  <r>
    <s v="ORD_000600"/>
    <s v="CUST_00600"/>
    <d v="2023-04-25T00:00:00"/>
    <n v="39"/>
    <s v="Male"/>
    <s v="Istanbul"/>
    <x v="3"/>
    <n v="139.36000000000001"/>
    <n v="1"/>
    <n v="139.36000000000001"/>
    <n v="0"/>
    <n v="0"/>
    <n v="139.36000000000001"/>
    <s v="Debit Card"/>
    <s v="Mobile"/>
    <n v="4"/>
    <n v="14"/>
    <b v="1"/>
    <x v="0"/>
    <n v="3"/>
    <x v="1"/>
    <x v="0"/>
    <n v="5"/>
  </r>
  <r>
    <s v="ORD_000601"/>
    <s v="CUST_00601"/>
    <d v="2023-01-13T00:00:00"/>
    <n v="44"/>
    <s v="Male"/>
    <s v="Gaziantep"/>
    <x v="5"/>
    <n v="952.19"/>
    <n v="1"/>
    <n v="952.19"/>
    <n v="0"/>
    <n v="0"/>
    <n v="952.19"/>
    <s v="Debit Card"/>
    <s v="Mobile"/>
    <n v="33"/>
    <n v="8"/>
    <b v="1"/>
    <x v="0"/>
    <n v="3"/>
    <x v="1"/>
    <x v="0"/>
    <n v="2"/>
  </r>
  <r>
    <s v="ORD_000602"/>
    <s v="CUST_00602"/>
    <d v="2023-12-04T00:00:00"/>
    <n v="23"/>
    <s v="Female"/>
    <s v="Izmir"/>
    <x v="5"/>
    <n v="2518.4299999999998"/>
    <n v="5"/>
    <n v="12592.15"/>
    <n v="0"/>
    <n v="0"/>
    <n v="12592.15"/>
    <s v="Credit Card"/>
    <s v="Mobile"/>
    <n v="18"/>
    <n v="16"/>
    <b v="1"/>
    <x v="0"/>
    <n v="19"/>
    <x v="3"/>
    <x v="3"/>
    <n v="4"/>
  </r>
  <r>
    <s v="ORD_000603"/>
    <s v="CUST_00603"/>
    <d v="2023-04-09T00:00:00"/>
    <n v="45"/>
    <s v="Female"/>
    <s v="Istanbul"/>
    <x v="1"/>
    <n v="75.25"/>
    <n v="4"/>
    <n v="301"/>
    <n v="0"/>
    <n v="0"/>
    <n v="301"/>
    <s v="Credit Card"/>
    <s v="Mobile"/>
    <n v="33"/>
    <n v="8"/>
    <b v="1"/>
    <x v="0"/>
    <n v="4"/>
    <x v="2"/>
    <x v="0"/>
    <n v="3"/>
  </r>
  <r>
    <s v="ORD_000604"/>
    <s v="CUST_00604"/>
    <d v="2023-07-24T00:00:00"/>
    <n v="51"/>
    <s v="Male"/>
    <s v="Izmir"/>
    <x v="7"/>
    <n v="648.30999999999995"/>
    <n v="1"/>
    <n v="648.30999999999995"/>
    <n v="0"/>
    <n v="0"/>
    <n v="648.30999999999995"/>
    <s v="Credit Card"/>
    <s v="Desktop"/>
    <n v="22"/>
    <n v="11"/>
    <b v="1"/>
    <x v="0"/>
    <n v="17"/>
    <x v="3"/>
    <x v="2"/>
    <n v="5"/>
  </r>
  <r>
    <s v="ORD_000605"/>
    <s v="CUST_00605"/>
    <d v="2023-06-18T00:00:00"/>
    <n v="39"/>
    <s v="Female"/>
    <s v="Istanbul"/>
    <x v="6"/>
    <n v="104.19"/>
    <n v="4"/>
    <n v="416.76"/>
    <n v="0"/>
    <n v="0"/>
    <n v="416.76"/>
    <s v="Debit Card"/>
    <s v="Desktop"/>
    <n v="10"/>
    <n v="11"/>
    <b v="0"/>
    <x v="1"/>
    <n v="7"/>
    <x v="2"/>
    <x v="0"/>
    <n v="3"/>
  </r>
  <r>
    <s v="ORD_000606"/>
    <s v="CUST_00606"/>
    <d v="2023-05-23T00:00:00"/>
    <n v="57"/>
    <s v="Female"/>
    <s v="Istanbul"/>
    <x v="3"/>
    <n v="194.88"/>
    <n v="4"/>
    <n v="779.52"/>
    <n v="11.1"/>
    <n v="1.4239532019704433E-2"/>
    <n v="768.42"/>
    <s v="Cash on Delivery"/>
    <s v="Desktop"/>
    <n v="20"/>
    <n v="10"/>
    <b v="1"/>
    <x v="0"/>
    <n v="10"/>
    <x v="0"/>
    <x v="4"/>
    <n v="4"/>
  </r>
  <r>
    <s v="ORD_000607"/>
    <s v="CUST_00607"/>
    <d v="2024-03-18T00:00:00"/>
    <n v="25"/>
    <s v="Female"/>
    <s v="Istanbul"/>
    <x v="6"/>
    <n v="98.78"/>
    <n v="2"/>
    <n v="197.56"/>
    <n v="0"/>
    <n v="0"/>
    <n v="197.56"/>
    <s v="Digital Wallet"/>
    <s v="Mobile"/>
    <n v="29"/>
    <n v="6"/>
    <b v="1"/>
    <x v="0"/>
    <n v="7"/>
    <x v="2"/>
    <x v="3"/>
    <n v="5"/>
  </r>
  <r>
    <s v="ORD_000608"/>
    <s v="CUST_00608"/>
    <d v="2023-02-05T00:00:00"/>
    <n v="20"/>
    <s v="Male"/>
    <s v="Konya"/>
    <x v="4"/>
    <n v="1119.96"/>
    <n v="1"/>
    <n v="1119.96"/>
    <n v="0"/>
    <n v="0"/>
    <n v="1119.96"/>
    <s v="Bank Transfer"/>
    <s v="Desktop"/>
    <n v="16"/>
    <n v="12"/>
    <b v="0"/>
    <x v="1"/>
    <n v="5"/>
    <x v="2"/>
    <x v="3"/>
    <n v="5"/>
  </r>
  <r>
    <s v="ORD_000609"/>
    <s v="CUST_00609"/>
    <d v="2024-01-31T00:00:00"/>
    <n v="18"/>
    <s v="Female"/>
    <s v="Kayseri"/>
    <x v="5"/>
    <n v="1760.08"/>
    <n v="1"/>
    <n v="1760.08"/>
    <n v="0"/>
    <n v="0"/>
    <n v="1760.08"/>
    <s v="Debit Card"/>
    <s v="Mobile"/>
    <n v="18"/>
    <n v="5"/>
    <b v="0"/>
    <x v="1"/>
    <n v="5"/>
    <x v="2"/>
    <x v="3"/>
    <n v="5"/>
  </r>
  <r>
    <s v="ORD_000610"/>
    <s v="CUST_00610"/>
    <d v="2023-05-23T00:00:00"/>
    <n v="52"/>
    <s v="Female"/>
    <s v="Gaziantep"/>
    <x v="0"/>
    <n v="99.44"/>
    <n v="1"/>
    <n v="99.44"/>
    <n v="0"/>
    <n v="0"/>
    <n v="99.44"/>
    <s v="Debit Card"/>
    <s v="Desktop"/>
    <n v="7"/>
    <n v="10"/>
    <b v="0"/>
    <x v="1"/>
    <n v="2"/>
    <x v="1"/>
    <x v="2"/>
    <n v="4"/>
  </r>
  <r>
    <s v="ORD_000611"/>
    <s v="CUST_00611"/>
    <d v="2023-06-29T00:00:00"/>
    <n v="42"/>
    <s v="Male"/>
    <s v="Ankara"/>
    <x v="6"/>
    <n v="150.49"/>
    <n v="1"/>
    <n v="150.49"/>
    <n v="0"/>
    <n v="0"/>
    <n v="150.49"/>
    <s v="Credit Card"/>
    <s v="Desktop"/>
    <n v="18"/>
    <n v="8"/>
    <b v="0"/>
    <x v="1"/>
    <n v="8"/>
    <x v="0"/>
    <x v="0"/>
    <n v="4"/>
  </r>
  <r>
    <s v="ORD_000612"/>
    <s v="CUST_00612"/>
    <d v="2023-11-25T00:00:00"/>
    <n v="34"/>
    <s v="Male"/>
    <s v="Ankara"/>
    <x v="7"/>
    <n v="96.64"/>
    <n v="1"/>
    <n v="96.64"/>
    <n v="0"/>
    <n v="0"/>
    <n v="96.64"/>
    <s v="Digital Wallet"/>
    <s v="Desktop"/>
    <n v="13"/>
    <n v="3"/>
    <b v="0"/>
    <x v="1"/>
    <n v="11"/>
    <x v="0"/>
    <x v="1"/>
    <n v="5"/>
  </r>
  <r>
    <s v="ORD_000613"/>
    <s v="CUST_00613"/>
    <d v="2023-09-18T00:00:00"/>
    <n v="38"/>
    <s v="Female"/>
    <s v="Bursa"/>
    <x v="2"/>
    <n v="93.94"/>
    <n v="5"/>
    <n v="469.7"/>
    <n v="0"/>
    <n v="0"/>
    <n v="469.7"/>
    <s v="Debit Card"/>
    <s v="Mobile"/>
    <n v="10"/>
    <n v="10"/>
    <b v="0"/>
    <x v="1"/>
    <n v="2"/>
    <x v="1"/>
    <x v="0"/>
    <n v="5"/>
  </r>
  <r>
    <s v="ORD_000614"/>
    <s v="CUST_00614"/>
    <d v="2023-07-24T00:00:00"/>
    <n v="21"/>
    <s v="Male"/>
    <s v="Adana"/>
    <x v="3"/>
    <n v="193.69"/>
    <n v="1"/>
    <n v="193.69"/>
    <n v="0"/>
    <n v="0"/>
    <n v="193.69"/>
    <s v="Digital Wallet"/>
    <s v="Mobile"/>
    <n v="24"/>
    <n v="13"/>
    <b v="1"/>
    <x v="0"/>
    <n v="4"/>
    <x v="2"/>
    <x v="3"/>
    <n v="5"/>
  </r>
  <r>
    <s v="ORD_000615"/>
    <s v="CUST_00615"/>
    <d v="2023-12-14T00:00:00"/>
    <n v="64"/>
    <s v="Female"/>
    <s v="Eskisehir"/>
    <x v="1"/>
    <n v="182.17"/>
    <n v="2"/>
    <n v="364.34"/>
    <n v="0"/>
    <n v="0"/>
    <n v="364.34"/>
    <s v="Debit Card"/>
    <s v="Mobile"/>
    <n v="4"/>
    <n v="5"/>
    <b v="1"/>
    <x v="0"/>
    <n v="3"/>
    <x v="1"/>
    <x v="4"/>
    <n v="5"/>
  </r>
  <r>
    <s v="ORD_000616"/>
    <s v="CUST_00616"/>
    <d v="2024-03-07T00:00:00"/>
    <n v="36"/>
    <s v="Male"/>
    <s v="Istanbul"/>
    <x v="5"/>
    <n v="810.6"/>
    <n v="2"/>
    <n v="1621.2"/>
    <n v="0"/>
    <n v="0"/>
    <n v="1621.2"/>
    <s v="Credit Card"/>
    <s v="Desktop"/>
    <n v="17"/>
    <n v="5"/>
    <b v="0"/>
    <x v="1"/>
    <n v="10"/>
    <x v="0"/>
    <x v="0"/>
    <n v="5"/>
  </r>
  <r>
    <s v="ORD_000617"/>
    <s v="CUST_00617"/>
    <d v="2023-10-02T00:00:00"/>
    <n v="36"/>
    <s v="Male"/>
    <s v="Istanbul"/>
    <x v="5"/>
    <n v="2590.17"/>
    <n v="1"/>
    <n v="2590.17"/>
    <n v="480.47"/>
    <n v="0.18549747699957919"/>
    <n v="2109.6999999999998"/>
    <s v="Credit Card"/>
    <s v="Mobile"/>
    <n v="20"/>
    <n v="7"/>
    <b v="1"/>
    <x v="0"/>
    <n v="2"/>
    <x v="1"/>
    <x v="0"/>
    <n v="3"/>
  </r>
  <r>
    <s v="ORD_000618"/>
    <s v="CUST_00618"/>
    <d v="2023-06-19T00:00:00"/>
    <n v="43"/>
    <s v="Male"/>
    <s v="Antalya"/>
    <x v="4"/>
    <n v="702.02"/>
    <n v="2"/>
    <n v="1404.04"/>
    <n v="104.29"/>
    <n v="7.4278510583744059E-2"/>
    <n v="1299.75"/>
    <s v="Digital Wallet"/>
    <s v="Tablet"/>
    <n v="12"/>
    <n v="11"/>
    <b v="1"/>
    <x v="0"/>
    <n v="6"/>
    <x v="2"/>
    <x v="0"/>
    <n v="5"/>
  </r>
  <r>
    <s v="ORD_000619"/>
    <s v="CUST_00619"/>
    <d v="2023-01-15T00:00:00"/>
    <n v="40"/>
    <s v="Female"/>
    <s v="Gaziantep"/>
    <x v="5"/>
    <n v="1239.23"/>
    <n v="1"/>
    <n v="1239.23"/>
    <n v="0"/>
    <n v="0"/>
    <n v="1239.23"/>
    <s v="Credit Card"/>
    <s v="Desktop"/>
    <n v="31"/>
    <n v="13"/>
    <b v="1"/>
    <x v="0"/>
    <n v="12"/>
    <x v="0"/>
    <x v="0"/>
    <n v="5"/>
  </r>
  <r>
    <s v="ORD_000620"/>
    <s v="CUST_00620"/>
    <d v="2023-03-01T00:00:00"/>
    <n v="37"/>
    <s v="Male"/>
    <s v="Gaziantep"/>
    <x v="3"/>
    <n v="126.2"/>
    <n v="5"/>
    <n v="631"/>
    <n v="0"/>
    <n v="0"/>
    <n v="631"/>
    <s v="Credit Card"/>
    <s v="Mobile"/>
    <n v="13"/>
    <n v="13"/>
    <b v="0"/>
    <x v="1"/>
    <n v="5"/>
    <x v="2"/>
    <x v="0"/>
    <n v="5"/>
  </r>
  <r>
    <s v="ORD_000621"/>
    <s v="CUST_00621"/>
    <d v="2024-03-25T00:00:00"/>
    <n v="25"/>
    <s v="Female"/>
    <s v="Antalya"/>
    <x v="7"/>
    <n v="330.82"/>
    <n v="3"/>
    <n v="992.46"/>
    <n v="0"/>
    <n v="0"/>
    <n v="992.46"/>
    <s v="Bank Transfer"/>
    <s v="Mobile"/>
    <n v="7"/>
    <n v="12"/>
    <b v="0"/>
    <x v="1"/>
    <n v="6"/>
    <x v="2"/>
    <x v="3"/>
    <n v="5"/>
  </r>
  <r>
    <s v="ORD_000622"/>
    <s v="CUST_00622"/>
    <d v="2023-05-14T00:00:00"/>
    <n v="40"/>
    <s v="Female"/>
    <s v="Kayseri"/>
    <x v="7"/>
    <n v="940.51"/>
    <n v="1"/>
    <n v="940.51"/>
    <n v="77.459999999999994"/>
    <n v="8.2359570871123111E-2"/>
    <n v="863.05"/>
    <s v="Digital Wallet"/>
    <s v="Desktop"/>
    <n v="7"/>
    <n v="9"/>
    <b v="0"/>
    <x v="1"/>
    <n v="3"/>
    <x v="1"/>
    <x v="0"/>
    <n v="4"/>
  </r>
  <r>
    <s v="ORD_000623"/>
    <s v="CUST_00623"/>
    <d v="2023-04-02T00:00:00"/>
    <n v="57"/>
    <s v="Female"/>
    <s v="Izmir"/>
    <x v="7"/>
    <n v="351.37"/>
    <n v="1"/>
    <n v="351.37"/>
    <n v="0"/>
    <n v="0"/>
    <n v="351.37"/>
    <s v="Credit Card"/>
    <s v="Desktop"/>
    <n v="13"/>
    <n v="6"/>
    <b v="0"/>
    <x v="1"/>
    <n v="6"/>
    <x v="2"/>
    <x v="4"/>
    <n v="5"/>
  </r>
  <r>
    <s v="ORD_000624"/>
    <s v="CUST_00624"/>
    <d v="2023-10-25T00:00:00"/>
    <n v="51"/>
    <s v="Female"/>
    <s v="Kayseri"/>
    <x v="0"/>
    <n v="105.07"/>
    <n v="1"/>
    <n v="105.07"/>
    <n v="21.03"/>
    <n v="0.20015227943275915"/>
    <n v="84.04"/>
    <s v="Credit Card"/>
    <s v="Mobile"/>
    <n v="6"/>
    <n v="7"/>
    <b v="1"/>
    <x v="0"/>
    <n v="4"/>
    <x v="2"/>
    <x v="2"/>
    <n v="1"/>
  </r>
  <r>
    <s v="ORD_000625"/>
    <s v="CUST_00625"/>
    <d v="2023-05-16T00:00:00"/>
    <n v="54"/>
    <s v="Female"/>
    <s v="Eskisehir"/>
    <x v="2"/>
    <n v="50.09"/>
    <n v="2"/>
    <n v="100.18"/>
    <n v="0"/>
    <n v="0"/>
    <n v="100.18"/>
    <s v="Credit Card"/>
    <s v="Desktop"/>
    <n v="36"/>
    <n v="14"/>
    <b v="1"/>
    <x v="0"/>
    <n v="5"/>
    <x v="2"/>
    <x v="2"/>
    <n v="4"/>
  </r>
  <r>
    <s v="ORD_000626"/>
    <s v="CUST_00626"/>
    <d v="2023-01-20T00:00:00"/>
    <n v="28"/>
    <s v="Male"/>
    <s v="Gaziantep"/>
    <x v="2"/>
    <n v="60.16"/>
    <n v="1"/>
    <n v="60.16"/>
    <n v="13.38"/>
    <n v="0.22240691489361705"/>
    <n v="46.78"/>
    <s v="Debit Card"/>
    <s v="Desktop"/>
    <n v="10"/>
    <n v="3"/>
    <b v="1"/>
    <x v="0"/>
    <n v="16"/>
    <x v="3"/>
    <x v="1"/>
    <n v="4"/>
  </r>
  <r>
    <s v="ORD_000627"/>
    <s v="CUST_00627"/>
    <d v="2023-02-25T00:00:00"/>
    <n v="23"/>
    <s v="Female"/>
    <s v="Ankara"/>
    <x v="0"/>
    <n v="176.9"/>
    <n v="1"/>
    <n v="176.9"/>
    <n v="31.48"/>
    <n v="0.1779536461277558"/>
    <n v="145.41999999999999"/>
    <s v="Digital Wallet"/>
    <s v="Desktop"/>
    <n v="28"/>
    <n v="14"/>
    <b v="1"/>
    <x v="0"/>
    <n v="14"/>
    <x v="0"/>
    <x v="3"/>
    <n v="5"/>
  </r>
  <r>
    <s v="ORD_000628"/>
    <s v="CUST_00628"/>
    <d v="2023-11-02T00:00:00"/>
    <n v="33"/>
    <s v="Female"/>
    <s v="Istanbul"/>
    <x v="5"/>
    <n v="971.23"/>
    <n v="2"/>
    <n v="1942.46"/>
    <n v="108.91"/>
    <n v="5.60680786219536E-2"/>
    <n v="1833.55"/>
    <s v="Credit Card"/>
    <s v="Mobile"/>
    <n v="25"/>
    <n v="6"/>
    <b v="1"/>
    <x v="0"/>
    <n v="12"/>
    <x v="0"/>
    <x v="1"/>
    <n v="5"/>
  </r>
  <r>
    <s v="ORD_000629"/>
    <s v="CUST_00629"/>
    <d v="2023-08-11T00:00:00"/>
    <n v="35"/>
    <s v="Male"/>
    <s v="Bursa"/>
    <x v="6"/>
    <n v="249.81"/>
    <n v="4"/>
    <n v="999.24"/>
    <n v="0"/>
    <n v="0"/>
    <n v="999.24"/>
    <s v="Bank Transfer"/>
    <s v="Mobile"/>
    <n v="16"/>
    <n v="9"/>
    <b v="0"/>
    <x v="1"/>
    <n v="6"/>
    <x v="2"/>
    <x v="1"/>
    <n v="5"/>
  </r>
  <r>
    <s v="ORD_000630"/>
    <s v="CUST_00630"/>
    <d v="2023-06-26T00:00:00"/>
    <n v="48"/>
    <s v="Male"/>
    <s v="Izmir"/>
    <x v="2"/>
    <n v="114.73"/>
    <n v="1"/>
    <n v="114.73"/>
    <n v="21.05"/>
    <n v="0.18347424387692843"/>
    <n v="93.68"/>
    <s v="Credit Card"/>
    <s v="Desktop"/>
    <n v="12"/>
    <n v="13"/>
    <b v="0"/>
    <x v="1"/>
    <n v="5"/>
    <x v="2"/>
    <x v="2"/>
    <n v="2"/>
  </r>
  <r>
    <s v="ORD_000631"/>
    <s v="CUST_00631"/>
    <d v="2024-01-09T00:00:00"/>
    <n v="18"/>
    <s v="Female"/>
    <s v="Konya"/>
    <x v="6"/>
    <n v="243.64"/>
    <n v="2"/>
    <n v="487.28"/>
    <n v="29.1"/>
    <n v="5.9719257921523564E-2"/>
    <n v="458.18"/>
    <s v="Credit Card"/>
    <s v="Mobile"/>
    <n v="13"/>
    <n v="11"/>
    <b v="1"/>
    <x v="0"/>
    <n v="3"/>
    <x v="1"/>
    <x v="3"/>
    <n v="4"/>
  </r>
  <r>
    <s v="ORD_000632"/>
    <s v="CUST_00632"/>
    <d v="2024-02-07T00:00:00"/>
    <n v="53"/>
    <s v="Male"/>
    <s v="Istanbul"/>
    <x v="6"/>
    <n v="326.16000000000003"/>
    <n v="1"/>
    <n v="326.16000000000003"/>
    <n v="28.55"/>
    <n v="8.7533725778758883E-2"/>
    <n v="297.61"/>
    <s v="Cash on Delivery"/>
    <s v="Desktop"/>
    <n v="22"/>
    <n v="5"/>
    <b v="1"/>
    <x v="0"/>
    <n v="7"/>
    <x v="2"/>
    <x v="2"/>
    <n v="5"/>
  </r>
  <r>
    <s v="ORD_000633"/>
    <s v="CUST_00633"/>
    <d v="2023-06-10T00:00:00"/>
    <n v="33"/>
    <s v="Female"/>
    <s v="Ankara"/>
    <x v="2"/>
    <n v="53.32"/>
    <n v="5"/>
    <n v="266.60000000000002"/>
    <n v="0"/>
    <n v="0"/>
    <n v="266.60000000000002"/>
    <s v="Credit Card"/>
    <s v="Desktop"/>
    <n v="15"/>
    <n v="6"/>
    <b v="1"/>
    <x v="0"/>
    <n v="2"/>
    <x v="1"/>
    <x v="1"/>
    <n v="1"/>
  </r>
  <r>
    <s v="ORD_000634"/>
    <s v="CUST_00634"/>
    <d v="2023-08-12T00:00:00"/>
    <n v="29"/>
    <s v="Male"/>
    <s v="Adana"/>
    <x v="0"/>
    <n v="94.37"/>
    <n v="1"/>
    <n v="94.37"/>
    <n v="6.99"/>
    <n v="7.4070149411889372E-2"/>
    <n v="87.38"/>
    <s v="Bank Transfer"/>
    <s v="Mobile"/>
    <n v="24"/>
    <n v="10"/>
    <b v="0"/>
    <x v="1"/>
    <n v="6"/>
    <x v="2"/>
    <x v="1"/>
    <n v="3"/>
  </r>
  <r>
    <s v="ORD_000635"/>
    <s v="CUST_00635"/>
    <d v="2023-11-07T00:00:00"/>
    <n v="22"/>
    <s v="Male"/>
    <s v="Istanbul"/>
    <x v="4"/>
    <n v="1116.22"/>
    <n v="1"/>
    <n v="1116.22"/>
    <n v="0"/>
    <n v="0"/>
    <n v="1116.22"/>
    <s v="Digital Wallet"/>
    <s v="Desktop"/>
    <n v="8"/>
    <n v="16"/>
    <b v="1"/>
    <x v="0"/>
    <n v="6"/>
    <x v="2"/>
    <x v="3"/>
    <n v="5"/>
  </r>
  <r>
    <s v="ORD_000636"/>
    <s v="CUST_00636"/>
    <d v="2023-09-19T00:00:00"/>
    <n v="18"/>
    <s v="Female"/>
    <s v="Ankara"/>
    <x v="2"/>
    <n v="49.43"/>
    <n v="1"/>
    <n v="49.43"/>
    <n v="0"/>
    <n v="0"/>
    <n v="49.43"/>
    <s v="Credit Card"/>
    <s v="Desktop"/>
    <n v="16"/>
    <n v="6"/>
    <b v="1"/>
    <x v="0"/>
    <n v="3"/>
    <x v="1"/>
    <x v="3"/>
    <n v="2"/>
  </r>
  <r>
    <s v="ORD_000637"/>
    <s v="CUST_00637"/>
    <d v="2023-03-01T00:00:00"/>
    <n v="44"/>
    <s v="Male"/>
    <s v="Ankara"/>
    <x v="1"/>
    <n v="126.58"/>
    <n v="4"/>
    <n v="506.32"/>
    <n v="0"/>
    <n v="0"/>
    <n v="506.32"/>
    <s v="Debit Card"/>
    <s v="Tablet"/>
    <n v="10"/>
    <n v="12"/>
    <b v="1"/>
    <x v="0"/>
    <n v="7"/>
    <x v="2"/>
    <x v="0"/>
    <n v="2"/>
  </r>
  <r>
    <s v="ORD_000638"/>
    <s v="CUST_00638"/>
    <d v="2023-07-17T00:00:00"/>
    <n v="35"/>
    <s v="Male"/>
    <s v="Antalya"/>
    <x v="0"/>
    <n v="27.7"/>
    <n v="1"/>
    <n v="27.7"/>
    <n v="0"/>
    <n v="0"/>
    <n v="27.7"/>
    <s v="Debit Card"/>
    <s v="Mobile"/>
    <n v="9"/>
    <n v="9"/>
    <b v="0"/>
    <x v="1"/>
    <n v="6"/>
    <x v="2"/>
    <x v="1"/>
    <n v="4"/>
  </r>
  <r>
    <s v="ORD_000639"/>
    <s v="CUST_00639"/>
    <d v="2023-10-23T00:00:00"/>
    <n v="19"/>
    <s v="Female"/>
    <s v="Istanbul"/>
    <x v="1"/>
    <n v="656.45"/>
    <n v="1"/>
    <n v="656.45"/>
    <n v="0"/>
    <n v="0"/>
    <n v="656.45"/>
    <s v="Bank Transfer"/>
    <s v="Tablet"/>
    <n v="10"/>
    <n v="7"/>
    <b v="1"/>
    <x v="0"/>
    <n v="5"/>
    <x v="2"/>
    <x v="3"/>
    <n v="5"/>
  </r>
  <r>
    <s v="ORD_000640"/>
    <s v="CUST_00640"/>
    <d v="2023-04-08T00:00:00"/>
    <n v="19"/>
    <s v="Male"/>
    <s v="Konya"/>
    <x v="6"/>
    <n v="366.62"/>
    <n v="3"/>
    <n v="1099.8600000000001"/>
    <n v="33.82"/>
    <n v="3.0749368101394718E-2"/>
    <n v="1066.04"/>
    <s v="Debit Card"/>
    <s v="Mobile"/>
    <n v="19"/>
    <n v="9"/>
    <b v="1"/>
    <x v="0"/>
    <n v="7"/>
    <x v="2"/>
    <x v="3"/>
    <n v="5"/>
  </r>
  <r>
    <s v="ORD_000641"/>
    <s v="CUST_00641"/>
    <d v="2023-05-11T00:00:00"/>
    <n v="30"/>
    <s v="Female"/>
    <s v="Izmir"/>
    <x v="1"/>
    <n v="142.30000000000001"/>
    <n v="4"/>
    <n v="569.20000000000005"/>
    <n v="0"/>
    <n v="0"/>
    <n v="569.20000000000005"/>
    <s v="Debit Card"/>
    <s v="Mobile"/>
    <n v="17"/>
    <n v="9"/>
    <b v="1"/>
    <x v="0"/>
    <n v="5"/>
    <x v="2"/>
    <x v="1"/>
    <n v="5"/>
  </r>
  <r>
    <s v="ORD_000642"/>
    <s v="CUST_00642"/>
    <d v="2023-01-23T00:00:00"/>
    <n v="55"/>
    <s v="Female"/>
    <s v="Kayseri"/>
    <x v="5"/>
    <n v="3242.84"/>
    <n v="5"/>
    <n v="16214.2"/>
    <n v="0"/>
    <n v="0"/>
    <n v="16214.2"/>
    <s v="Credit Card"/>
    <s v="Desktop"/>
    <n v="2"/>
    <n v="10"/>
    <b v="1"/>
    <x v="0"/>
    <n v="5"/>
    <x v="2"/>
    <x v="2"/>
    <n v="5"/>
  </r>
  <r>
    <s v="ORD_000643"/>
    <s v="CUST_00643"/>
    <d v="2023-12-29T00:00:00"/>
    <n v="31"/>
    <s v="Female"/>
    <s v="Izmir"/>
    <x v="7"/>
    <n v="604.55999999999995"/>
    <n v="2"/>
    <n v="1209.1199999999999"/>
    <n v="0"/>
    <n v="0"/>
    <n v="1209.1199999999999"/>
    <s v="Debit Card"/>
    <s v="Desktop"/>
    <n v="31"/>
    <n v="5"/>
    <b v="1"/>
    <x v="0"/>
    <n v="5"/>
    <x v="2"/>
    <x v="1"/>
    <n v="4"/>
  </r>
  <r>
    <s v="ORD_000644"/>
    <s v="CUST_00644"/>
    <d v="2023-08-12T00:00:00"/>
    <n v="18"/>
    <s v="Male"/>
    <s v="Ankara"/>
    <x v="4"/>
    <n v="599.44000000000005"/>
    <n v="1"/>
    <n v="599.44000000000005"/>
    <n v="0"/>
    <n v="0"/>
    <n v="599.44000000000005"/>
    <s v="Credit Card"/>
    <s v="Desktop"/>
    <n v="16"/>
    <n v="9"/>
    <b v="1"/>
    <x v="0"/>
    <n v="5"/>
    <x v="2"/>
    <x v="3"/>
    <n v="5"/>
  </r>
  <r>
    <s v="ORD_000645"/>
    <s v="CUST_00645"/>
    <d v="2023-01-01T00:00:00"/>
    <n v="32"/>
    <s v="Male"/>
    <s v="Istanbul"/>
    <x v="5"/>
    <n v="804.06"/>
    <n v="1"/>
    <n v="804.06"/>
    <n v="229.28"/>
    <n v="0.28515284928985402"/>
    <n v="574.78"/>
    <s v="Credit Card"/>
    <s v="Mobile"/>
    <n v="8"/>
    <n v="10"/>
    <b v="0"/>
    <x v="1"/>
    <n v="1"/>
    <x v="1"/>
    <x v="1"/>
    <n v="4"/>
  </r>
  <r>
    <s v="ORD_000646"/>
    <s v="CUST_00646"/>
    <d v="2023-09-24T00:00:00"/>
    <n v="31"/>
    <s v="Female"/>
    <s v="Istanbul"/>
    <x v="7"/>
    <n v="405.53"/>
    <n v="4"/>
    <n v="1622.12"/>
    <n v="0"/>
    <n v="0"/>
    <n v="1622.12"/>
    <s v="Cash on Delivery"/>
    <s v="Mobile"/>
    <n v="21"/>
    <n v="9"/>
    <b v="1"/>
    <x v="0"/>
    <n v="5"/>
    <x v="2"/>
    <x v="1"/>
    <n v="4"/>
  </r>
  <r>
    <s v="ORD_000647"/>
    <s v="CUST_00647"/>
    <d v="2024-02-17T00:00:00"/>
    <n v="18"/>
    <s v="Female"/>
    <s v="Bursa"/>
    <x v="4"/>
    <n v="281.10000000000002"/>
    <n v="2"/>
    <n v="562.20000000000005"/>
    <n v="0"/>
    <n v="0"/>
    <n v="562.20000000000005"/>
    <s v="Credit Card"/>
    <s v="Desktop"/>
    <n v="25"/>
    <n v="9"/>
    <b v="1"/>
    <x v="0"/>
    <n v="8"/>
    <x v="0"/>
    <x v="3"/>
    <n v="4"/>
  </r>
  <r>
    <s v="ORD_000648"/>
    <s v="CUST_00648"/>
    <d v="2023-10-03T00:00:00"/>
    <n v="34"/>
    <s v="Female"/>
    <s v="Istanbul"/>
    <x v="6"/>
    <n v="120.24"/>
    <n v="2"/>
    <n v="240.48"/>
    <n v="0"/>
    <n v="0"/>
    <n v="240.48"/>
    <s v="Credit Card"/>
    <s v="Mobile"/>
    <n v="14"/>
    <n v="10"/>
    <b v="0"/>
    <x v="1"/>
    <n v="5"/>
    <x v="2"/>
    <x v="1"/>
    <n v="5"/>
  </r>
  <r>
    <s v="ORD_000649"/>
    <s v="CUST_00649"/>
    <d v="2023-12-18T00:00:00"/>
    <n v="32"/>
    <s v="Female"/>
    <s v="Ankara"/>
    <x v="4"/>
    <n v="275.41000000000003"/>
    <n v="3"/>
    <n v="826.23"/>
    <n v="0"/>
    <n v="0"/>
    <n v="826.23"/>
    <s v="Digital Wallet"/>
    <s v="Mobile"/>
    <n v="13"/>
    <n v="11"/>
    <b v="1"/>
    <x v="0"/>
    <n v="5"/>
    <x v="2"/>
    <x v="1"/>
    <n v="5"/>
  </r>
  <r>
    <s v="ORD_000650"/>
    <s v="CUST_00650"/>
    <d v="2024-01-04T00:00:00"/>
    <n v="43"/>
    <s v="Male"/>
    <s v="Bursa"/>
    <x v="4"/>
    <n v="187.37"/>
    <n v="2"/>
    <n v="374.74"/>
    <n v="0"/>
    <n v="0"/>
    <n v="374.74"/>
    <s v="Digital Wallet"/>
    <s v="Tablet"/>
    <n v="10"/>
    <n v="5"/>
    <b v="1"/>
    <x v="0"/>
    <n v="3"/>
    <x v="1"/>
    <x v="0"/>
    <n v="4"/>
  </r>
  <r>
    <s v="ORD_000651"/>
    <s v="CUST_00651"/>
    <d v="2024-01-15T00:00:00"/>
    <n v="57"/>
    <s v="Male"/>
    <s v="Ankara"/>
    <x v="1"/>
    <n v="531.79"/>
    <n v="1"/>
    <n v="531.79"/>
    <n v="0"/>
    <n v="0"/>
    <n v="531.79"/>
    <s v="Credit Card"/>
    <s v="Tablet"/>
    <n v="19"/>
    <n v="7"/>
    <b v="0"/>
    <x v="1"/>
    <n v="3"/>
    <x v="1"/>
    <x v="4"/>
    <n v="4"/>
  </r>
  <r>
    <s v="ORD_000652"/>
    <s v="CUST_00652"/>
    <d v="2024-01-13T00:00:00"/>
    <n v="48"/>
    <s v="Male"/>
    <s v="Istanbul"/>
    <x v="1"/>
    <n v="211.54"/>
    <n v="2"/>
    <n v="423.08"/>
    <n v="0"/>
    <n v="0"/>
    <n v="423.08"/>
    <s v="Credit Card"/>
    <s v="Desktop"/>
    <n v="18"/>
    <n v="11"/>
    <b v="0"/>
    <x v="1"/>
    <n v="7"/>
    <x v="2"/>
    <x v="2"/>
    <n v="5"/>
  </r>
  <r>
    <s v="ORD_000653"/>
    <s v="CUST_00653"/>
    <d v="2023-12-10T00:00:00"/>
    <n v="31"/>
    <s v="Male"/>
    <s v="Adana"/>
    <x v="1"/>
    <n v="306.73"/>
    <n v="3"/>
    <n v="920.19"/>
    <n v="0"/>
    <n v="0"/>
    <n v="920.19"/>
    <s v="Credit Card"/>
    <s v="Mobile"/>
    <n v="22"/>
    <n v="10"/>
    <b v="0"/>
    <x v="1"/>
    <n v="4"/>
    <x v="2"/>
    <x v="1"/>
    <n v="1"/>
  </r>
  <r>
    <s v="ORD_000654"/>
    <s v="CUST_00654"/>
    <d v="2023-04-11T00:00:00"/>
    <n v="21"/>
    <s v="Male"/>
    <s v="Kayseri"/>
    <x v="4"/>
    <n v="381.06"/>
    <n v="2"/>
    <n v="762.12"/>
    <n v="0"/>
    <n v="0"/>
    <n v="762.12"/>
    <s v="Credit Card"/>
    <s v="Tablet"/>
    <n v="20"/>
    <n v="7"/>
    <b v="1"/>
    <x v="0"/>
    <n v="8"/>
    <x v="0"/>
    <x v="3"/>
    <n v="5"/>
  </r>
  <r>
    <s v="ORD_000655"/>
    <s v="CUST_00655"/>
    <d v="2023-07-06T00:00:00"/>
    <n v="65"/>
    <s v="Female"/>
    <s v="Istanbul"/>
    <x v="3"/>
    <n v="82.4"/>
    <n v="5"/>
    <n v="412"/>
    <n v="0"/>
    <n v="0"/>
    <n v="412"/>
    <s v="Digital Wallet"/>
    <s v="Mobile"/>
    <n v="17"/>
    <n v="8"/>
    <b v="0"/>
    <x v="1"/>
    <n v="6"/>
    <x v="2"/>
    <x v="4"/>
    <n v="4"/>
  </r>
  <r>
    <s v="ORD_000656"/>
    <s v="CUST_00656"/>
    <d v="2023-08-09T00:00:00"/>
    <n v="35"/>
    <s v="Male"/>
    <s v="Istanbul"/>
    <x v="0"/>
    <n v="28.6"/>
    <n v="1"/>
    <n v="28.6"/>
    <n v="0"/>
    <n v="0"/>
    <n v="28.6"/>
    <s v="Debit Card"/>
    <s v="Mobile"/>
    <n v="15"/>
    <n v="8"/>
    <b v="1"/>
    <x v="0"/>
    <n v="7"/>
    <x v="2"/>
    <x v="1"/>
    <n v="4"/>
  </r>
  <r>
    <s v="ORD_000657"/>
    <s v="CUST_00657"/>
    <d v="2023-02-05T00:00:00"/>
    <n v="35"/>
    <s v="Male"/>
    <s v="Eskisehir"/>
    <x v="4"/>
    <n v="1647.31"/>
    <n v="3"/>
    <n v="4941.93"/>
    <n v="201.73"/>
    <n v="4.0820084460929225E-2"/>
    <n v="4740.2"/>
    <s v="Digital Wallet"/>
    <s v="Desktop"/>
    <n v="16"/>
    <n v="11"/>
    <b v="0"/>
    <x v="1"/>
    <n v="4"/>
    <x v="2"/>
    <x v="1"/>
    <n v="4"/>
  </r>
  <r>
    <s v="ORD_000658"/>
    <s v="CUST_00658"/>
    <d v="2023-12-07T00:00:00"/>
    <n v="34"/>
    <s v="Male"/>
    <s v="Istanbul"/>
    <x v="0"/>
    <n v="107.92"/>
    <n v="1"/>
    <n v="107.92"/>
    <n v="0"/>
    <n v="0"/>
    <n v="107.92"/>
    <s v="Debit Card"/>
    <s v="Mobile"/>
    <n v="22"/>
    <n v="10"/>
    <b v="1"/>
    <x v="0"/>
    <n v="7"/>
    <x v="2"/>
    <x v="1"/>
    <n v="4"/>
  </r>
  <r>
    <s v="ORD_000659"/>
    <s v="CUST_00659"/>
    <d v="2023-06-19T00:00:00"/>
    <n v="37"/>
    <s v="Female"/>
    <s v="Eskisehir"/>
    <x v="0"/>
    <n v="39.200000000000003"/>
    <n v="4"/>
    <n v="156.80000000000001"/>
    <n v="8.24"/>
    <n v="5.2551020408163264E-2"/>
    <n v="148.56"/>
    <s v="Digital Wallet"/>
    <s v="Desktop"/>
    <n v="21"/>
    <n v="11"/>
    <b v="0"/>
    <x v="1"/>
    <n v="2"/>
    <x v="1"/>
    <x v="0"/>
    <n v="5"/>
  </r>
  <r>
    <s v="ORD_000660"/>
    <s v="CUST_00660"/>
    <d v="2023-11-16T00:00:00"/>
    <n v="33"/>
    <s v="Female"/>
    <s v="Istanbul"/>
    <x v="1"/>
    <n v="114"/>
    <n v="1"/>
    <n v="114"/>
    <n v="0"/>
    <n v="0"/>
    <n v="114"/>
    <s v="Debit Card"/>
    <s v="Mobile"/>
    <n v="13"/>
    <n v="4"/>
    <b v="1"/>
    <x v="0"/>
    <n v="9"/>
    <x v="0"/>
    <x v="1"/>
    <n v="5"/>
  </r>
  <r>
    <s v="ORD_000661"/>
    <s v="CUST_00661"/>
    <d v="2023-06-10T00:00:00"/>
    <n v="28"/>
    <s v="Female"/>
    <s v="Konya"/>
    <x v="4"/>
    <n v="174.49"/>
    <n v="4"/>
    <n v="697.96"/>
    <n v="0"/>
    <n v="0"/>
    <n v="697.96"/>
    <s v="Bank Transfer"/>
    <s v="Mobile"/>
    <n v="11"/>
    <n v="5"/>
    <b v="1"/>
    <x v="0"/>
    <n v="6"/>
    <x v="2"/>
    <x v="1"/>
    <n v="4"/>
  </r>
  <r>
    <s v="ORD_000662"/>
    <s v="CUST_00662"/>
    <d v="2023-12-06T00:00:00"/>
    <n v="28"/>
    <s v="Female"/>
    <s v="Ankara"/>
    <x v="1"/>
    <n v="260.92"/>
    <n v="4"/>
    <n v="1043.68"/>
    <n v="0"/>
    <n v="0"/>
    <n v="1043.68"/>
    <s v="Debit Card"/>
    <s v="Mobile"/>
    <n v="33"/>
    <n v="9"/>
    <b v="0"/>
    <x v="1"/>
    <n v="21"/>
    <x v="3"/>
    <x v="1"/>
    <n v="5"/>
  </r>
  <r>
    <s v="ORD_000663"/>
    <s v="CUST_00663"/>
    <d v="2024-03-10T00:00:00"/>
    <n v="34"/>
    <s v="Male"/>
    <s v="Kayseri"/>
    <x v="1"/>
    <n v="396.31"/>
    <n v="1"/>
    <n v="396.31"/>
    <n v="95.49"/>
    <n v="0.24094774292851553"/>
    <n v="300.82"/>
    <s v="Digital Wallet"/>
    <s v="Mobile"/>
    <n v="5"/>
    <n v="7"/>
    <b v="0"/>
    <x v="1"/>
    <n v="6"/>
    <x v="2"/>
    <x v="1"/>
    <n v="5"/>
  </r>
  <r>
    <s v="ORD_000664"/>
    <s v="CUST_00664"/>
    <d v="2023-03-05T00:00:00"/>
    <n v="28"/>
    <s v="Female"/>
    <s v="Ankara"/>
    <x v="1"/>
    <n v="369.47"/>
    <n v="1"/>
    <n v="369.47"/>
    <n v="0"/>
    <n v="0"/>
    <n v="369.47"/>
    <s v="Debit Card"/>
    <s v="Mobile"/>
    <n v="9"/>
    <n v="8"/>
    <b v="0"/>
    <x v="1"/>
    <n v="5"/>
    <x v="2"/>
    <x v="1"/>
    <n v="4"/>
  </r>
  <r>
    <s v="ORD_000665"/>
    <s v="CUST_00665"/>
    <d v="2024-01-04T00:00:00"/>
    <n v="26"/>
    <s v="Male"/>
    <s v="Antalya"/>
    <x v="6"/>
    <n v="106.38"/>
    <n v="2"/>
    <n v="212.76"/>
    <n v="0"/>
    <n v="0"/>
    <n v="212.76"/>
    <s v="Debit Card"/>
    <s v="Mobile"/>
    <n v="15"/>
    <n v="7"/>
    <b v="1"/>
    <x v="0"/>
    <n v="6"/>
    <x v="2"/>
    <x v="1"/>
    <n v="4"/>
  </r>
  <r>
    <s v="ORD_000666"/>
    <s v="CUST_00666"/>
    <d v="2023-06-03T00:00:00"/>
    <n v="36"/>
    <s v="Male"/>
    <s v="Istanbul"/>
    <x v="6"/>
    <n v="125.12"/>
    <n v="3"/>
    <n v="375.36"/>
    <n v="0"/>
    <n v="0"/>
    <n v="375.36"/>
    <s v="Digital Wallet"/>
    <s v="Mobile"/>
    <n v="27"/>
    <n v="9"/>
    <b v="0"/>
    <x v="1"/>
    <n v="7"/>
    <x v="2"/>
    <x v="0"/>
    <n v="5"/>
  </r>
  <r>
    <s v="ORD_000667"/>
    <s v="CUST_00667"/>
    <d v="2023-09-17T00:00:00"/>
    <n v="31"/>
    <s v="Female"/>
    <s v="Istanbul"/>
    <x v="3"/>
    <n v="48.43"/>
    <n v="2"/>
    <n v="96.86"/>
    <n v="9.27"/>
    <n v="9.5705141441255415E-2"/>
    <n v="87.59"/>
    <s v="Credit Card"/>
    <s v="Tablet"/>
    <n v="24"/>
    <n v="9"/>
    <b v="0"/>
    <x v="1"/>
    <n v="4"/>
    <x v="2"/>
    <x v="1"/>
    <n v="1"/>
  </r>
  <r>
    <s v="ORD_000668"/>
    <s v="CUST_00668"/>
    <d v="2023-06-08T00:00:00"/>
    <n v="53"/>
    <s v="Female"/>
    <s v="Adana"/>
    <x v="7"/>
    <n v="226.36"/>
    <n v="1"/>
    <n v="226.36"/>
    <n v="0"/>
    <n v="0"/>
    <n v="226.36"/>
    <s v="Debit Card"/>
    <s v="Mobile"/>
    <n v="14"/>
    <n v="11"/>
    <b v="0"/>
    <x v="1"/>
    <n v="7"/>
    <x v="2"/>
    <x v="2"/>
    <n v="4"/>
  </r>
  <r>
    <s v="ORD_000669"/>
    <s v="CUST_00669"/>
    <d v="2023-12-08T00:00:00"/>
    <n v="18"/>
    <s v="Male"/>
    <s v="Bursa"/>
    <x v="0"/>
    <n v="132.66999999999999"/>
    <n v="2"/>
    <n v="265.33999999999997"/>
    <n v="0"/>
    <n v="0"/>
    <n v="265.33999999999997"/>
    <s v="Digital Wallet"/>
    <s v="Mobile"/>
    <n v="5"/>
    <n v="7"/>
    <b v="1"/>
    <x v="0"/>
    <n v="6"/>
    <x v="2"/>
    <x v="3"/>
    <n v="5"/>
  </r>
  <r>
    <s v="ORD_000670"/>
    <s v="CUST_00670"/>
    <d v="2023-07-29T00:00:00"/>
    <n v="48"/>
    <s v="Male"/>
    <s v="Kayseri"/>
    <x v="4"/>
    <n v="126.72"/>
    <n v="1"/>
    <n v="126.72"/>
    <n v="0"/>
    <n v="0"/>
    <n v="126.72"/>
    <s v="Digital Wallet"/>
    <s v="Mobile"/>
    <n v="10"/>
    <n v="10"/>
    <b v="1"/>
    <x v="0"/>
    <n v="10"/>
    <x v="0"/>
    <x v="2"/>
    <n v="5"/>
  </r>
  <r>
    <s v="ORD_000671"/>
    <s v="CUST_00671"/>
    <d v="2023-06-17T00:00:00"/>
    <n v="49"/>
    <s v="Female"/>
    <s v="Izmir"/>
    <x v="5"/>
    <n v="258.63"/>
    <n v="5"/>
    <n v="1293.1500000000001"/>
    <n v="0"/>
    <n v="0"/>
    <n v="1293.1500000000001"/>
    <s v="Debit Card"/>
    <s v="Mobile"/>
    <n v="16"/>
    <n v="7"/>
    <b v="1"/>
    <x v="0"/>
    <n v="5"/>
    <x v="2"/>
    <x v="2"/>
    <n v="4"/>
  </r>
  <r>
    <s v="ORD_000672"/>
    <s v="CUST_00672"/>
    <d v="2023-07-26T00:00:00"/>
    <n v="18"/>
    <s v="Male"/>
    <s v="Konya"/>
    <x v="1"/>
    <n v="142.38999999999999"/>
    <n v="1"/>
    <n v="142.38999999999999"/>
    <n v="0"/>
    <n v="0"/>
    <n v="142.38999999999999"/>
    <s v="Debit Card"/>
    <s v="Mobile"/>
    <n v="19"/>
    <n v="10"/>
    <b v="0"/>
    <x v="1"/>
    <n v="7"/>
    <x v="2"/>
    <x v="3"/>
    <n v="3"/>
  </r>
  <r>
    <s v="ORD_000673"/>
    <s v="CUST_00673"/>
    <d v="2023-12-23T00:00:00"/>
    <n v="30"/>
    <s v="Male"/>
    <s v="Izmir"/>
    <x v="3"/>
    <n v="247.09"/>
    <n v="5"/>
    <n v="1235.45"/>
    <n v="0"/>
    <n v="0"/>
    <n v="1235.45"/>
    <s v="Credit Card"/>
    <s v="Mobile"/>
    <n v="26"/>
    <n v="9"/>
    <b v="1"/>
    <x v="0"/>
    <n v="8"/>
    <x v="0"/>
    <x v="1"/>
    <n v="3"/>
  </r>
  <r>
    <s v="ORD_000674"/>
    <s v="CUST_00674"/>
    <d v="2023-06-01T00:00:00"/>
    <n v="30"/>
    <s v="Male"/>
    <s v="Eskisehir"/>
    <x v="5"/>
    <n v="1458.12"/>
    <n v="2"/>
    <n v="2916.24"/>
    <n v="0"/>
    <n v="0"/>
    <n v="2916.24"/>
    <s v="Bank Transfer"/>
    <s v="Mobile"/>
    <n v="13"/>
    <n v="8"/>
    <b v="1"/>
    <x v="0"/>
    <n v="10"/>
    <x v="0"/>
    <x v="1"/>
    <n v="4"/>
  </r>
  <r>
    <s v="ORD_000675"/>
    <s v="CUST_00675"/>
    <d v="2023-10-11T00:00:00"/>
    <n v="18"/>
    <s v="Male"/>
    <s v="Kayseri"/>
    <x v="6"/>
    <n v="609.87"/>
    <n v="4"/>
    <n v="2439.48"/>
    <n v="0"/>
    <n v="0"/>
    <n v="2439.48"/>
    <s v="Credit Card"/>
    <s v="Desktop"/>
    <n v="6"/>
    <n v="10"/>
    <b v="1"/>
    <x v="0"/>
    <n v="4"/>
    <x v="2"/>
    <x v="3"/>
    <n v="3"/>
  </r>
  <r>
    <s v="ORD_000676"/>
    <s v="CUST_00676"/>
    <d v="2023-03-07T00:00:00"/>
    <n v="25"/>
    <s v="Female"/>
    <s v="Ankara"/>
    <x v="7"/>
    <n v="340.59"/>
    <n v="5"/>
    <n v="1702.9499999999998"/>
    <n v="0"/>
    <n v="0"/>
    <n v="1702.95"/>
    <s v="Digital Wallet"/>
    <s v="Mobile"/>
    <n v="5"/>
    <n v="8"/>
    <b v="1"/>
    <x v="0"/>
    <n v="7"/>
    <x v="2"/>
    <x v="3"/>
    <n v="3"/>
  </r>
  <r>
    <s v="ORD_000677"/>
    <s v="CUST_00677"/>
    <d v="2023-04-09T00:00:00"/>
    <n v="21"/>
    <s v="Male"/>
    <s v="Konya"/>
    <x v="4"/>
    <n v="934.88"/>
    <n v="5"/>
    <n v="4674.3999999999996"/>
    <n v="0"/>
    <n v="0"/>
    <n v="4674.3999999999996"/>
    <s v="Credit Card"/>
    <s v="Desktop"/>
    <n v="12"/>
    <n v="6"/>
    <b v="1"/>
    <x v="0"/>
    <n v="5"/>
    <x v="2"/>
    <x v="3"/>
    <n v="4"/>
  </r>
  <r>
    <s v="ORD_000678"/>
    <s v="CUST_00678"/>
    <d v="2023-08-04T00:00:00"/>
    <n v="56"/>
    <s v="Male"/>
    <s v="Gaziantep"/>
    <x v="0"/>
    <n v="120.98"/>
    <n v="3"/>
    <n v="362.94"/>
    <n v="0"/>
    <n v="0"/>
    <n v="362.94"/>
    <s v="Credit Card"/>
    <s v="Desktop"/>
    <n v="21"/>
    <n v="11"/>
    <b v="0"/>
    <x v="1"/>
    <n v="2"/>
    <x v="1"/>
    <x v="4"/>
    <n v="4"/>
  </r>
  <r>
    <s v="ORD_000679"/>
    <s v="CUST_00679"/>
    <d v="2023-12-07T00:00:00"/>
    <n v="46"/>
    <s v="Female"/>
    <s v="Istanbul"/>
    <x v="0"/>
    <n v="216.03"/>
    <n v="1"/>
    <n v="216.03"/>
    <n v="0"/>
    <n v="0"/>
    <n v="216.03"/>
    <s v="Credit Card"/>
    <s v="Tablet"/>
    <n v="13"/>
    <n v="8"/>
    <b v="0"/>
    <x v="1"/>
    <n v="6"/>
    <x v="2"/>
    <x v="2"/>
    <n v="3"/>
  </r>
  <r>
    <s v="ORD_000680"/>
    <s v="CUST_00680"/>
    <d v="2023-07-14T00:00:00"/>
    <n v="50"/>
    <s v="Female"/>
    <s v="Antalya"/>
    <x v="6"/>
    <n v="92.87"/>
    <n v="4"/>
    <n v="371.48"/>
    <n v="0"/>
    <n v="0"/>
    <n v="371.48"/>
    <s v="Digital Wallet"/>
    <s v="Mobile"/>
    <n v="4"/>
    <n v="11"/>
    <b v="1"/>
    <x v="0"/>
    <n v="2"/>
    <x v="1"/>
    <x v="2"/>
    <n v="1"/>
  </r>
  <r>
    <s v="ORD_000681"/>
    <s v="CUST_00681"/>
    <d v="2023-12-13T00:00:00"/>
    <n v="43"/>
    <s v="Male"/>
    <s v="Istanbul"/>
    <x v="3"/>
    <n v="95.35"/>
    <n v="3"/>
    <n v="286.04999999999995"/>
    <n v="0"/>
    <n v="0"/>
    <n v="286.05"/>
    <s v="Credit Card"/>
    <s v="Tablet"/>
    <n v="11"/>
    <n v="9"/>
    <b v="0"/>
    <x v="1"/>
    <n v="10"/>
    <x v="0"/>
    <x v="0"/>
    <n v="1"/>
  </r>
  <r>
    <s v="ORD_000682"/>
    <s v="CUST_00682"/>
    <d v="2024-01-19T00:00:00"/>
    <n v="21"/>
    <s v="Male"/>
    <s v="Gaziantep"/>
    <x v="1"/>
    <n v="208.35"/>
    <n v="1"/>
    <n v="208.35"/>
    <n v="0"/>
    <n v="0"/>
    <n v="208.35"/>
    <s v="Credit Card"/>
    <s v="Desktop"/>
    <n v="25"/>
    <n v="4"/>
    <b v="0"/>
    <x v="1"/>
    <n v="3"/>
    <x v="1"/>
    <x v="3"/>
    <n v="3"/>
  </r>
  <r>
    <s v="ORD_000683"/>
    <s v="CUST_00683"/>
    <d v="2023-03-31T00:00:00"/>
    <n v="28"/>
    <s v="Male"/>
    <s v="Istanbul"/>
    <x v="1"/>
    <n v="399.82"/>
    <n v="2"/>
    <n v="799.64"/>
    <n v="70.66"/>
    <n v="8.8364764143864738E-2"/>
    <n v="728.98"/>
    <s v="Credit Card"/>
    <s v="Mobile"/>
    <n v="3"/>
    <n v="12"/>
    <b v="1"/>
    <x v="0"/>
    <n v="4"/>
    <x v="2"/>
    <x v="1"/>
    <n v="3"/>
  </r>
  <r>
    <s v="ORD_000684"/>
    <s v="CUST_00684"/>
    <d v="2023-11-12T00:00:00"/>
    <n v="40"/>
    <s v="Female"/>
    <s v="Istanbul"/>
    <x v="0"/>
    <n v="152.36000000000001"/>
    <n v="1"/>
    <n v="152.36000000000001"/>
    <n v="0"/>
    <n v="0"/>
    <n v="152.36000000000001"/>
    <s v="Credit Card"/>
    <s v="Mobile"/>
    <n v="11"/>
    <n v="8"/>
    <b v="1"/>
    <x v="0"/>
    <n v="9"/>
    <x v="0"/>
    <x v="0"/>
    <n v="4"/>
  </r>
  <r>
    <s v="ORD_000685"/>
    <s v="CUST_00685"/>
    <d v="2023-10-19T00:00:00"/>
    <n v="20"/>
    <s v="Female"/>
    <s v="Izmir"/>
    <x v="1"/>
    <n v="608.26"/>
    <n v="1"/>
    <n v="608.26"/>
    <n v="83.46"/>
    <n v="0.13721106105941538"/>
    <n v="524.79999999999995"/>
    <s v="Credit Card"/>
    <s v="Desktop"/>
    <n v="24"/>
    <n v="4"/>
    <b v="1"/>
    <x v="0"/>
    <n v="6"/>
    <x v="2"/>
    <x v="3"/>
    <n v="4"/>
  </r>
  <r>
    <s v="ORD_000686"/>
    <s v="CUST_00686"/>
    <d v="2023-06-04T00:00:00"/>
    <n v="43"/>
    <s v="Female"/>
    <s v="Bursa"/>
    <x v="0"/>
    <n v="37.340000000000003"/>
    <n v="4"/>
    <n v="149.36000000000001"/>
    <n v="3.78"/>
    <n v="2.5307980717728974E-2"/>
    <n v="145.58000000000001"/>
    <s v="Credit Card"/>
    <s v="Desktop"/>
    <n v="8"/>
    <n v="7"/>
    <b v="1"/>
    <x v="0"/>
    <n v="11"/>
    <x v="0"/>
    <x v="0"/>
    <n v="4"/>
  </r>
  <r>
    <s v="ORD_000687"/>
    <s v="CUST_00687"/>
    <d v="2023-07-27T00:00:00"/>
    <n v="32"/>
    <s v="Female"/>
    <s v="Konya"/>
    <x v="3"/>
    <n v="54.07"/>
    <n v="1"/>
    <n v="54.07"/>
    <n v="0"/>
    <n v="0"/>
    <n v="54.07"/>
    <s v="Digital Wallet"/>
    <s v="Mobile"/>
    <n v="14"/>
    <n v="12"/>
    <b v="0"/>
    <x v="1"/>
    <n v="8"/>
    <x v="0"/>
    <x v="1"/>
    <n v="5"/>
  </r>
  <r>
    <s v="ORD_000688"/>
    <s v="CUST_00688"/>
    <d v="2023-10-08T00:00:00"/>
    <n v="30"/>
    <s v="Female"/>
    <s v="Eskisehir"/>
    <x v="6"/>
    <n v="230.67"/>
    <n v="1"/>
    <n v="230.67"/>
    <n v="0"/>
    <n v="0"/>
    <n v="230.67"/>
    <s v="Debit Card"/>
    <s v="Tablet"/>
    <n v="20"/>
    <n v="7"/>
    <b v="0"/>
    <x v="1"/>
    <n v="8"/>
    <x v="0"/>
    <x v="1"/>
    <n v="4"/>
  </r>
  <r>
    <s v="ORD_000689"/>
    <s v="CUST_00689"/>
    <d v="2024-03-02T00:00:00"/>
    <n v="43"/>
    <s v="Female"/>
    <s v="Izmir"/>
    <x v="5"/>
    <n v="565.04999999999995"/>
    <n v="1"/>
    <n v="565.04999999999995"/>
    <n v="155.21"/>
    <n v="0.27468365631360059"/>
    <n v="409.84"/>
    <s v="Debit Card"/>
    <s v="Mobile"/>
    <n v="38"/>
    <n v="8"/>
    <b v="0"/>
    <x v="1"/>
    <n v="5"/>
    <x v="2"/>
    <x v="0"/>
    <n v="2"/>
  </r>
  <r>
    <s v="ORD_000690"/>
    <s v="CUST_00690"/>
    <d v="2023-01-01T00:00:00"/>
    <n v="40"/>
    <s v="Female"/>
    <s v="Istanbul"/>
    <x v="7"/>
    <n v="755.61"/>
    <n v="5"/>
    <n v="3778.05"/>
    <n v="0"/>
    <n v="0"/>
    <n v="3778.05"/>
    <s v="Cash on Delivery"/>
    <s v="Desktop"/>
    <n v="21"/>
    <n v="10"/>
    <b v="1"/>
    <x v="0"/>
    <n v="7"/>
    <x v="2"/>
    <x v="0"/>
    <n v="4"/>
  </r>
  <r>
    <s v="ORD_000691"/>
    <s v="CUST_00691"/>
    <d v="2023-06-05T00:00:00"/>
    <n v="30"/>
    <s v="Male"/>
    <s v="Adana"/>
    <x v="4"/>
    <n v="584.54999999999995"/>
    <n v="1"/>
    <n v="584.54999999999995"/>
    <n v="0"/>
    <n v="0"/>
    <n v="584.54999999999995"/>
    <s v="Debit Card"/>
    <s v="Tablet"/>
    <n v="6"/>
    <n v="12"/>
    <b v="0"/>
    <x v="1"/>
    <n v="5"/>
    <x v="2"/>
    <x v="1"/>
    <n v="5"/>
  </r>
  <r>
    <s v="ORD_000692"/>
    <s v="CUST_00692"/>
    <d v="2023-05-27T00:00:00"/>
    <n v="48"/>
    <s v="Other"/>
    <s v="Bursa"/>
    <x v="0"/>
    <n v="136.6"/>
    <n v="3"/>
    <n v="409.79999999999995"/>
    <n v="27.29"/>
    <n v="6.6593460224499759E-2"/>
    <n v="382.51"/>
    <s v="Bank Transfer"/>
    <s v="Mobile"/>
    <n v="28"/>
    <n v="6"/>
    <b v="1"/>
    <x v="0"/>
    <n v="7"/>
    <x v="2"/>
    <x v="2"/>
    <n v="5"/>
  </r>
  <r>
    <s v="ORD_000693"/>
    <s v="CUST_00693"/>
    <d v="2023-04-18T00:00:00"/>
    <n v="22"/>
    <s v="Male"/>
    <s v="Izmir"/>
    <x v="7"/>
    <n v="914.24"/>
    <n v="1"/>
    <n v="914.24"/>
    <n v="0"/>
    <n v="0"/>
    <n v="914.24"/>
    <s v="Credit Card"/>
    <s v="Mobile"/>
    <n v="15"/>
    <n v="14"/>
    <b v="0"/>
    <x v="1"/>
    <n v="12"/>
    <x v="0"/>
    <x v="3"/>
    <n v="3"/>
  </r>
  <r>
    <s v="ORD_000694"/>
    <s v="CUST_00694"/>
    <d v="2023-08-09T00:00:00"/>
    <n v="42"/>
    <s v="Male"/>
    <s v="Ankara"/>
    <x v="6"/>
    <n v="161.82"/>
    <n v="1"/>
    <n v="161.82"/>
    <n v="0"/>
    <n v="0"/>
    <n v="161.82"/>
    <s v="Debit Card"/>
    <s v="Desktop"/>
    <n v="6"/>
    <n v="9"/>
    <b v="1"/>
    <x v="0"/>
    <n v="8"/>
    <x v="0"/>
    <x v="0"/>
    <n v="3"/>
  </r>
  <r>
    <s v="ORD_000695"/>
    <s v="CUST_00695"/>
    <d v="2024-02-07T00:00:00"/>
    <n v="42"/>
    <s v="Female"/>
    <s v="Izmir"/>
    <x v="1"/>
    <n v="94.57"/>
    <n v="1"/>
    <n v="94.57"/>
    <n v="0"/>
    <n v="0"/>
    <n v="94.57"/>
    <s v="Credit Card"/>
    <s v="Desktop"/>
    <n v="3"/>
    <n v="11"/>
    <b v="1"/>
    <x v="0"/>
    <n v="7"/>
    <x v="2"/>
    <x v="0"/>
    <n v="4"/>
  </r>
  <r>
    <s v="ORD_000696"/>
    <s v="CUST_00696"/>
    <d v="2023-10-24T00:00:00"/>
    <n v="31"/>
    <s v="Male"/>
    <s v="Ankara"/>
    <x v="7"/>
    <n v="178.05"/>
    <n v="1"/>
    <n v="178.05"/>
    <n v="0"/>
    <n v="0"/>
    <n v="178.05"/>
    <s v="Debit Card"/>
    <s v="Desktop"/>
    <n v="5"/>
    <n v="7"/>
    <b v="0"/>
    <x v="1"/>
    <n v="11"/>
    <x v="0"/>
    <x v="1"/>
    <n v="4"/>
  </r>
  <r>
    <s v="ORD_000697"/>
    <s v="CUST_00697"/>
    <d v="2023-11-07T00:00:00"/>
    <n v="38"/>
    <s v="Female"/>
    <s v="Adana"/>
    <x v="5"/>
    <n v="1499.61"/>
    <n v="1"/>
    <n v="1499.61"/>
    <n v="0"/>
    <n v="0"/>
    <n v="1499.61"/>
    <s v="Debit Card"/>
    <s v="Mobile"/>
    <n v="9"/>
    <n v="8"/>
    <b v="0"/>
    <x v="1"/>
    <n v="6"/>
    <x v="2"/>
    <x v="0"/>
    <n v="4"/>
  </r>
  <r>
    <s v="ORD_000698"/>
    <s v="CUST_00698"/>
    <d v="2023-12-02T00:00:00"/>
    <n v="19"/>
    <s v="Female"/>
    <s v="Bursa"/>
    <x v="2"/>
    <n v="65.7"/>
    <n v="3"/>
    <n v="197.10000000000002"/>
    <n v="0"/>
    <n v="0"/>
    <n v="197.1"/>
    <s v="Credit Card"/>
    <s v="Desktop"/>
    <n v="13"/>
    <n v="4"/>
    <b v="1"/>
    <x v="0"/>
    <n v="4"/>
    <x v="2"/>
    <x v="3"/>
    <n v="4"/>
  </r>
  <r>
    <s v="ORD_000699"/>
    <s v="CUST_00699"/>
    <d v="2023-06-14T00:00:00"/>
    <n v="46"/>
    <s v="Male"/>
    <s v="Konya"/>
    <x v="6"/>
    <n v="116.5"/>
    <n v="2"/>
    <n v="233"/>
    <n v="10"/>
    <n v="4.2918454935622317E-2"/>
    <n v="223"/>
    <s v="Digital Wallet"/>
    <s v="Mobile"/>
    <n v="15"/>
    <n v="11"/>
    <b v="0"/>
    <x v="1"/>
    <n v="11"/>
    <x v="0"/>
    <x v="2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D6F8D-E7A1-4F98-9A7C-B09282F81435}" name="PivotTable6" cacheId="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E15:F19" firstHeaderRow="1" firstDataRow="1" firstDataCol="1"/>
  <pivotFields count="23"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1" outline="0" showAll="0"/>
    <pivotField compact="0" numFmtId="1" outline="0" showAll="0"/>
    <pivotField compact="0" numFmtId="2" outline="0" showAll="0"/>
    <pivotField compact="0" numFmtId="9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dataField="1" compact="0" numFmtId="1" outline="0" showAll="0"/>
  </pivotFields>
  <rowFields count="1">
    <field x="20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CUSTOMER RATING" fld="22" subtotal="average" baseField="0" baseItem="0" numFmtId="1"/>
  </dataFields>
  <formats count="14">
    <format dxfId="50">
      <pivotArea field="20" type="button" dataOnly="0" labelOnly="1" outline="0" axis="axisRow" fieldPosition="0"/>
    </format>
    <format dxfId="51">
      <pivotArea dataOnly="0" labelOnly="1" outline="0" axis="axisValues" fieldPosition="0"/>
    </format>
    <format dxfId="52">
      <pivotArea type="all" dataOnly="0" outline="0" fieldPosition="0"/>
    </format>
    <format dxfId="53">
      <pivotArea outline="0" collapsedLevelsAreSubtotals="1" fieldPosition="0"/>
    </format>
    <format dxfId="54">
      <pivotArea field="20" type="button" dataOnly="0" labelOnly="1" outline="0" axis="axisRow" fieldPosition="0"/>
    </format>
    <format dxfId="55">
      <pivotArea dataOnly="0" labelOnly="1" outline="0" fieldPosition="0">
        <references count="1">
          <reference field="20" count="0"/>
        </references>
      </pivotArea>
    </format>
    <format dxfId="56">
      <pivotArea dataOnly="0" labelOnly="1" outline="0" axis="axisValues" fieldPosition="0"/>
    </format>
    <format dxfId="57">
      <pivotArea outline="0" collapsedLevelsAreSubtotals="1" fieldPosition="0"/>
    </format>
    <format dxfId="58">
      <pivotArea dataOnly="0" labelOnly="1" outline="0" fieldPosition="0">
        <references count="1">
          <reference field="20" count="0"/>
        </references>
      </pivotArea>
    </format>
    <format dxfId="59">
      <pivotArea dataOnly="0" labelOnly="1" outline="0" axis="axisValues" fieldPosition="0"/>
    </format>
    <format dxfId="60">
      <pivotArea dataOnly="0" labelOnly="1" outline="0" axis="axisValues" fieldPosition="0"/>
    </format>
    <format dxfId="61">
      <pivotArea dataOnly="0" labelOnly="1" outline="0" axis="axisValues" fieldPosition="0"/>
    </format>
    <format dxfId="62">
      <pivotArea field="20" type="button" dataOnly="0" labelOnly="1" outline="0" axis="axisRow" fieldPosition="0"/>
    </format>
    <format dxfId="63">
      <pivotArea field="20" type="button" dataOnly="0" labelOnly="1" outline="0" axis="axisRow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81B04-5D48-411A-B2AD-2464D977786F}" name="PivotTable4" cacheId="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15:C17" firstHeaderRow="0" firstDataRow="1" firstDataCol="1"/>
  <pivotFields count="23"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1" outline="0" showAll="0"/>
    <pivotField compact="0" numFmtId="1" outline="0" showAll="0"/>
    <pivotField compact="0" numFmtId="2" outline="0" showAll="0"/>
    <pivotField compact="0" numFmtId="9" outline="0" showAll="0"/>
    <pivotField compact="0" numFmtId="2" outline="0" showAll="0"/>
    <pivotField compact="0" outline="0" showAll="0"/>
    <pivotField compact="0" outline="0" showAll="0"/>
    <pivotField dataField="1" compact="0" numFmtId="1" outline="0" showAll="0"/>
    <pivotField dataField="1" compact="0" numFmtId="1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numFmtId="1" outline="0" showAll="0"/>
    <pivotField compact="0" outline="0" showAll="0"/>
    <pivotField compact="0" outline="0" showAll="0"/>
    <pivotField compact="0" numFmtId="1" outline="0" showAll="0"/>
  </pivotFields>
  <rowFields count="1">
    <field x="18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Average of SESSION DURATION IN MINUTES" fld="15" subtotal="average" baseField="0" baseItem="0" numFmtId="1"/>
    <dataField name="Average of PAGES VIEWED" fld="16" subtotal="average" baseField="0" baseItem="0" numFmtId="1"/>
  </dataFields>
  <formats count="18">
    <format dxfId="32">
      <pivotArea dataOnly="0" labelOnly="1" outline="0" axis="axisValues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field="18" type="button" dataOnly="0" labelOnly="1" outline="0" axis="axisRow" fieldPosition="0"/>
    </format>
    <format dxfId="36">
      <pivotArea dataOnly="0" labelOnly="1" outline="0" fieldPosition="0">
        <references count="1">
          <reference field="18" count="0"/>
        </references>
      </pivotArea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dataOnly="0" labelOnly="1" outline="0" fieldPosition="0">
        <references count="1">
          <reference field="18" count="0"/>
        </references>
      </pivotArea>
    </format>
    <format dxfId="41">
      <pivotArea field="18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">
      <pivotArea field="18" type="button" dataOnly="0" labelOnly="1" outline="0" axis="axisRow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FF7A4-A445-4DCF-A97D-DCD3A02C48E8}" name="PivotTable3" cacheId="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G3:H5" firstHeaderRow="1" firstDataRow="1" firstDataCol="1"/>
  <pivotFields count="23"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1" outline="0" showAll="0"/>
    <pivotField compact="0" numFmtId="1" outline="0" showAll="0"/>
    <pivotField compact="0" numFmtId="2" outline="0" showAll="0"/>
    <pivotField compact="0" numFmtId="9" outline="0" showAll="0"/>
    <pivotField dataField="1" compact="0" numFmtId="2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numFmtId="1" outline="0" showAll="0"/>
    <pivotField compact="0" outline="0" showAll="0"/>
    <pivotField compact="0" outline="0" showAll="0"/>
    <pivotField compact="0" numFmtId="1" outline="0" showAll="0"/>
  </pivotFields>
  <rowFields count="1">
    <field x="18"/>
  </rowFields>
  <rowItems count="2">
    <i>
      <x/>
    </i>
    <i>
      <x v="1"/>
    </i>
  </rowItems>
  <colItems count="1">
    <i/>
  </colItems>
  <dataFields count="1">
    <dataField name="TOTAL SALE" fld="12" baseField="0" baseItem="0" numFmtId="2"/>
  </dataFields>
  <formats count="11">
    <format dxfId="21">
      <pivotArea type="all" dataOnly="0" outline="0" fieldPosition="0"/>
    </format>
    <format dxfId="22">
      <pivotArea outline="0" collapsedLevelsAreSubtotals="1" fieldPosition="0"/>
    </format>
    <format dxfId="23">
      <pivotArea dataOnly="0" labelOnly="1" outline="0" fieldPosition="0">
        <references count="1">
          <reference field="18" count="0"/>
        </references>
      </pivotArea>
    </format>
    <format dxfId="24">
      <pivotArea field="18" type="button" dataOnly="0" labelOnly="1" outline="0" axis="axisRow" fieldPosition="0"/>
    </format>
    <format dxfId="25">
      <pivotArea dataOnly="0" labelOnly="1" outline="0" axis="axisValues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18" type="button" dataOnly="0" labelOnly="1" outline="0" axis="axisRow" fieldPosition="0"/>
    </format>
    <format dxfId="29">
      <pivotArea dataOnly="0" labelOnly="1" outline="0" fieldPosition="0">
        <references count="1">
          <reference field="18" count="0"/>
        </references>
      </pivotArea>
    </format>
    <format dxfId="30">
      <pivotArea dataOnly="0" labelOnly="1" outline="0" axis="axisValues" fieldPosition="0"/>
    </format>
    <format dxfId="31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8E358-F6DC-41B6-A1A2-BF37A36938A3}" name="PivotTable2" cacheId="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D3:E11" firstHeaderRow="1" firstDataRow="1" firstDataCol="1"/>
  <pivotFields count="23"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3"/>
        <item x="2"/>
        <item x="5"/>
        <item x="1"/>
        <item x="0"/>
        <item x="4"/>
        <item x="7"/>
        <item x="6"/>
        <item t="default"/>
      </items>
    </pivotField>
    <pivotField compact="0" numFmtId="2" outline="0" showAll="0"/>
    <pivotField compact="0" numFmtId="1" outline="0" showAll="0"/>
    <pivotField compact="0" numFmtId="1" outline="0" showAll="0"/>
    <pivotField compact="0" numFmtId="2" outline="0" showAll="0"/>
    <pivotField compact="0" numFmtId="9" outline="0" showAll="0"/>
    <pivotField dataField="1" compact="0" numFmtId="2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numFmtId="1" outline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TOTAL AMOUNT of SALES" fld="12" baseField="0" baseItem="0" numFmtId="2"/>
  </dataFields>
  <formats count="10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6" type="button" dataOnly="0" labelOnly="1" outline="0" axis="axisRow" fieldPosition="0"/>
    </format>
    <format dxfId="14">
      <pivotArea dataOnly="0" labelOnly="1" outline="0" fieldPosition="0">
        <references count="1">
          <reference field="6" count="0"/>
        </references>
      </pivotArea>
    </format>
    <format dxfId="15">
      <pivotArea dataOnly="0" labelOnly="1" outline="0" axis="axisValues" fieldPosition="0"/>
    </format>
    <format dxfId="16">
      <pivotArea field="6" type="button" dataOnly="0" labelOnly="1" outline="0" axis="axisRow" fieldPosition="0"/>
    </format>
    <format dxfId="17">
      <pivotArea dataOnly="0" labelOnly="1" outline="0" axis="axisValues" fieldPosition="0"/>
    </format>
    <format dxfId="18">
      <pivotArea outline="0" collapsedLevelsAreSubtotals="1" fieldPosition="0"/>
    </format>
    <format dxfId="19">
      <pivotArea dataOnly="0" labelOnly="1" outline="0" fieldPosition="0">
        <references count="1">
          <reference field="6" count="0"/>
        </references>
      </pivotArea>
    </format>
    <format dxfId="2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4FDB8-ECC3-4CCD-814C-24B434103C43}" name="PivotTable1" cacheId="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9" firstHeaderRow="1" firstDataRow="1" firstDataCol="1"/>
  <pivotFields count="23"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1" outline="0" showAll="0"/>
    <pivotField compact="0" numFmtId="1" outline="0" showAll="0"/>
    <pivotField compact="0" numFmtId="2" outline="0" showAll="0"/>
    <pivotField compact="0" numFmtId="9" outline="0" showAll="0"/>
    <pivotField dataField="1" compact="0" numFmtId="2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axis="axisRow" compact="0" outline="0" showAll="0">
      <items count="7">
        <item x="3"/>
        <item x="1"/>
        <item x="0"/>
        <item x="2"/>
        <item x="4"/>
        <item x="5"/>
        <item t="default"/>
      </items>
    </pivotField>
    <pivotField compact="0" numFmtId="1" outline="0"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TOTAL SALES" fld="12" baseField="0" baseItem="0" numFmtId="2"/>
  </dataFields>
  <formats count="11">
    <format dxfId="0">
      <pivotArea field="21" type="button" dataOnly="0" labelOnly="1" outline="0" axis="axisRow" fieldPosition="0"/>
    </format>
    <format dxfId="1">
      <pivotArea dataOnly="0" labelOnly="1" outline="0" axis="axisValues" fieldPosition="0"/>
    </format>
    <format dxfId="2">
      <pivotArea outline="0" fieldPosition="0">
        <references count="1">
          <reference field="21" count="0" selected="0"/>
        </references>
      </pivotArea>
    </format>
    <format dxfId="3">
      <pivotArea dataOnly="0" labelOnly="1" outline="0" fieldPosition="0">
        <references count="1">
          <reference field="21" count="0"/>
        </references>
      </pivotArea>
    </format>
    <format dxfId="4">
      <pivotArea outline="0" fieldPosition="0">
        <references count="1">
          <reference field="21" count="0" selected="0"/>
        </references>
      </pivotArea>
    </format>
    <format dxfId="5">
      <pivotArea field="21" type="button" dataOnly="0" labelOnly="1" outline="0" axis="axisRow" fieldPosition="0"/>
    </format>
    <format dxfId="6">
      <pivotArea dataOnly="0" labelOnly="1" outline="0" fieldPosition="0">
        <references count="1">
          <reference field="21" count="0"/>
        </references>
      </pivotArea>
    </format>
    <format dxfId="7">
      <pivotArea dataOnly="0" labelOnly="1" outline="0" axis="axisValues" fieldPosition="0"/>
    </format>
    <format dxfId="8">
      <pivotArea dataOnly="0" labelOnly="1" outline="0" axis="axisValues" fieldPosition="0"/>
    </format>
    <format dxfId="9">
      <pivotArea field="21" type="button" dataOnly="0" labelOnly="1" outline="0" axis="axisRow" fieldPosition="0"/>
    </format>
    <format dxfId="10">
      <pivotArea field="21" type="button" dataOnly="0" labelOnly="1" outline="0" axis="axisRow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0"/>
  <sheetViews>
    <sheetView workbookViewId="0"/>
  </sheetViews>
  <sheetFormatPr defaultRowHeight="15"/>
  <cols>
    <col min="1" max="1" width="13.42578125" customWidth="1"/>
    <col min="2" max="2" width="12.140625" customWidth="1"/>
    <col min="3" max="3" width="11.28515625" customWidth="1"/>
    <col min="4" max="4" width="4.85546875" customWidth="1"/>
    <col min="15" max="15" width="1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s="1">
        <v>45028</v>
      </c>
      <c r="D2">
        <v>36</v>
      </c>
      <c r="E2" t="s">
        <v>20</v>
      </c>
      <c r="F2" t="s">
        <v>21</v>
      </c>
      <c r="G2" t="s">
        <v>22</v>
      </c>
      <c r="H2">
        <v>88.22</v>
      </c>
      <c r="I2">
        <v>2</v>
      </c>
      <c r="J2">
        <v>0</v>
      </c>
      <c r="K2">
        <v>176.44</v>
      </c>
      <c r="L2" t="s">
        <v>23</v>
      </c>
      <c r="M2" t="s">
        <v>24</v>
      </c>
      <c r="N2">
        <v>19</v>
      </c>
      <c r="O2">
        <v>9</v>
      </c>
      <c r="P2" t="b">
        <v>0</v>
      </c>
      <c r="Q2">
        <v>4</v>
      </c>
      <c r="R2">
        <v>2</v>
      </c>
    </row>
    <row r="3" spans="1:18">
      <c r="A3" t="s">
        <v>25</v>
      </c>
      <c r="B3" t="s">
        <v>26</v>
      </c>
      <c r="C3" s="1">
        <v>45293</v>
      </c>
      <c r="D3">
        <v>21</v>
      </c>
      <c r="E3" t="s">
        <v>20</v>
      </c>
      <c r="F3" t="s">
        <v>27</v>
      </c>
      <c r="G3" t="s">
        <v>28</v>
      </c>
      <c r="H3">
        <v>139.85</v>
      </c>
      <c r="I3">
        <v>2</v>
      </c>
      <c r="J3">
        <v>33.81</v>
      </c>
      <c r="K3">
        <v>245.89</v>
      </c>
      <c r="L3" t="s">
        <v>23</v>
      </c>
      <c r="M3" t="s">
        <v>29</v>
      </c>
      <c r="N3">
        <v>15</v>
      </c>
      <c r="O3">
        <v>6</v>
      </c>
      <c r="P3" t="b">
        <v>0</v>
      </c>
      <c r="Q3">
        <v>7</v>
      </c>
      <c r="R3">
        <v>4</v>
      </c>
    </row>
    <row r="4" spans="1:18">
      <c r="A4" t="s">
        <v>30</v>
      </c>
      <c r="B4" t="s">
        <v>31</v>
      </c>
      <c r="C4" s="1">
        <v>45286</v>
      </c>
      <c r="D4">
        <v>27</v>
      </c>
      <c r="E4" t="s">
        <v>20</v>
      </c>
      <c r="F4" t="s">
        <v>32</v>
      </c>
      <c r="G4" t="s">
        <v>22</v>
      </c>
      <c r="H4">
        <v>230.37</v>
      </c>
      <c r="I4">
        <v>1</v>
      </c>
      <c r="J4">
        <v>0</v>
      </c>
      <c r="K4">
        <v>230.37</v>
      </c>
      <c r="L4" t="s">
        <v>23</v>
      </c>
      <c r="M4" t="s">
        <v>33</v>
      </c>
      <c r="N4">
        <v>3</v>
      </c>
      <c r="O4">
        <v>7</v>
      </c>
      <c r="P4" t="b">
        <v>1</v>
      </c>
      <c r="Q4">
        <v>4</v>
      </c>
      <c r="R4">
        <v>4</v>
      </c>
    </row>
    <row r="5" spans="1:18">
      <c r="A5" t="s">
        <v>34</v>
      </c>
      <c r="B5" t="s">
        <v>35</v>
      </c>
      <c r="C5" s="1">
        <v>44930</v>
      </c>
      <c r="D5">
        <v>18</v>
      </c>
      <c r="E5" t="s">
        <v>36</v>
      </c>
      <c r="F5" t="s">
        <v>21</v>
      </c>
      <c r="G5" t="s">
        <v>37</v>
      </c>
      <c r="H5">
        <v>78.209999999999994</v>
      </c>
      <c r="I5">
        <v>5</v>
      </c>
      <c r="J5">
        <v>0</v>
      </c>
      <c r="K5">
        <v>391.05</v>
      </c>
      <c r="L5" t="s">
        <v>23</v>
      </c>
      <c r="M5" t="s">
        <v>33</v>
      </c>
      <c r="N5">
        <v>9</v>
      </c>
      <c r="O5">
        <v>7</v>
      </c>
      <c r="P5" t="b">
        <v>0</v>
      </c>
      <c r="Q5">
        <v>8</v>
      </c>
      <c r="R5">
        <v>4</v>
      </c>
    </row>
    <row r="6" spans="1:18">
      <c r="A6" t="s">
        <v>38</v>
      </c>
      <c r="B6" t="s">
        <v>39</v>
      </c>
      <c r="C6" s="1">
        <v>45284</v>
      </c>
      <c r="D6">
        <v>37</v>
      </c>
      <c r="E6" t="s">
        <v>36</v>
      </c>
      <c r="F6" t="s">
        <v>21</v>
      </c>
      <c r="G6" t="s">
        <v>22</v>
      </c>
      <c r="H6">
        <v>389.46</v>
      </c>
      <c r="I6">
        <v>3</v>
      </c>
      <c r="J6">
        <v>109.42</v>
      </c>
      <c r="K6">
        <v>1058.96</v>
      </c>
      <c r="L6" t="s">
        <v>23</v>
      </c>
      <c r="M6" t="s">
        <v>33</v>
      </c>
      <c r="N6">
        <v>8</v>
      </c>
      <c r="O6">
        <v>6</v>
      </c>
      <c r="P6" t="b">
        <v>1</v>
      </c>
      <c r="Q6">
        <v>6</v>
      </c>
      <c r="R6">
        <v>4</v>
      </c>
    </row>
    <row r="7" spans="1:18">
      <c r="A7" t="s">
        <v>40</v>
      </c>
      <c r="B7" t="s">
        <v>41</v>
      </c>
      <c r="C7" s="1">
        <v>45069</v>
      </c>
      <c r="D7">
        <v>18</v>
      </c>
      <c r="E7" t="s">
        <v>36</v>
      </c>
      <c r="F7" t="s">
        <v>21</v>
      </c>
      <c r="G7" t="s">
        <v>22</v>
      </c>
      <c r="H7">
        <v>133.09</v>
      </c>
      <c r="I7">
        <v>2</v>
      </c>
      <c r="J7">
        <v>24.74</v>
      </c>
      <c r="K7">
        <v>241.44</v>
      </c>
      <c r="L7" t="s">
        <v>23</v>
      </c>
      <c r="M7" t="s">
        <v>33</v>
      </c>
      <c r="N7">
        <v>12</v>
      </c>
      <c r="O7">
        <v>7</v>
      </c>
      <c r="P7" t="b">
        <v>1</v>
      </c>
      <c r="Q7">
        <v>4</v>
      </c>
      <c r="R7">
        <v>5</v>
      </c>
    </row>
    <row r="8" spans="1:18">
      <c r="A8" t="s">
        <v>42</v>
      </c>
      <c r="B8" t="s">
        <v>43</v>
      </c>
      <c r="C8" s="1">
        <v>45006</v>
      </c>
      <c r="D8">
        <v>26</v>
      </c>
      <c r="E8" t="s">
        <v>36</v>
      </c>
      <c r="F8" t="s">
        <v>27</v>
      </c>
      <c r="G8" t="s">
        <v>28</v>
      </c>
      <c r="H8">
        <v>140.24</v>
      </c>
      <c r="I8">
        <v>1</v>
      </c>
      <c r="J8">
        <v>0</v>
      </c>
      <c r="K8">
        <v>140.24</v>
      </c>
      <c r="L8" t="s">
        <v>23</v>
      </c>
      <c r="M8" t="s">
        <v>24</v>
      </c>
      <c r="N8">
        <v>19</v>
      </c>
      <c r="O8">
        <v>8</v>
      </c>
      <c r="P8" t="b">
        <v>1</v>
      </c>
      <c r="Q8">
        <v>5</v>
      </c>
      <c r="R8">
        <v>3</v>
      </c>
    </row>
    <row r="9" spans="1:18">
      <c r="A9" t="s">
        <v>44</v>
      </c>
      <c r="B9" t="s">
        <v>45</v>
      </c>
      <c r="C9" s="1">
        <v>44979</v>
      </c>
      <c r="D9">
        <v>18</v>
      </c>
      <c r="E9" t="s">
        <v>36</v>
      </c>
      <c r="F9" t="s">
        <v>21</v>
      </c>
      <c r="G9" t="s">
        <v>46</v>
      </c>
      <c r="H9">
        <v>466.79</v>
      </c>
      <c r="I9">
        <v>2</v>
      </c>
      <c r="J9">
        <v>0</v>
      </c>
      <c r="K9">
        <v>933.58</v>
      </c>
      <c r="L9" t="s">
        <v>23</v>
      </c>
      <c r="M9" t="s">
        <v>33</v>
      </c>
      <c r="N9">
        <v>13</v>
      </c>
      <c r="O9">
        <v>10</v>
      </c>
      <c r="P9" t="b">
        <v>1</v>
      </c>
      <c r="Q9">
        <v>9</v>
      </c>
      <c r="R9">
        <v>5</v>
      </c>
    </row>
    <row r="10" spans="1:18">
      <c r="A10" t="s">
        <v>47</v>
      </c>
      <c r="B10" t="s">
        <v>48</v>
      </c>
      <c r="C10" s="1">
        <v>45236</v>
      </c>
      <c r="D10">
        <v>24</v>
      </c>
      <c r="E10" t="s">
        <v>36</v>
      </c>
      <c r="F10" t="s">
        <v>49</v>
      </c>
      <c r="G10" t="s">
        <v>37</v>
      </c>
      <c r="H10">
        <v>118.75</v>
      </c>
      <c r="I10">
        <v>1</v>
      </c>
      <c r="J10">
        <v>20.87</v>
      </c>
      <c r="K10">
        <v>97.88</v>
      </c>
      <c r="L10" t="s">
        <v>23</v>
      </c>
      <c r="M10" t="s">
        <v>29</v>
      </c>
      <c r="N10">
        <v>16</v>
      </c>
      <c r="O10">
        <v>9</v>
      </c>
      <c r="P10" t="b">
        <v>0</v>
      </c>
      <c r="Q10">
        <v>8</v>
      </c>
      <c r="R10">
        <v>2</v>
      </c>
    </row>
    <row r="11" spans="1:18">
      <c r="A11" t="s">
        <v>50</v>
      </c>
      <c r="B11" t="s">
        <v>51</v>
      </c>
      <c r="C11" s="1">
        <v>44949</v>
      </c>
      <c r="D11">
        <v>46</v>
      </c>
      <c r="E11" t="s">
        <v>20</v>
      </c>
      <c r="F11" t="s">
        <v>52</v>
      </c>
      <c r="G11" t="s">
        <v>53</v>
      </c>
      <c r="H11">
        <v>19.739999999999998</v>
      </c>
      <c r="I11">
        <v>1</v>
      </c>
      <c r="J11">
        <v>0</v>
      </c>
      <c r="K11">
        <v>19.739999999999998</v>
      </c>
      <c r="L11" t="s">
        <v>23</v>
      </c>
      <c r="M11" t="s">
        <v>33</v>
      </c>
      <c r="N11">
        <v>28</v>
      </c>
      <c r="O11">
        <v>8</v>
      </c>
      <c r="P11" t="b">
        <v>1</v>
      </c>
      <c r="Q11">
        <v>3</v>
      </c>
      <c r="R11">
        <v>5</v>
      </c>
    </row>
    <row r="12" spans="1:18">
      <c r="A12" t="s">
        <v>54</v>
      </c>
      <c r="B12" t="s">
        <v>55</v>
      </c>
      <c r="C12" s="1">
        <v>44967</v>
      </c>
      <c r="D12">
        <v>51</v>
      </c>
      <c r="E12" t="s">
        <v>36</v>
      </c>
      <c r="F12" t="s">
        <v>21</v>
      </c>
      <c r="G12" t="s">
        <v>56</v>
      </c>
      <c r="H12">
        <v>672.23</v>
      </c>
      <c r="I12">
        <v>2</v>
      </c>
      <c r="J12">
        <v>0</v>
      </c>
      <c r="K12">
        <v>1344.46</v>
      </c>
      <c r="L12" t="s">
        <v>23</v>
      </c>
      <c r="M12" t="s">
        <v>24</v>
      </c>
      <c r="N12">
        <v>33</v>
      </c>
      <c r="O12">
        <v>10</v>
      </c>
      <c r="P12" t="b">
        <v>1</v>
      </c>
      <c r="Q12">
        <v>7</v>
      </c>
      <c r="R12">
        <v>4</v>
      </c>
    </row>
    <row r="13" spans="1:18">
      <c r="A13" t="s">
        <v>57</v>
      </c>
      <c r="B13" t="s">
        <v>58</v>
      </c>
      <c r="C13" s="1">
        <v>45351</v>
      </c>
      <c r="D13">
        <v>39</v>
      </c>
      <c r="E13" t="s">
        <v>20</v>
      </c>
      <c r="F13" t="s">
        <v>59</v>
      </c>
      <c r="G13" t="s">
        <v>53</v>
      </c>
      <c r="H13">
        <v>103.32</v>
      </c>
      <c r="I13">
        <v>1</v>
      </c>
      <c r="J13">
        <v>0</v>
      </c>
      <c r="K13">
        <v>103.32</v>
      </c>
      <c r="L13" t="s">
        <v>23</v>
      </c>
      <c r="M13" t="s">
        <v>33</v>
      </c>
      <c r="N13">
        <v>18</v>
      </c>
      <c r="O13">
        <v>8</v>
      </c>
      <c r="P13" t="b">
        <v>1</v>
      </c>
      <c r="Q13">
        <v>1</v>
      </c>
      <c r="R13">
        <v>2</v>
      </c>
    </row>
    <row r="14" spans="1:18">
      <c r="A14" t="s">
        <v>60</v>
      </c>
      <c r="B14" t="s">
        <v>61</v>
      </c>
      <c r="C14" s="1">
        <v>45112</v>
      </c>
      <c r="D14">
        <v>34</v>
      </c>
      <c r="E14" t="s">
        <v>36</v>
      </c>
      <c r="F14" t="s">
        <v>21</v>
      </c>
      <c r="G14" t="s">
        <v>22</v>
      </c>
      <c r="H14">
        <v>437.59</v>
      </c>
      <c r="I14">
        <v>2</v>
      </c>
      <c r="J14">
        <v>0</v>
      </c>
      <c r="K14">
        <v>875.18</v>
      </c>
      <c r="L14" t="s">
        <v>23</v>
      </c>
      <c r="M14" t="s">
        <v>33</v>
      </c>
      <c r="N14">
        <v>10</v>
      </c>
      <c r="O14">
        <v>11</v>
      </c>
      <c r="P14" t="b">
        <v>1</v>
      </c>
      <c r="Q14">
        <v>4</v>
      </c>
      <c r="R14">
        <v>4</v>
      </c>
    </row>
    <row r="15" spans="1:18">
      <c r="A15" t="s">
        <v>62</v>
      </c>
      <c r="B15" t="s">
        <v>63</v>
      </c>
      <c r="C15" s="1">
        <v>45222</v>
      </c>
      <c r="D15">
        <v>53</v>
      </c>
      <c r="E15" t="s">
        <v>36</v>
      </c>
      <c r="F15" t="s">
        <v>52</v>
      </c>
      <c r="G15" t="s">
        <v>64</v>
      </c>
      <c r="H15">
        <v>772.83</v>
      </c>
      <c r="I15">
        <v>2</v>
      </c>
      <c r="J15">
        <v>0</v>
      </c>
      <c r="K15">
        <v>1545.66</v>
      </c>
      <c r="L15" t="s">
        <v>23</v>
      </c>
      <c r="M15" t="s">
        <v>33</v>
      </c>
      <c r="N15">
        <v>27</v>
      </c>
      <c r="O15">
        <v>7</v>
      </c>
      <c r="P15" t="b">
        <v>0</v>
      </c>
      <c r="Q15">
        <v>7</v>
      </c>
      <c r="R15">
        <v>3</v>
      </c>
    </row>
    <row r="16" spans="1:18">
      <c r="A16" t="s">
        <v>65</v>
      </c>
      <c r="B16" t="s">
        <v>66</v>
      </c>
      <c r="C16" s="1">
        <v>44962</v>
      </c>
      <c r="D16">
        <v>36</v>
      </c>
      <c r="E16" t="s">
        <v>36</v>
      </c>
      <c r="F16" t="s">
        <v>32</v>
      </c>
      <c r="G16" t="s">
        <v>22</v>
      </c>
      <c r="H16">
        <v>165.02</v>
      </c>
      <c r="I16">
        <v>1</v>
      </c>
      <c r="J16">
        <v>0</v>
      </c>
      <c r="K16">
        <v>165.02</v>
      </c>
      <c r="L16" t="s">
        <v>23</v>
      </c>
      <c r="M16" t="s">
        <v>24</v>
      </c>
      <c r="N16">
        <v>7</v>
      </c>
      <c r="O16">
        <v>13</v>
      </c>
      <c r="P16" t="b">
        <v>1</v>
      </c>
      <c r="Q16">
        <v>3</v>
      </c>
      <c r="R16">
        <v>2</v>
      </c>
    </row>
    <row r="17" spans="1:18">
      <c r="A17" t="s">
        <v>67</v>
      </c>
      <c r="B17" t="s">
        <v>68</v>
      </c>
      <c r="C17" s="1">
        <v>44950</v>
      </c>
      <c r="D17">
        <v>31</v>
      </c>
      <c r="E17" t="s">
        <v>20</v>
      </c>
      <c r="F17" t="s">
        <v>32</v>
      </c>
      <c r="G17" t="s">
        <v>53</v>
      </c>
      <c r="H17">
        <v>39.770000000000003</v>
      </c>
      <c r="I17">
        <v>1</v>
      </c>
      <c r="J17">
        <v>0</v>
      </c>
      <c r="K17">
        <v>39.770000000000003</v>
      </c>
      <c r="L17" t="s">
        <v>23</v>
      </c>
      <c r="M17" t="s">
        <v>33</v>
      </c>
      <c r="N17">
        <v>12</v>
      </c>
      <c r="O17">
        <v>6</v>
      </c>
      <c r="P17" t="b">
        <v>0</v>
      </c>
      <c r="Q17">
        <v>9</v>
      </c>
      <c r="R17">
        <v>5</v>
      </c>
    </row>
    <row r="18" spans="1:18">
      <c r="A18" t="s">
        <v>69</v>
      </c>
      <c r="B18" t="s">
        <v>70</v>
      </c>
      <c r="C18" s="1">
        <v>44967</v>
      </c>
      <c r="D18">
        <v>52</v>
      </c>
      <c r="E18" t="s">
        <v>36</v>
      </c>
      <c r="F18" t="s">
        <v>27</v>
      </c>
      <c r="G18" t="s">
        <v>53</v>
      </c>
      <c r="H18">
        <v>42.89</v>
      </c>
      <c r="I18">
        <v>1</v>
      </c>
      <c r="J18">
        <v>0</v>
      </c>
      <c r="K18">
        <v>42.89</v>
      </c>
      <c r="L18" t="s">
        <v>23</v>
      </c>
      <c r="M18" t="s">
        <v>24</v>
      </c>
      <c r="N18">
        <v>26</v>
      </c>
      <c r="O18">
        <v>10</v>
      </c>
      <c r="P18" t="b">
        <v>1</v>
      </c>
      <c r="Q18">
        <v>8</v>
      </c>
      <c r="R18">
        <v>5</v>
      </c>
    </row>
    <row r="19" spans="1:18">
      <c r="A19" t="s">
        <v>71</v>
      </c>
      <c r="B19" t="s">
        <v>72</v>
      </c>
      <c r="C19" s="1">
        <v>45364</v>
      </c>
      <c r="D19">
        <v>28</v>
      </c>
      <c r="E19" t="s">
        <v>36</v>
      </c>
      <c r="F19" t="s">
        <v>73</v>
      </c>
      <c r="G19" t="s">
        <v>64</v>
      </c>
      <c r="H19">
        <v>2289.9</v>
      </c>
      <c r="I19">
        <v>1</v>
      </c>
      <c r="J19">
        <v>0</v>
      </c>
      <c r="K19">
        <v>2289.9</v>
      </c>
      <c r="L19" t="s">
        <v>23</v>
      </c>
      <c r="M19" t="s">
        <v>33</v>
      </c>
      <c r="N19">
        <v>11</v>
      </c>
      <c r="O19">
        <v>8</v>
      </c>
      <c r="P19" t="b">
        <v>0</v>
      </c>
      <c r="Q19">
        <v>6</v>
      </c>
      <c r="R19">
        <v>5</v>
      </c>
    </row>
    <row r="20" spans="1:18">
      <c r="A20" t="s">
        <v>74</v>
      </c>
      <c r="B20" t="s">
        <v>75</v>
      </c>
      <c r="C20" s="1">
        <v>44978</v>
      </c>
      <c r="D20">
        <v>45</v>
      </c>
      <c r="E20" t="s">
        <v>20</v>
      </c>
      <c r="F20" t="s">
        <v>76</v>
      </c>
      <c r="G20" t="s">
        <v>53</v>
      </c>
      <c r="H20">
        <v>22.1</v>
      </c>
      <c r="I20">
        <v>2</v>
      </c>
      <c r="J20">
        <v>4.92</v>
      </c>
      <c r="K20">
        <v>39.28</v>
      </c>
      <c r="L20" t="s">
        <v>23</v>
      </c>
      <c r="M20" t="s">
        <v>24</v>
      </c>
      <c r="N20">
        <v>9</v>
      </c>
      <c r="O20">
        <v>7</v>
      </c>
      <c r="P20" t="b">
        <v>0</v>
      </c>
      <c r="Q20">
        <v>2</v>
      </c>
      <c r="R20">
        <v>5</v>
      </c>
    </row>
    <row r="21" spans="1:18">
      <c r="A21" t="s">
        <v>77</v>
      </c>
      <c r="B21" t="s">
        <v>78</v>
      </c>
      <c r="C21" s="1">
        <v>45121</v>
      </c>
      <c r="D21">
        <v>38</v>
      </c>
      <c r="E21" t="s">
        <v>20</v>
      </c>
      <c r="F21" t="s">
        <v>73</v>
      </c>
      <c r="G21" t="s">
        <v>28</v>
      </c>
      <c r="H21">
        <v>156.28</v>
      </c>
      <c r="I21">
        <v>5</v>
      </c>
      <c r="J21">
        <v>0</v>
      </c>
      <c r="K21">
        <v>781.4</v>
      </c>
      <c r="L21" t="s">
        <v>23</v>
      </c>
      <c r="M21" t="s">
        <v>24</v>
      </c>
      <c r="N21">
        <v>6</v>
      </c>
      <c r="O21">
        <v>7</v>
      </c>
      <c r="P21" t="b">
        <v>1</v>
      </c>
      <c r="Q21">
        <v>4</v>
      </c>
      <c r="R21">
        <v>3</v>
      </c>
    </row>
    <row r="22" spans="1:18">
      <c r="A22" t="s">
        <v>79</v>
      </c>
      <c r="B22" t="s">
        <v>80</v>
      </c>
      <c r="C22" s="1">
        <v>45354</v>
      </c>
      <c r="D22">
        <v>46</v>
      </c>
      <c r="E22" t="s">
        <v>36</v>
      </c>
      <c r="F22" t="s">
        <v>49</v>
      </c>
      <c r="G22" t="s">
        <v>46</v>
      </c>
      <c r="H22">
        <v>192.94</v>
      </c>
      <c r="I22">
        <v>3</v>
      </c>
      <c r="J22">
        <v>22.26</v>
      </c>
      <c r="K22">
        <v>556.55999999999995</v>
      </c>
      <c r="L22" t="s">
        <v>23</v>
      </c>
      <c r="M22" t="s">
        <v>29</v>
      </c>
      <c r="N22">
        <v>9</v>
      </c>
      <c r="O22">
        <v>6</v>
      </c>
      <c r="P22" t="b">
        <v>1</v>
      </c>
      <c r="Q22">
        <v>5</v>
      </c>
      <c r="R22">
        <v>5</v>
      </c>
    </row>
    <row r="23" spans="1:18">
      <c r="A23" t="s">
        <v>81</v>
      </c>
      <c r="B23" t="s">
        <v>82</v>
      </c>
      <c r="C23" s="1">
        <v>45034</v>
      </c>
      <c r="D23">
        <v>38</v>
      </c>
      <c r="E23" t="s">
        <v>36</v>
      </c>
      <c r="F23" t="s">
        <v>83</v>
      </c>
      <c r="G23" t="s">
        <v>22</v>
      </c>
      <c r="H23">
        <v>123.37</v>
      </c>
      <c r="I23">
        <v>5</v>
      </c>
      <c r="J23">
        <v>0</v>
      </c>
      <c r="K23">
        <v>616.85</v>
      </c>
      <c r="L23" t="s">
        <v>23</v>
      </c>
      <c r="M23" t="s">
        <v>33</v>
      </c>
      <c r="N23">
        <v>30</v>
      </c>
      <c r="O23">
        <v>11</v>
      </c>
      <c r="P23" t="b">
        <v>1</v>
      </c>
      <c r="Q23">
        <v>5</v>
      </c>
      <c r="R23">
        <v>4</v>
      </c>
    </row>
    <row r="24" spans="1:18">
      <c r="A24" t="s">
        <v>84</v>
      </c>
      <c r="B24" t="s">
        <v>85</v>
      </c>
      <c r="C24" s="1">
        <v>45270</v>
      </c>
      <c r="D24">
        <v>38</v>
      </c>
      <c r="E24" t="s">
        <v>36</v>
      </c>
      <c r="F24" t="s">
        <v>21</v>
      </c>
      <c r="G24" t="s">
        <v>46</v>
      </c>
      <c r="H24">
        <v>499.36</v>
      </c>
      <c r="I24">
        <v>1</v>
      </c>
      <c r="J24">
        <v>54.45</v>
      </c>
      <c r="K24">
        <v>444.91</v>
      </c>
      <c r="L24" t="s">
        <v>23</v>
      </c>
      <c r="M24" t="s">
        <v>33</v>
      </c>
      <c r="N24">
        <v>13</v>
      </c>
      <c r="O24">
        <v>13</v>
      </c>
      <c r="P24" t="b">
        <v>1</v>
      </c>
      <c r="Q24">
        <v>9</v>
      </c>
      <c r="R24">
        <v>4</v>
      </c>
    </row>
    <row r="25" spans="1:18">
      <c r="A25" t="s">
        <v>86</v>
      </c>
      <c r="B25" t="s">
        <v>87</v>
      </c>
      <c r="C25" s="1">
        <v>44963</v>
      </c>
      <c r="D25">
        <v>30</v>
      </c>
      <c r="E25" t="s">
        <v>20</v>
      </c>
      <c r="F25" t="s">
        <v>88</v>
      </c>
      <c r="G25" t="s">
        <v>46</v>
      </c>
      <c r="H25">
        <v>367.4</v>
      </c>
      <c r="I25">
        <v>2</v>
      </c>
      <c r="J25">
        <v>0</v>
      </c>
      <c r="K25">
        <v>734.8</v>
      </c>
      <c r="L25" t="s">
        <v>23</v>
      </c>
      <c r="M25" t="s">
        <v>33</v>
      </c>
      <c r="N25">
        <v>22</v>
      </c>
      <c r="O25">
        <v>9</v>
      </c>
      <c r="P25" t="b">
        <v>1</v>
      </c>
      <c r="Q25">
        <v>7</v>
      </c>
      <c r="R25">
        <v>5</v>
      </c>
    </row>
    <row r="26" spans="1:18">
      <c r="A26" t="s">
        <v>89</v>
      </c>
      <c r="B26" t="s">
        <v>90</v>
      </c>
      <c r="C26" s="1">
        <v>45014</v>
      </c>
      <c r="D26">
        <v>39</v>
      </c>
      <c r="E26" t="s">
        <v>20</v>
      </c>
      <c r="F26" t="s">
        <v>73</v>
      </c>
      <c r="G26" t="s">
        <v>22</v>
      </c>
      <c r="H26">
        <v>626.76</v>
      </c>
      <c r="I26">
        <v>4</v>
      </c>
      <c r="J26">
        <v>0</v>
      </c>
      <c r="K26">
        <v>2507.04</v>
      </c>
      <c r="L26" t="s">
        <v>23</v>
      </c>
      <c r="M26" t="s">
        <v>33</v>
      </c>
      <c r="N26">
        <v>29</v>
      </c>
      <c r="O26">
        <v>8</v>
      </c>
      <c r="P26" t="b">
        <v>1</v>
      </c>
      <c r="Q26">
        <v>6</v>
      </c>
      <c r="R26">
        <v>3</v>
      </c>
    </row>
    <row r="27" spans="1:18">
      <c r="A27" t="s">
        <v>91</v>
      </c>
      <c r="B27" t="s">
        <v>92</v>
      </c>
      <c r="C27" s="1">
        <v>45010</v>
      </c>
      <c r="D27">
        <v>34</v>
      </c>
      <c r="E27" t="s">
        <v>36</v>
      </c>
      <c r="F27" t="s">
        <v>59</v>
      </c>
      <c r="G27" t="s">
        <v>22</v>
      </c>
      <c r="H27">
        <v>368.43</v>
      </c>
      <c r="I27">
        <v>2</v>
      </c>
      <c r="J27">
        <v>26.91</v>
      </c>
      <c r="K27">
        <v>709.95</v>
      </c>
      <c r="L27" t="s">
        <v>23</v>
      </c>
      <c r="M27" t="s">
        <v>24</v>
      </c>
      <c r="N27">
        <v>8</v>
      </c>
      <c r="O27">
        <v>12</v>
      </c>
      <c r="P27" t="b">
        <v>0</v>
      </c>
      <c r="Q27">
        <v>3</v>
      </c>
      <c r="R27">
        <v>5</v>
      </c>
    </row>
    <row r="28" spans="1:18">
      <c r="A28" t="s">
        <v>93</v>
      </c>
      <c r="B28" t="s">
        <v>94</v>
      </c>
      <c r="C28" s="1">
        <v>45163</v>
      </c>
      <c r="D28">
        <v>18</v>
      </c>
      <c r="E28" t="s">
        <v>36</v>
      </c>
      <c r="F28" t="s">
        <v>88</v>
      </c>
      <c r="G28" t="s">
        <v>28</v>
      </c>
      <c r="H28">
        <v>245.23</v>
      </c>
      <c r="I28">
        <v>1</v>
      </c>
      <c r="J28">
        <v>0</v>
      </c>
      <c r="K28">
        <v>245.23</v>
      </c>
      <c r="L28" t="s">
        <v>23</v>
      </c>
      <c r="M28" t="s">
        <v>33</v>
      </c>
      <c r="N28">
        <v>12</v>
      </c>
      <c r="O28">
        <v>12</v>
      </c>
      <c r="P28" t="b">
        <v>1</v>
      </c>
      <c r="Q28">
        <v>4</v>
      </c>
      <c r="R28">
        <v>4</v>
      </c>
    </row>
    <row r="29" spans="1:18">
      <c r="A29" t="s">
        <v>95</v>
      </c>
      <c r="B29" t="s">
        <v>96</v>
      </c>
      <c r="C29" s="1">
        <v>45121</v>
      </c>
      <c r="D29">
        <v>34</v>
      </c>
      <c r="E29" t="s">
        <v>36</v>
      </c>
      <c r="F29" t="s">
        <v>21</v>
      </c>
      <c r="G29" t="s">
        <v>37</v>
      </c>
      <c r="H29">
        <v>73.66</v>
      </c>
      <c r="I29">
        <v>1</v>
      </c>
      <c r="J29">
        <v>18.95</v>
      </c>
      <c r="K29">
        <v>54.71</v>
      </c>
      <c r="L29" t="s">
        <v>23</v>
      </c>
      <c r="M29" t="s">
        <v>33</v>
      </c>
      <c r="N29">
        <v>11</v>
      </c>
      <c r="O29">
        <v>9</v>
      </c>
      <c r="P29" t="b">
        <v>1</v>
      </c>
      <c r="Q29">
        <v>10</v>
      </c>
      <c r="R29">
        <v>3</v>
      </c>
    </row>
    <row r="30" spans="1:18">
      <c r="A30" t="s">
        <v>97</v>
      </c>
      <c r="B30" t="s">
        <v>98</v>
      </c>
      <c r="C30" s="1">
        <v>45277</v>
      </c>
      <c r="D30">
        <v>20</v>
      </c>
      <c r="E30" t="s">
        <v>20</v>
      </c>
      <c r="F30" t="s">
        <v>52</v>
      </c>
      <c r="G30" t="s">
        <v>46</v>
      </c>
      <c r="H30">
        <v>367.58</v>
      </c>
      <c r="I30">
        <v>3</v>
      </c>
      <c r="J30">
        <v>58.54</v>
      </c>
      <c r="K30">
        <v>1044.2</v>
      </c>
      <c r="L30" t="s">
        <v>23</v>
      </c>
      <c r="M30" t="s">
        <v>29</v>
      </c>
      <c r="N30">
        <v>13</v>
      </c>
      <c r="O30">
        <v>12</v>
      </c>
      <c r="P30" t="b">
        <v>0</v>
      </c>
      <c r="Q30">
        <v>6</v>
      </c>
      <c r="R30">
        <v>4</v>
      </c>
    </row>
    <row r="31" spans="1:18">
      <c r="A31" t="s">
        <v>99</v>
      </c>
      <c r="B31" t="s">
        <v>100</v>
      </c>
      <c r="C31" s="1">
        <v>45093</v>
      </c>
      <c r="D31">
        <v>48</v>
      </c>
      <c r="E31" t="s">
        <v>36</v>
      </c>
      <c r="F31" t="s">
        <v>83</v>
      </c>
      <c r="G31" t="s">
        <v>37</v>
      </c>
      <c r="H31">
        <v>89.98</v>
      </c>
      <c r="I31">
        <v>1</v>
      </c>
      <c r="J31">
        <v>0</v>
      </c>
      <c r="K31">
        <v>89.98</v>
      </c>
      <c r="L31" t="s">
        <v>23</v>
      </c>
      <c r="M31" t="s">
        <v>24</v>
      </c>
      <c r="N31">
        <v>9</v>
      </c>
      <c r="O31">
        <v>9</v>
      </c>
      <c r="P31" t="b">
        <v>0</v>
      </c>
      <c r="Q31">
        <v>14</v>
      </c>
      <c r="R31">
        <v>2</v>
      </c>
    </row>
    <row r="32" spans="1:18">
      <c r="A32" t="s">
        <v>101</v>
      </c>
      <c r="B32" t="s">
        <v>102</v>
      </c>
      <c r="C32" s="1">
        <v>44943</v>
      </c>
      <c r="D32">
        <v>61</v>
      </c>
      <c r="E32" t="s">
        <v>36</v>
      </c>
      <c r="F32" t="s">
        <v>32</v>
      </c>
      <c r="G32" t="s">
        <v>28</v>
      </c>
      <c r="H32">
        <v>185.75</v>
      </c>
      <c r="I32">
        <v>1</v>
      </c>
      <c r="J32">
        <v>0</v>
      </c>
      <c r="K32">
        <v>185.75</v>
      </c>
      <c r="L32" t="s">
        <v>23</v>
      </c>
      <c r="M32" t="s">
        <v>33</v>
      </c>
      <c r="N32">
        <v>24</v>
      </c>
      <c r="O32">
        <v>12</v>
      </c>
      <c r="P32" t="b">
        <v>0</v>
      </c>
      <c r="Q32">
        <v>10</v>
      </c>
      <c r="R32">
        <v>5</v>
      </c>
    </row>
    <row r="33" spans="1:18">
      <c r="A33" t="s">
        <v>103</v>
      </c>
      <c r="B33" t="s">
        <v>104</v>
      </c>
      <c r="C33" s="1">
        <v>45294</v>
      </c>
      <c r="D33">
        <v>23</v>
      </c>
      <c r="E33" t="s">
        <v>36</v>
      </c>
      <c r="F33" t="s">
        <v>32</v>
      </c>
      <c r="G33" t="s">
        <v>46</v>
      </c>
      <c r="H33">
        <v>338.82</v>
      </c>
      <c r="I33">
        <v>5</v>
      </c>
      <c r="J33">
        <v>84.41</v>
      </c>
      <c r="K33">
        <v>1609.69</v>
      </c>
      <c r="L33" t="s">
        <v>23</v>
      </c>
      <c r="M33" t="s">
        <v>33</v>
      </c>
      <c r="N33">
        <v>11</v>
      </c>
      <c r="O33">
        <v>11</v>
      </c>
      <c r="P33" t="b">
        <v>1</v>
      </c>
      <c r="Q33">
        <v>4</v>
      </c>
      <c r="R33">
        <v>4</v>
      </c>
    </row>
    <row r="34" spans="1:18">
      <c r="A34" t="s">
        <v>105</v>
      </c>
      <c r="B34" t="s">
        <v>106</v>
      </c>
      <c r="C34" s="1">
        <v>45214</v>
      </c>
      <c r="D34">
        <v>19</v>
      </c>
      <c r="E34" t="s">
        <v>20</v>
      </c>
      <c r="F34" t="s">
        <v>73</v>
      </c>
      <c r="G34" t="s">
        <v>64</v>
      </c>
      <c r="H34">
        <v>1843.56</v>
      </c>
      <c r="I34">
        <v>4</v>
      </c>
      <c r="J34">
        <v>0</v>
      </c>
      <c r="K34">
        <v>7374.24</v>
      </c>
      <c r="L34" t="s">
        <v>23</v>
      </c>
      <c r="M34" t="s">
        <v>33</v>
      </c>
      <c r="N34">
        <v>14</v>
      </c>
      <c r="O34">
        <v>13</v>
      </c>
      <c r="P34" t="b">
        <v>1</v>
      </c>
      <c r="Q34">
        <v>8</v>
      </c>
      <c r="R34">
        <v>3</v>
      </c>
    </row>
    <row r="35" spans="1:18">
      <c r="A35" t="s">
        <v>107</v>
      </c>
      <c r="B35" t="s">
        <v>108</v>
      </c>
      <c r="C35" s="1">
        <v>45061</v>
      </c>
      <c r="D35">
        <v>38</v>
      </c>
      <c r="E35" t="s">
        <v>36</v>
      </c>
      <c r="F35" t="s">
        <v>21</v>
      </c>
      <c r="G35" t="s">
        <v>28</v>
      </c>
      <c r="H35">
        <v>180.98</v>
      </c>
      <c r="I35">
        <v>1</v>
      </c>
      <c r="J35">
        <v>45</v>
      </c>
      <c r="K35">
        <v>135.97999999999999</v>
      </c>
      <c r="L35" t="s">
        <v>23</v>
      </c>
      <c r="M35" t="s">
        <v>24</v>
      </c>
      <c r="N35">
        <v>10</v>
      </c>
      <c r="O35">
        <v>8</v>
      </c>
      <c r="P35" t="b">
        <v>1</v>
      </c>
      <c r="Q35">
        <v>6</v>
      </c>
      <c r="R35">
        <v>3</v>
      </c>
    </row>
    <row r="36" spans="1:18">
      <c r="A36" t="s">
        <v>109</v>
      </c>
      <c r="B36" t="s">
        <v>110</v>
      </c>
      <c r="C36" s="1">
        <v>45187</v>
      </c>
      <c r="D36">
        <v>20</v>
      </c>
      <c r="E36" t="s">
        <v>36</v>
      </c>
      <c r="F36" t="s">
        <v>73</v>
      </c>
      <c r="G36" t="s">
        <v>53</v>
      </c>
      <c r="H36">
        <v>45.89</v>
      </c>
      <c r="I36">
        <v>1</v>
      </c>
      <c r="J36">
        <v>3.46</v>
      </c>
      <c r="K36">
        <v>42.43</v>
      </c>
      <c r="L36" t="s">
        <v>23</v>
      </c>
      <c r="M36" t="s">
        <v>24</v>
      </c>
      <c r="N36">
        <v>8</v>
      </c>
      <c r="O36">
        <v>6</v>
      </c>
      <c r="P36" t="b">
        <v>0</v>
      </c>
      <c r="Q36">
        <v>6</v>
      </c>
      <c r="R36">
        <v>4</v>
      </c>
    </row>
    <row r="37" spans="1:18">
      <c r="A37" t="s">
        <v>111</v>
      </c>
      <c r="B37" t="s">
        <v>112</v>
      </c>
      <c r="C37" s="1">
        <v>44951</v>
      </c>
      <c r="D37">
        <v>48</v>
      </c>
      <c r="E37" t="s">
        <v>20</v>
      </c>
      <c r="F37" t="s">
        <v>52</v>
      </c>
      <c r="G37" t="s">
        <v>56</v>
      </c>
      <c r="H37">
        <v>1049.78</v>
      </c>
      <c r="I37">
        <v>2</v>
      </c>
      <c r="J37">
        <v>0</v>
      </c>
      <c r="K37">
        <v>2099.56</v>
      </c>
      <c r="L37" t="s">
        <v>23</v>
      </c>
      <c r="M37" t="s">
        <v>33</v>
      </c>
      <c r="N37">
        <v>10</v>
      </c>
      <c r="O37">
        <v>7</v>
      </c>
      <c r="P37" t="b">
        <v>1</v>
      </c>
      <c r="Q37">
        <v>11</v>
      </c>
      <c r="R37">
        <v>5</v>
      </c>
    </row>
    <row r="38" spans="1:18">
      <c r="A38" t="s">
        <v>113</v>
      </c>
      <c r="B38" t="s">
        <v>114</v>
      </c>
      <c r="C38" s="1">
        <v>44983</v>
      </c>
      <c r="D38">
        <v>46</v>
      </c>
      <c r="E38" t="s">
        <v>20</v>
      </c>
      <c r="F38" t="s">
        <v>52</v>
      </c>
      <c r="G38" t="s">
        <v>115</v>
      </c>
      <c r="H38">
        <v>40.43</v>
      </c>
      <c r="I38">
        <v>3</v>
      </c>
      <c r="J38">
        <v>9.11</v>
      </c>
      <c r="K38">
        <v>112.18</v>
      </c>
      <c r="L38" t="s">
        <v>23</v>
      </c>
      <c r="M38" t="s">
        <v>33</v>
      </c>
      <c r="N38">
        <v>4</v>
      </c>
      <c r="O38">
        <v>8</v>
      </c>
      <c r="P38" t="b">
        <v>0</v>
      </c>
      <c r="Q38">
        <v>8</v>
      </c>
      <c r="R38">
        <v>5</v>
      </c>
    </row>
    <row r="39" spans="1:18">
      <c r="A39" t="s">
        <v>116</v>
      </c>
      <c r="B39" t="s">
        <v>117</v>
      </c>
      <c r="C39" s="1">
        <v>45124</v>
      </c>
      <c r="D39">
        <v>39</v>
      </c>
      <c r="E39" t="s">
        <v>36</v>
      </c>
      <c r="F39" t="s">
        <v>52</v>
      </c>
      <c r="G39" t="s">
        <v>46</v>
      </c>
      <c r="H39">
        <v>617.46</v>
      </c>
      <c r="I39">
        <v>1</v>
      </c>
      <c r="J39">
        <v>0</v>
      </c>
      <c r="K39">
        <v>617.46</v>
      </c>
      <c r="L39" t="s">
        <v>23</v>
      </c>
      <c r="M39" t="s">
        <v>24</v>
      </c>
      <c r="N39">
        <v>19</v>
      </c>
      <c r="O39">
        <v>11</v>
      </c>
      <c r="P39" t="b">
        <v>1</v>
      </c>
      <c r="Q39">
        <v>2</v>
      </c>
      <c r="R39">
        <v>4</v>
      </c>
    </row>
    <row r="40" spans="1:18">
      <c r="A40" t="s">
        <v>118</v>
      </c>
      <c r="B40" t="s">
        <v>119</v>
      </c>
      <c r="C40" s="1">
        <v>45197</v>
      </c>
      <c r="D40">
        <v>52</v>
      </c>
      <c r="E40" t="s">
        <v>36</v>
      </c>
      <c r="F40" t="s">
        <v>52</v>
      </c>
      <c r="G40" t="s">
        <v>46</v>
      </c>
      <c r="H40">
        <v>357.87</v>
      </c>
      <c r="I40">
        <v>1</v>
      </c>
      <c r="J40">
        <v>39.409999999999997</v>
      </c>
      <c r="K40">
        <v>318.45999999999998</v>
      </c>
      <c r="L40" t="s">
        <v>23</v>
      </c>
      <c r="M40" t="s">
        <v>33</v>
      </c>
      <c r="N40">
        <v>9</v>
      </c>
      <c r="O40">
        <v>9</v>
      </c>
      <c r="P40" t="b">
        <v>1</v>
      </c>
      <c r="Q40">
        <v>3</v>
      </c>
      <c r="R40">
        <v>4</v>
      </c>
    </row>
    <row r="41" spans="1:18">
      <c r="A41" t="s">
        <v>120</v>
      </c>
      <c r="B41" t="s">
        <v>121</v>
      </c>
      <c r="C41" s="1">
        <v>45275</v>
      </c>
      <c r="D41">
        <v>22</v>
      </c>
      <c r="E41" t="s">
        <v>122</v>
      </c>
      <c r="F41" t="s">
        <v>27</v>
      </c>
      <c r="G41" t="s">
        <v>56</v>
      </c>
      <c r="H41">
        <v>532.57000000000005</v>
      </c>
      <c r="I41">
        <v>5</v>
      </c>
      <c r="J41">
        <v>0</v>
      </c>
      <c r="K41">
        <v>2662.85</v>
      </c>
      <c r="L41" t="s">
        <v>23</v>
      </c>
      <c r="M41" t="s">
        <v>24</v>
      </c>
      <c r="N41">
        <v>30</v>
      </c>
      <c r="O41">
        <v>10</v>
      </c>
      <c r="P41" t="b">
        <v>1</v>
      </c>
      <c r="Q41">
        <v>8</v>
      </c>
      <c r="R41">
        <v>4</v>
      </c>
    </row>
    <row r="42" spans="1:18">
      <c r="A42" t="s">
        <v>123</v>
      </c>
      <c r="B42" t="s">
        <v>124</v>
      </c>
      <c r="C42" s="1">
        <v>45296</v>
      </c>
      <c r="D42">
        <v>40</v>
      </c>
      <c r="E42" t="s">
        <v>20</v>
      </c>
      <c r="F42" t="s">
        <v>88</v>
      </c>
      <c r="G42" t="s">
        <v>53</v>
      </c>
      <c r="H42">
        <v>34.9</v>
      </c>
      <c r="I42">
        <v>2</v>
      </c>
      <c r="J42">
        <v>0</v>
      </c>
      <c r="K42">
        <v>69.8</v>
      </c>
      <c r="L42" t="s">
        <v>23</v>
      </c>
      <c r="M42" t="s">
        <v>33</v>
      </c>
      <c r="N42">
        <v>20</v>
      </c>
      <c r="O42">
        <v>6</v>
      </c>
      <c r="P42" t="b">
        <v>0</v>
      </c>
      <c r="Q42">
        <v>7</v>
      </c>
      <c r="R42">
        <v>4</v>
      </c>
    </row>
    <row r="43" spans="1:18">
      <c r="A43" t="s">
        <v>125</v>
      </c>
      <c r="B43" t="s">
        <v>126</v>
      </c>
      <c r="C43" s="1">
        <v>44985</v>
      </c>
      <c r="D43">
        <v>32</v>
      </c>
      <c r="E43" t="s">
        <v>20</v>
      </c>
      <c r="F43" t="s">
        <v>49</v>
      </c>
      <c r="G43" t="s">
        <v>56</v>
      </c>
      <c r="H43">
        <v>1647.9</v>
      </c>
      <c r="I43">
        <v>4</v>
      </c>
      <c r="J43">
        <v>361.69</v>
      </c>
      <c r="K43">
        <v>6229.91</v>
      </c>
      <c r="L43" t="s">
        <v>23</v>
      </c>
      <c r="M43" t="s">
        <v>29</v>
      </c>
      <c r="N43">
        <v>1</v>
      </c>
      <c r="O43">
        <v>13</v>
      </c>
      <c r="P43" t="b">
        <v>0</v>
      </c>
      <c r="Q43">
        <v>14</v>
      </c>
      <c r="R43">
        <v>5</v>
      </c>
    </row>
    <row r="44" spans="1:18">
      <c r="A44" t="s">
        <v>127</v>
      </c>
      <c r="B44" t="s">
        <v>128</v>
      </c>
      <c r="C44" s="1">
        <v>45061</v>
      </c>
      <c r="D44">
        <v>41</v>
      </c>
      <c r="E44" t="s">
        <v>36</v>
      </c>
      <c r="F44" t="s">
        <v>21</v>
      </c>
      <c r="G44" t="s">
        <v>37</v>
      </c>
      <c r="H44">
        <v>92.5</v>
      </c>
      <c r="I44">
        <v>4</v>
      </c>
      <c r="J44">
        <v>0</v>
      </c>
      <c r="K44">
        <v>370</v>
      </c>
      <c r="L44" t="s">
        <v>23</v>
      </c>
      <c r="M44" t="s">
        <v>24</v>
      </c>
      <c r="N44">
        <v>14</v>
      </c>
      <c r="O44">
        <v>9</v>
      </c>
      <c r="P44" t="b">
        <v>1</v>
      </c>
      <c r="Q44">
        <v>9</v>
      </c>
      <c r="R44">
        <v>4</v>
      </c>
    </row>
    <row r="45" spans="1:18">
      <c r="A45" t="s">
        <v>129</v>
      </c>
      <c r="B45" t="s">
        <v>130</v>
      </c>
      <c r="C45" s="1">
        <v>45018</v>
      </c>
      <c r="D45">
        <v>18</v>
      </c>
      <c r="E45" t="s">
        <v>20</v>
      </c>
      <c r="F45" t="s">
        <v>59</v>
      </c>
      <c r="G45" t="s">
        <v>37</v>
      </c>
      <c r="H45">
        <v>159.18</v>
      </c>
      <c r="I45">
        <v>2</v>
      </c>
      <c r="J45">
        <v>0</v>
      </c>
      <c r="K45">
        <v>318.36</v>
      </c>
      <c r="L45" t="s">
        <v>23</v>
      </c>
      <c r="M45" t="s">
        <v>33</v>
      </c>
      <c r="N45">
        <v>7</v>
      </c>
      <c r="O45">
        <v>9</v>
      </c>
      <c r="P45" t="b">
        <v>0</v>
      </c>
      <c r="Q45">
        <v>6</v>
      </c>
      <c r="R45">
        <v>5</v>
      </c>
    </row>
    <row r="46" spans="1:18">
      <c r="A46" t="s">
        <v>131</v>
      </c>
      <c r="B46" t="s">
        <v>132</v>
      </c>
      <c r="C46" s="1">
        <v>45186</v>
      </c>
      <c r="D46">
        <v>23</v>
      </c>
      <c r="E46" t="s">
        <v>36</v>
      </c>
      <c r="F46" t="s">
        <v>32</v>
      </c>
      <c r="G46" t="s">
        <v>28</v>
      </c>
      <c r="H46">
        <v>167.61</v>
      </c>
      <c r="I46">
        <v>1</v>
      </c>
      <c r="J46">
        <v>0</v>
      </c>
      <c r="K46">
        <v>167.61</v>
      </c>
      <c r="L46" t="s">
        <v>23</v>
      </c>
      <c r="M46" t="s">
        <v>29</v>
      </c>
      <c r="N46">
        <v>15</v>
      </c>
      <c r="O46">
        <v>10</v>
      </c>
      <c r="P46" t="b">
        <v>0</v>
      </c>
      <c r="Q46">
        <v>9</v>
      </c>
      <c r="R46">
        <v>1</v>
      </c>
    </row>
    <row r="47" spans="1:18">
      <c r="A47" t="s">
        <v>133</v>
      </c>
      <c r="B47" t="s">
        <v>134</v>
      </c>
      <c r="C47" s="1">
        <v>45079</v>
      </c>
      <c r="D47">
        <v>75</v>
      </c>
      <c r="E47" t="s">
        <v>20</v>
      </c>
      <c r="F47" t="s">
        <v>21</v>
      </c>
      <c r="G47" t="s">
        <v>28</v>
      </c>
      <c r="H47">
        <v>279.45999999999998</v>
      </c>
      <c r="I47">
        <v>1</v>
      </c>
      <c r="J47">
        <v>0</v>
      </c>
      <c r="K47">
        <v>279.45999999999998</v>
      </c>
      <c r="L47" t="s">
        <v>23</v>
      </c>
      <c r="M47" t="s">
        <v>29</v>
      </c>
      <c r="N47">
        <v>18</v>
      </c>
      <c r="O47">
        <v>10</v>
      </c>
      <c r="P47" t="b">
        <v>1</v>
      </c>
      <c r="Q47">
        <v>6</v>
      </c>
      <c r="R47">
        <v>4</v>
      </c>
    </row>
    <row r="48" spans="1:18">
      <c r="A48" t="s">
        <v>135</v>
      </c>
      <c r="B48" t="s">
        <v>136</v>
      </c>
      <c r="C48" s="1">
        <v>45118</v>
      </c>
      <c r="D48">
        <v>25</v>
      </c>
      <c r="E48" t="s">
        <v>36</v>
      </c>
      <c r="F48" t="s">
        <v>59</v>
      </c>
      <c r="G48" t="s">
        <v>115</v>
      </c>
      <c r="H48">
        <v>107.69</v>
      </c>
      <c r="I48">
        <v>4</v>
      </c>
      <c r="J48">
        <v>11.57</v>
      </c>
      <c r="K48">
        <v>419.19</v>
      </c>
      <c r="L48" t="s">
        <v>23</v>
      </c>
      <c r="M48" t="s">
        <v>33</v>
      </c>
      <c r="N48">
        <v>13</v>
      </c>
      <c r="O48">
        <v>11</v>
      </c>
      <c r="P48" t="b">
        <v>1</v>
      </c>
      <c r="Q48">
        <v>6</v>
      </c>
      <c r="R48">
        <v>5</v>
      </c>
    </row>
    <row r="49" spans="1:18">
      <c r="A49" t="s">
        <v>137</v>
      </c>
      <c r="B49" t="s">
        <v>138</v>
      </c>
      <c r="C49" s="1">
        <v>45233</v>
      </c>
      <c r="D49">
        <v>18</v>
      </c>
      <c r="E49" t="s">
        <v>36</v>
      </c>
      <c r="F49" t="s">
        <v>59</v>
      </c>
      <c r="G49" t="s">
        <v>46</v>
      </c>
      <c r="H49">
        <v>1071.7</v>
      </c>
      <c r="I49">
        <v>4</v>
      </c>
      <c r="J49">
        <v>0</v>
      </c>
      <c r="K49">
        <v>4286.8</v>
      </c>
      <c r="L49" t="s">
        <v>23</v>
      </c>
      <c r="M49" t="s">
        <v>24</v>
      </c>
      <c r="N49">
        <v>9</v>
      </c>
      <c r="O49">
        <v>4</v>
      </c>
      <c r="P49" t="b">
        <v>0</v>
      </c>
      <c r="Q49">
        <v>11</v>
      </c>
      <c r="R49">
        <v>4</v>
      </c>
    </row>
    <row r="50" spans="1:18">
      <c r="A50" t="s">
        <v>139</v>
      </c>
      <c r="B50" t="s">
        <v>140</v>
      </c>
      <c r="C50" s="1">
        <v>45177</v>
      </c>
      <c r="D50">
        <v>48</v>
      </c>
      <c r="E50" t="s">
        <v>20</v>
      </c>
      <c r="F50" t="s">
        <v>52</v>
      </c>
      <c r="G50" t="s">
        <v>56</v>
      </c>
      <c r="H50">
        <v>592.09</v>
      </c>
      <c r="I50">
        <v>1</v>
      </c>
      <c r="J50">
        <v>0</v>
      </c>
      <c r="K50">
        <v>592.09</v>
      </c>
      <c r="L50" t="s">
        <v>23</v>
      </c>
      <c r="M50" t="s">
        <v>29</v>
      </c>
      <c r="N50">
        <v>16</v>
      </c>
      <c r="O50">
        <v>8</v>
      </c>
      <c r="P50" t="b">
        <v>0</v>
      </c>
      <c r="Q50">
        <v>5</v>
      </c>
      <c r="R50">
        <v>5</v>
      </c>
    </row>
    <row r="51" spans="1:18">
      <c r="A51" t="s">
        <v>141</v>
      </c>
      <c r="B51" t="s">
        <v>142</v>
      </c>
      <c r="C51" s="1">
        <v>44936</v>
      </c>
      <c r="D51">
        <v>35</v>
      </c>
      <c r="E51" t="s">
        <v>20</v>
      </c>
      <c r="F51" t="s">
        <v>88</v>
      </c>
      <c r="G51" t="s">
        <v>115</v>
      </c>
      <c r="H51">
        <v>78.19</v>
      </c>
      <c r="I51">
        <v>1</v>
      </c>
      <c r="J51">
        <v>0</v>
      </c>
      <c r="K51">
        <v>78.19</v>
      </c>
      <c r="L51" t="s">
        <v>23</v>
      </c>
      <c r="M51" t="s">
        <v>33</v>
      </c>
      <c r="N51">
        <v>12</v>
      </c>
      <c r="O51">
        <v>12</v>
      </c>
      <c r="P51" t="b">
        <v>1</v>
      </c>
      <c r="Q51">
        <v>3</v>
      </c>
      <c r="R51">
        <v>5</v>
      </c>
    </row>
    <row r="52" spans="1:18">
      <c r="A52" t="s">
        <v>143</v>
      </c>
      <c r="B52" t="s">
        <v>144</v>
      </c>
      <c r="C52" s="1">
        <v>45112</v>
      </c>
      <c r="D52">
        <v>26</v>
      </c>
      <c r="E52" t="s">
        <v>20</v>
      </c>
      <c r="F52" t="s">
        <v>59</v>
      </c>
      <c r="G52" t="s">
        <v>37</v>
      </c>
      <c r="H52">
        <v>109.85</v>
      </c>
      <c r="I52">
        <v>1</v>
      </c>
      <c r="J52">
        <v>0</v>
      </c>
      <c r="K52">
        <v>109.85</v>
      </c>
      <c r="L52" t="s">
        <v>23</v>
      </c>
      <c r="M52" t="s">
        <v>33</v>
      </c>
      <c r="N52">
        <v>15</v>
      </c>
      <c r="O52">
        <v>10</v>
      </c>
      <c r="P52" t="b">
        <v>1</v>
      </c>
      <c r="Q52">
        <v>2</v>
      </c>
      <c r="R52">
        <v>4</v>
      </c>
    </row>
    <row r="53" spans="1:18">
      <c r="A53" t="s">
        <v>145</v>
      </c>
      <c r="B53" t="s">
        <v>146</v>
      </c>
      <c r="C53" s="1">
        <v>45050</v>
      </c>
      <c r="D53">
        <v>42</v>
      </c>
      <c r="E53" t="s">
        <v>20</v>
      </c>
      <c r="F53" t="s">
        <v>21</v>
      </c>
      <c r="G53" t="s">
        <v>53</v>
      </c>
      <c r="H53">
        <v>13.46</v>
      </c>
      <c r="I53">
        <v>2</v>
      </c>
      <c r="J53">
        <v>0</v>
      </c>
      <c r="K53">
        <v>26.92</v>
      </c>
      <c r="L53" t="s">
        <v>23</v>
      </c>
      <c r="M53" t="s">
        <v>33</v>
      </c>
      <c r="N53">
        <v>16</v>
      </c>
      <c r="O53">
        <v>6</v>
      </c>
      <c r="P53" t="b">
        <v>0</v>
      </c>
      <c r="Q53">
        <v>7</v>
      </c>
      <c r="R53">
        <v>3</v>
      </c>
    </row>
    <row r="54" spans="1:18">
      <c r="A54" t="s">
        <v>147</v>
      </c>
      <c r="B54" t="s">
        <v>148</v>
      </c>
      <c r="C54" s="1">
        <v>45217</v>
      </c>
      <c r="D54">
        <v>37</v>
      </c>
      <c r="E54" t="s">
        <v>36</v>
      </c>
      <c r="F54" t="s">
        <v>52</v>
      </c>
      <c r="G54" t="s">
        <v>56</v>
      </c>
      <c r="H54">
        <v>66.709999999999994</v>
      </c>
      <c r="I54">
        <v>1</v>
      </c>
      <c r="J54">
        <v>17.41</v>
      </c>
      <c r="K54">
        <v>49.3</v>
      </c>
      <c r="L54" t="s">
        <v>23</v>
      </c>
      <c r="M54" t="s">
        <v>33</v>
      </c>
      <c r="N54">
        <v>22</v>
      </c>
      <c r="O54">
        <v>9</v>
      </c>
      <c r="P54" t="b">
        <v>0</v>
      </c>
      <c r="Q54">
        <v>3</v>
      </c>
      <c r="R54">
        <v>2</v>
      </c>
    </row>
    <row r="55" spans="1:18">
      <c r="A55" t="s">
        <v>149</v>
      </c>
      <c r="B55" t="s">
        <v>150</v>
      </c>
      <c r="C55" s="1">
        <v>44967</v>
      </c>
      <c r="D55">
        <v>27</v>
      </c>
      <c r="E55" t="s">
        <v>20</v>
      </c>
      <c r="F55" t="s">
        <v>59</v>
      </c>
      <c r="G55" t="s">
        <v>22</v>
      </c>
      <c r="H55">
        <v>266.44</v>
      </c>
      <c r="I55">
        <v>2</v>
      </c>
      <c r="J55">
        <v>0</v>
      </c>
      <c r="K55">
        <v>532.88</v>
      </c>
      <c r="L55" t="s">
        <v>23</v>
      </c>
      <c r="M55" t="s">
        <v>29</v>
      </c>
      <c r="N55">
        <v>19</v>
      </c>
      <c r="O55">
        <v>10</v>
      </c>
      <c r="P55" t="b">
        <v>0</v>
      </c>
      <c r="Q55">
        <v>4</v>
      </c>
      <c r="R55">
        <v>5</v>
      </c>
    </row>
    <row r="56" spans="1:18">
      <c r="A56" t="s">
        <v>151</v>
      </c>
      <c r="B56" t="s">
        <v>152</v>
      </c>
      <c r="C56" s="1">
        <v>45170</v>
      </c>
      <c r="D56">
        <v>19</v>
      </c>
      <c r="E56" t="s">
        <v>20</v>
      </c>
      <c r="F56" t="s">
        <v>21</v>
      </c>
      <c r="G56" t="s">
        <v>56</v>
      </c>
      <c r="H56">
        <v>555.28</v>
      </c>
      <c r="I56">
        <v>1</v>
      </c>
      <c r="J56">
        <v>0</v>
      </c>
      <c r="K56">
        <v>555.28</v>
      </c>
      <c r="L56" t="s">
        <v>23</v>
      </c>
      <c r="M56" t="s">
        <v>24</v>
      </c>
      <c r="N56">
        <v>7</v>
      </c>
      <c r="O56">
        <v>8</v>
      </c>
      <c r="P56" t="b">
        <v>0</v>
      </c>
      <c r="Q56">
        <v>8</v>
      </c>
      <c r="R56">
        <v>3</v>
      </c>
    </row>
    <row r="57" spans="1:18">
      <c r="A57" t="s">
        <v>153</v>
      </c>
      <c r="B57" t="s">
        <v>154</v>
      </c>
      <c r="C57" s="1">
        <v>45237</v>
      </c>
      <c r="D57">
        <v>50</v>
      </c>
      <c r="E57" t="s">
        <v>20</v>
      </c>
      <c r="F57" t="s">
        <v>52</v>
      </c>
      <c r="G57" t="s">
        <v>37</v>
      </c>
      <c r="H57">
        <v>54.26</v>
      </c>
      <c r="I57">
        <v>4</v>
      </c>
      <c r="J57">
        <v>13.67</v>
      </c>
      <c r="K57">
        <v>203.37</v>
      </c>
      <c r="L57" t="s">
        <v>23</v>
      </c>
      <c r="M57" t="s">
        <v>33</v>
      </c>
      <c r="N57">
        <v>25</v>
      </c>
      <c r="O57">
        <v>7</v>
      </c>
      <c r="P57" t="b">
        <v>0</v>
      </c>
      <c r="Q57">
        <v>3</v>
      </c>
      <c r="R57">
        <v>5</v>
      </c>
    </row>
    <row r="58" spans="1:18">
      <c r="A58" t="s">
        <v>155</v>
      </c>
      <c r="B58" t="s">
        <v>156</v>
      </c>
      <c r="C58" s="1">
        <v>45029</v>
      </c>
      <c r="D58">
        <v>22</v>
      </c>
      <c r="E58" t="s">
        <v>36</v>
      </c>
      <c r="F58" t="s">
        <v>49</v>
      </c>
      <c r="G58" t="s">
        <v>28</v>
      </c>
      <c r="H58">
        <v>122.17</v>
      </c>
      <c r="I58">
        <v>1</v>
      </c>
      <c r="J58">
        <v>0</v>
      </c>
      <c r="K58">
        <v>122.17</v>
      </c>
      <c r="L58" t="s">
        <v>23</v>
      </c>
      <c r="M58" t="s">
        <v>33</v>
      </c>
      <c r="N58">
        <v>17</v>
      </c>
      <c r="O58">
        <v>7</v>
      </c>
      <c r="P58" t="b">
        <v>1</v>
      </c>
      <c r="Q58">
        <v>3</v>
      </c>
      <c r="R58">
        <v>5</v>
      </c>
    </row>
    <row r="59" spans="1:18">
      <c r="A59" t="s">
        <v>157</v>
      </c>
      <c r="B59" t="s">
        <v>158</v>
      </c>
      <c r="C59" s="1">
        <v>45259</v>
      </c>
      <c r="D59">
        <v>29</v>
      </c>
      <c r="E59" t="s">
        <v>36</v>
      </c>
      <c r="F59" t="s">
        <v>52</v>
      </c>
      <c r="G59" t="s">
        <v>46</v>
      </c>
      <c r="H59">
        <v>318.48</v>
      </c>
      <c r="I59">
        <v>3</v>
      </c>
      <c r="J59">
        <v>0</v>
      </c>
      <c r="K59">
        <v>955.44</v>
      </c>
      <c r="L59" t="s">
        <v>23</v>
      </c>
      <c r="M59" t="s">
        <v>24</v>
      </c>
      <c r="N59">
        <v>20</v>
      </c>
      <c r="O59">
        <v>9</v>
      </c>
      <c r="P59" t="b">
        <v>1</v>
      </c>
      <c r="Q59">
        <v>8</v>
      </c>
      <c r="R59">
        <v>3</v>
      </c>
    </row>
    <row r="60" spans="1:18">
      <c r="A60" t="s">
        <v>159</v>
      </c>
      <c r="B60" t="s">
        <v>160</v>
      </c>
      <c r="C60" s="1">
        <v>45118</v>
      </c>
      <c r="D60">
        <v>36</v>
      </c>
      <c r="E60" t="s">
        <v>20</v>
      </c>
      <c r="F60" t="s">
        <v>59</v>
      </c>
      <c r="G60" t="s">
        <v>28</v>
      </c>
      <c r="H60">
        <v>80.06</v>
      </c>
      <c r="I60">
        <v>1</v>
      </c>
      <c r="J60">
        <v>11.58</v>
      </c>
      <c r="K60">
        <v>68.48</v>
      </c>
      <c r="L60" t="s">
        <v>23</v>
      </c>
      <c r="M60" t="s">
        <v>24</v>
      </c>
      <c r="N60">
        <v>2</v>
      </c>
      <c r="O60">
        <v>10</v>
      </c>
      <c r="P60" t="b">
        <v>0</v>
      </c>
      <c r="Q60">
        <v>6</v>
      </c>
      <c r="R60">
        <v>2</v>
      </c>
    </row>
    <row r="61" spans="1:18">
      <c r="A61" t="s">
        <v>161</v>
      </c>
      <c r="B61" t="s">
        <v>162</v>
      </c>
      <c r="C61" s="1">
        <v>45053</v>
      </c>
      <c r="D61">
        <v>23</v>
      </c>
      <c r="E61" t="s">
        <v>36</v>
      </c>
      <c r="F61" t="s">
        <v>88</v>
      </c>
      <c r="G61" t="s">
        <v>115</v>
      </c>
      <c r="H61">
        <v>110.67</v>
      </c>
      <c r="I61">
        <v>2</v>
      </c>
      <c r="J61">
        <v>0</v>
      </c>
      <c r="K61">
        <v>221.34</v>
      </c>
      <c r="L61" t="s">
        <v>23</v>
      </c>
      <c r="M61" t="s">
        <v>33</v>
      </c>
      <c r="N61">
        <v>17</v>
      </c>
      <c r="O61">
        <v>6</v>
      </c>
      <c r="P61" t="b">
        <v>0</v>
      </c>
      <c r="Q61">
        <v>10</v>
      </c>
      <c r="R61">
        <v>4</v>
      </c>
    </row>
    <row r="62" spans="1:18">
      <c r="A62" t="s">
        <v>163</v>
      </c>
      <c r="B62" t="s">
        <v>164</v>
      </c>
      <c r="C62" s="1">
        <v>44937</v>
      </c>
      <c r="D62">
        <v>35</v>
      </c>
      <c r="E62" t="s">
        <v>20</v>
      </c>
      <c r="F62" t="s">
        <v>32</v>
      </c>
      <c r="G62" t="s">
        <v>46</v>
      </c>
      <c r="H62">
        <v>1148.1099999999999</v>
      </c>
      <c r="I62">
        <v>1</v>
      </c>
      <c r="J62">
        <v>0</v>
      </c>
      <c r="K62">
        <v>1148.1099999999999</v>
      </c>
      <c r="L62" t="s">
        <v>23</v>
      </c>
      <c r="M62" t="s">
        <v>33</v>
      </c>
      <c r="N62">
        <v>26</v>
      </c>
      <c r="O62">
        <v>9</v>
      </c>
      <c r="P62" t="b">
        <v>0</v>
      </c>
      <c r="Q62">
        <v>12</v>
      </c>
      <c r="R62">
        <v>5</v>
      </c>
    </row>
    <row r="63" spans="1:18">
      <c r="A63" t="s">
        <v>165</v>
      </c>
      <c r="B63" t="s">
        <v>166</v>
      </c>
      <c r="C63" s="1">
        <v>45228</v>
      </c>
      <c r="D63">
        <v>54</v>
      </c>
      <c r="E63" t="s">
        <v>36</v>
      </c>
      <c r="F63" t="s">
        <v>76</v>
      </c>
      <c r="G63" t="s">
        <v>37</v>
      </c>
      <c r="H63">
        <v>188.47</v>
      </c>
      <c r="I63">
        <v>1</v>
      </c>
      <c r="J63">
        <v>0</v>
      </c>
      <c r="K63">
        <v>188.47</v>
      </c>
      <c r="L63" t="s">
        <v>23</v>
      </c>
      <c r="M63" t="s">
        <v>33</v>
      </c>
      <c r="N63">
        <v>13</v>
      </c>
      <c r="O63">
        <v>7</v>
      </c>
      <c r="P63" t="b">
        <v>1</v>
      </c>
      <c r="Q63">
        <v>9</v>
      </c>
      <c r="R63">
        <v>5</v>
      </c>
    </row>
    <row r="64" spans="1:18">
      <c r="A64" t="s">
        <v>167</v>
      </c>
      <c r="B64" t="s">
        <v>168</v>
      </c>
      <c r="C64" s="1">
        <v>45289</v>
      </c>
      <c r="D64">
        <v>33</v>
      </c>
      <c r="E64" t="s">
        <v>36</v>
      </c>
      <c r="F64" t="s">
        <v>32</v>
      </c>
      <c r="G64" t="s">
        <v>22</v>
      </c>
      <c r="H64">
        <v>53.49</v>
      </c>
      <c r="I64">
        <v>3</v>
      </c>
      <c r="J64">
        <v>0</v>
      </c>
      <c r="K64">
        <v>160.47</v>
      </c>
      <c r="L64" t="s">
        <v>23</v>
      </c>
      <c r="M64" t="s">
        <v>24</v>
      </c>
      <c r="N64">
        <v>2</v>
      </c>
      <c r="O64">
        <v>12</v>
      </c>
      <c r="P64" t="b">
        <v>0</v>
      </c>
      <c r="Q64">
        <v>5</v>
      </c>
      <c r="R64">
        <v>2</v>
      </c>
    </row>
    <row r="65" spans="1:18">
      <c r="A65" t="s">
        <v>169</v>
      </c>
      <c r="B65" t="s">
        <v>170</v>
      </c>
      <c r="C65" s="1">
        <v>44961</v>
      </c>
      <c r="D65">
        <v>32</v>
      </c>
      <c r="E65" t="s">
        <v>36</v>
      </c>
      <c r="F65" t="s">
        <v>27</v>
      </c>
      <c r="G65" t="s">
        <v>56</v>
      </c>
      <c r="H65">
        <v>349.92</v>
      </c>
      <c r="I65">
        <v>1</v>
      </c>
      <c r="J65">
        <v>0</v>
      </c>
      <c r="K65">
        <v>349.92</v>
      </c>
      <c r="L65" t="s">
        <v>23</v>
      </c>
      <c r="M65" t="s">
        <v>33</v>
      </c>
      <c r="N65">
        <v>12</v>
      </c>
      <c r="O65">
        <v>7</v>
      </c>
      <c r="P65" t="b">
        <v>1</v>
      </c>
      <c r="Q65">
        <v>3</v>
      </c>
      <c r="R65">
        <v>5</v>
      </c>
    </row>
    <row r="66" spans="1:18">
      <c r="A66" t="s">
        <v>171</v>
      </c>
      <c r="B66" t="s">
        <v>172</v>
      </c>
      <c r="C66" s="1">
        <v>45096</v>
      </c>
      <c r="D66">
        <v>45</v>
      </c>
      <c r="E66" t="s">
        <v>36</v>
      </c>
      <c r="F66" t="s">
        <v>21</v>
      </c>
      <c r="G66" t="s">
        <v>46</v>
      </c>
      <c r="H66">
        <v>261.44</v>
      </c>
      <c r="I66">
        <v>1</v>
      </c>
      <c r="J66">
        <v>0</v>
      </c>
      <c r="K66">
        <v>261.44</v>
      </c>
      <c r="L66" t="s">
        <v>23</v>
      </c>
      <c r="M66" t="s">
        <v>33</v>
      </c>
      <c r="N66">
        <v>25</v>
      </c>
      <c r="O66">
        <v>7</v>
      </c>
      <c r="P66" t="b">
        <v>0</v>
      </c>
      <c r="Q66">
        <v>8</v>
      </c>
      <c r="R66">
        <v>3</v>
      </c>
    </row>
    <row r="67" spans="1:18">
      <c r="A67" t="s">
        <v>173</v>
      </c>
      <c r="B67" t="s">
        <v>174</v>
      </c>
      <c r="C67" s="1">
        <v>44963</v>
      </c>
      <c r="D67">
        <v>39</v>
      </c>
      <c r="E67" t="s">
        <v>20</v>
      </c>
      <c r="F67" t="s">
        <v>76</v>
      </c>
      <c r="G67" t="s">
        <v>53</v>
      </c>
      <c r="H67">
        <v>27.2</v>
      </c>
      <c r="I67">
        <v>3</v>
      </c>
      <c r="J67">
        <v>0</v>
      </c>
      <c r="K67">
        <v>81.599999999999994</v>
      </c>
      <c r="L67" t="s">
        <v>23</v>
      </c>
      <c r="M67" t="s">
        <v>33</v>
      </c>
      <c r="N67">
        <v>10</v>
      </c>
      <c r="O67">
        <v>10</v>
      </c>
      <c r="P67" t="b">
        <v>1</v>
      </c>
      <c r="Q67">
        <v>6</v>
      </c>
      <c r="R67">
        <v>1</v>
      </c>
    </row>
    <row r="68" spans="1:18">
      <c r="A68" t="s">
        <v>175</v>
      </c>
      <c r="B68" t="s">
        <v>176</v>
      </c>
      <c r="C68" s="1">
        <v>45190</v>
      </c>
      <c r="D68">
        <v>26</v>
      </c>
      <c r="E68" t="s">
        <v>20</v>
      </c>
      <c r="F68" t="s">
        <v>76</v>
      </c>
      <c r="G68" t="s">
        <v>46</v>
      </c>
      <c r="H68">
        <v>246.94</v>
      </c>
      <c r="I68">
        <v>1</v>
      </c>
      <c r="J68">
        <v>0</v>
      </c>
      <c r="K68">
        <v>246.94</v>
      </c>
      <c r="L68" t="s">
        <v>23</v>
      </c>
      <c r="M68" t="s">
        <v>24</v>
      </c>
      <c r="N68">
        <v>10</v>
      </c>
      <c r="O68">
        <v>13</v>
      </c>
      <c r="P68" t="b">
        <v>1</v>
      </c>
      <c r="Q68">
        <v>5</v>
      </c>
      <c r="R68">
        <v>3</v>
      </c>
    </row>
    <row r="69" spans="1:18">
      <c r="A69" t="s">
        <v>177</v>
      </c>
      <c r="B69" t="s">
        <v>178</v>
      </c>
      <c r="C69" s="1">
        <v>45175</v>
      </c>
      <c r="D69">
        <v>42</v>
      </c>
      <c r="E69" t="s">
        <v>20</v>
      </c>
      <c r="F69" t="s">
        <v>52</v>
      </c>
      <c r="G69" t="s">
        <v>56</v>
      </c>
      <c r="H69">
        <v>585.42999999999995</v>
      </c>
      <c r="I69">
        <v>1</v>
      </c>
      <c r="J69">
        <v>83.78</v>
      </c>
      <c r="K69">
        <v>501.65</v>
      </c>
      <c r="L69" t="s">
        <v>23</v>
      </c>
      <c r="M69" t="s">
        <v>24</v>
      </c>
      <c r="N69">
        <v>6</v>
      </c>
      <c r="O69">
        <v>7</v>
      </c>
      <c r="P69" t="b">
        <v>1</v>
      </c>
      <c r="Q69">
        <v>5</v>
      </c>
      <c r="R69">
        <v>5</v>
      </c>
    </row>
    <row r="70" spans="1:18">
      <c r="A70" t="s">
        <v>179</v>
      </c>
      <c r="B70" t="s">
        <v>180</v>
      </c>
      <c r="C70" s="1">
        <v>45297</v>
      </c>
      <c r="D70">
        <v>42</v>
      </c>
      <c r="E70" t="s">
        <v>20</v>
      </c>
      <c r="F70" t="s">
        <v>21</v>
      </c>
      <c r="G70" t="s">
        <v>56</v>
      </c>
      <c r="H70">
        <v>1271.81</v>
      </c>
      <c r="I70">
        <v>5</v>
      </c>
      <c r="J70">
        <v>0</v>
      </c>
      <c r="K70">
        <v>6359.05</v>
      </c>
      <c r="L70" t="s">
        <v>23</v>
      </c>
      <c r="M70" t="s">
        <v>24</v>
      </c>
      <c r="N70">
        <v>11</v>
      </c>
      <c r="O70">
        <v>8</v>
      </c>
      <c r="P70" t="b">
        <v>1</v>
      </c>
      <c r="Q70">
        <v>4</v>
      </c>
      <c r="R70">
        <v>4</v>
      </c>
    </row>
    <row r="71" spans="1:18">
      <c r="A71" t="s">
        <v>181</v>
      </c>
      <c r="B71" t="s">
        <v>182</v>
      </c>
      <c r="C71" s="1">
        <v>45219</v>
      </c>
      <c r="D71">
        <v>34</v>
      </c>
      <c r="E71" t="s">
        <v>36</v>
      </c>
      <c r="F71" t="s">
        <v>83</v>
      </c>
      <c r="G71" t="s">
        <v>46</v>
      </c>
      <c r="H71">
        <v>342.67</v>
      </c>
      <c r="I71">
        <v>5</v>
      </c>
      <c r="J71">
        <v>90.04</v>
      </c>
      <c r="K71">
        <v>1623.31</v>
      </c>
      <c r="L71" t="s">
        <v>23</v>
      </c>
      <c r="M71" t="s">
        <v>24</v>
      </c>
      <c r="N71">
        <v>9</v>
      </c>
      <c r="O71">
        <v>9</v>
      </c>
      <c r="P71" t="b">
        <v>1</v>
      </c>
      <c r="Q71">
        <v>5</v>
      </c>
      <c r="R71">
        <v>5</v>
      </c>
    </row>
    <row r="72" spans="1:18">
      <c r="A72" t="s">
        <v>183</v>
      </c>
      <c r="B72" t="s">
        <v>184</v>
      </c>
      <c r="C72" s="1">
        <v>45257</v>
      </c>
      <c r="D72">
        <v>48</v>
      </c>
      <c r="E72" t="s">
        <v>20</v>
      </c>
      <c r="F72" t="s">
        <v>49</v>
      </c>
      <c r="G72" t="s">
        <v>28</v>
      </c>
      <c r="H72">
        <v>129.38999999999999</v>
      </c>
      <c r="I72">
        <v>1</v>
      </c>
      <c r="J72">
        <v>0</v>
      </c>
      <c r="K72">
        <v>129.38999999999999</v>
      </c>
      <c r="L72" t="s">
        <v>23</v>
      </c>
      <c r="M72" t="s">
        <v>33</v>
      </c>
      <c r="N72">
        <v>17</v>
      </c>
      <c r="O72">
        <v>11</v>
      </c>
      <c r="P72" t="b">
        <v>1</v>
      </c>
      <c r="Q72">
        <v>2</v>
      </c>
      <c r="R72">
        <v>4</v>
      </c>
    </row>
    <row r="73" spans="1:18">
      <c r="A73" t="s">
        <v>185</v>
      </c>
      <c r="B73" t="s">
        <v>186</v>
      </c>
      <c r="C73" s="1">
        <v>44977</v>
      </c>
      <c r="D73">
        <v>44</v>
      </c>
      <c r="E73" t="s">
        <v>36</v>
      </c>
      <c r="F73" t="s">
        <v>59</v>
      </c>
      <c r="G73" t="s">
        <v>115</v>
      </c>
      <c r="H73">
        <v>16.71</v>
      </c>
      <c r="I73">
        <v>2</v>
      </c>
      <c r="J73">
        <v>0</v>
      </c>
      <c r="K73">
        <v>33.42</v>
      </c>
      <c r="L73" t="s">
        <v>23</v>
      </c>
      <c r="M73" t="s">
        <v>24</v>
      </c>
      <c r="N73">
        <v>21</v>
      </c>
      <c r="O73">
        <v>9</v>
      </c>
      <c r="P73" t="b">
        <v>0</v>
      </c>
      <c r="Q73">
        <v>7</v>
      </c>
      <c r="R73">
        <v>3</v>
      </c>
    </row>
    <row r="74" spans="1:18">
      <c r="A74" t="s">
        <v>187</v>
      </c>
      <c r="B74" t="s">
        <v>188</v>
      </c>
      <c r="C74" s="1">
        <v>45299</v>
      </c>
      <c r="D74">
        <v>34</v>
      </c>
      <c r="E74" t="s">
        <v>20</v>
      </c>
      <c r="F74" t="s">
        <v>73</v>
      </c>
      <c r="G74" t="s">
        <v>56</v>
      </c>
      <c r="H74">
        <v>1518.15</v>
      </c>
      <c r="I74">
        <v>3</v>
      </c>
      <c r="J74">
        <v>0</v>
      </c>
      <c r="K74">
        <v>4554.45</v>
      </c>
      <c r="L74" t="s">
        <v>23</v>
      </c>
      <c r="M74" t="s">
        <v>24</v>
      </c>
      <c r="N74">
        <v>24</v>
      </c>
      <c r="O74">
        <v>10</v>
      </c>
      <c r="P74" t="b">
        <v>0</v>
      </c>
      <c r="Q74">
        <v>3</v>
      </c>
      <c r="R74">
        <v>5</v>
      </c>
    </row>
    <row r="75" spans="1:18">
      <c r="A75" t="s">
        <v>189</v>
      </c>
      <c r="B75" t="s">
        <v>190</v>
      </c>
      <c r="C75" s="1">
        <v>45336</v>
      </c>
      <c r="D75">
        <v>35</v>
      </c>
      <c r="E75" t="s">
        <v>20</v>
      </c>
      <c r="F75" t="s">
        <v>49</v>
      </c>
      <c r="G75" t="s">
        <v>46</v>
      </c>
      <c r="H75">
        <v>214.15</v>
      </c>
      <c r="I75">
        <v>2</v>
      </c>
      <c r="J75">
        <v>0</v>
      </c>
      <c r="K75">
        <v>428.3</v>
      </c>
      <c r="L75" t="s">
        <v>23</v>
      </c>
      <c r="M75" t="s">
        <v>24</v>
      </c>
      <c r="N75">
        <v>4</v>
      </c>
      <c r="O75">
        <v>4</v>
      </c>
      <c r="P75" t="b">
        <v>0</v>
      </c>
      <c r="Q75">
        <v>3</v>
      </c>
      <c r="R75">
        <v>5</v>
      </c>
    </row>
    <row r="76" spans="1:18">
      <c r="A76" t="s">
        <v>191</v>
      </c>
      <c r="B76" t="s">
        <v>192</v>
      </c>
      <c r="C76" s="1">
        <v>45069</v>
      </c>
      <c r="D76">
        <v>28</v>
      </c>
      <c r="E76" t="s">
        <v>36</v>
      </c>
      <c r="F76" t="s">
        <v>32</v>
      </c>
      <c r="G76" t="s">
        <v>64</v>
      </c>
      <c r="H76">
        <v>555.79999999999995</v>
      </c>
      <c r="I76">
        <v>2</v>
      </c>
      <c r="J76">
        <v>0</v>
      </c>
      <c r="K76">
        <v>1111.5999999999999</v>
      </c>
      <c r="L76" t="s">
        <v>23</v>
      </c>
      <c r="M76" t="s">
        <v>29</v>
      </c>
      <c r="N76">
        <v>31</v>
      </c>
      <c r="O76">
        <v>12</v>
      </c>
      <c r="P76" t="b">
        <v>1</v>
      </c>
      <c r="Q76">
        <v>11</v>
      </c>
      <c r="R76">
        <v>5</v>
      </c>
    </row>
    <row r="77" spans="1:18">
      <c r="A77" t="s">
        <v>193</v>
      </c>
      <c r="B77" t="s">
        <v>194</v>
      </c>
      <c r="C77" s="1">
        <v>45340</v>
      </c>
      <c r="D77">
        <v>32</v>
      </c>
      <c r="E77" t="s">
        <v>20</v>
      </c>
      <c r="F77" t="s">
        <v>21</v>
      </c>
      <c r="G77" t="s">
        <v>37</v>
      </c>
      <c r="H77">
        <v>246.17</v>
      </c>
      <c r="I77">
        <v>5</v>
      </c>
      <c r="J77">
        <v>0</v>
      </c>
      <c r="K77">
        <v>1230.8499999999999</v>
      </c>
      <c r="L77" t="s">
        <v>23</v>
      </c>
      <c r="M77" t="s">
        <v>33</v>
      </c>
      <c r="N77">
        <v>31</v>
      </c>
      <c r="O77">
        <v>13</v>
      </c>
      <c r="P77" t="b">
        <v>1</v>
      </c>
      <c r="Q77">
        <v>9</v>
      </c>
      <c r="R77">
        <v>3</v>
      </c>
    </row>
    <row r="78" spans="1:18">
      <c r="A78" t="s">
        <v>195</v>
      </c>
      <c r="B78" t="s">
        <v>196</v>
      </c>
      <c r="C78" s="1">
        <v>45365</v>
      </c>
      <c r="D78">
        <v>52</v>
      </c>
      <c r="E78" t="s">
        <v>20</v>
      </c>
      <c r="F78" t="s">
        <v>27</v>
      </c>
      <c r="G78" t="s">
        <v>46</v>
      </c>
      <c r="H78">
        <v>529.26</v>
      </c>
      <c r="I78">
        <v>1</v>
      </c>
      <c r="J78">
        <v>45.68</v>
      </c>
      <c r="K78">
        <v>483.58</v>
      </c>
      <c r="L78" t="s">
        <v>23</v>
      </c>
      <c r="M78" t="s">
        <v>33</v>
      </c>
      <c r="N78">
        <v>26</v>
      </c>
      <c r="O78">
        <v>9</v>
      </c>
      <c r="P78" t="b">
        <v>1</v>
      </c>
      <c r="Q78">
        <v>10</v>
      </c>
      <c r="R78">
        <v>5</v>
      </c>
    </row>
    <row r="79" spans="1:18">
      <c r="A79" t="s">
        <v>197</v>
      </c>
      <c r="B79" t="s">
        <v>198</v>
      </c>
      <c r="C79" s="1">
        <v>45361</v>
      </c>
      <c r="D79">
        <v>53</v>
      </c>
      <c r="E79" t="s">
        <v>20</v>
      </c>
      <c r="F79" t="s">
        <v>76</v>
      </c>
      <c r="G79" t="s">
        <v>37</v>
      </c>
      <c r="H79">
        <v>182.33</v>
      </c>
      <c r="I79">
        <v>1</v>
      </c>
      <c r="J79">
        <v>0</v>
      </c>
      <c r="K79">
        <v>182.33</v>
      </c>
      <c r="L79" t="s">
        <v>23</v>
      </c>
      <c r="M79" t="s">
        <v>33</v>
      </c>
      <c r="N79">
        <v>7</v>
      </c>
      <c r="O79">
        <v>9</v>
      </c>
      <c r="P79" t="b">
        <v>1</v>
      </c>
      <c r="Q79">
        <v>2</v>
      </c>
      <c r="R79">
        <v>4</v>
      </c>
    </row>
    <row r="80" spans="1:18">
      <c r="A80" t="s">
        <v>199</v>
      </c>
      <c r="B80" t="s">
        <v>200</v>
      </c>
      <c r="C80" s="1">
        <v>45012</v>
      </c>
      <c r="D80">
        <v>39</v>
      </c>
      <c r="E80" t="s">
        <v>20</v>
      </c>
      <c r="F80" t="s">
        <v>32</v>
      </c>
      <c r="G80" t="s">
        <v>115</v>
      </c>
      <c r="H80">
        <v>40.18</v>
      </c>
      <c r="I80">
        <v>1</v>
      </c>
      <c r="J80">
        <v>0</v>
      </c>
      <c r="K80">
        <v>40.18</v>
      </c>
      <c r="L80" t="s">
        <v>23</v>
      </c>
      <c r="M80" t="s">
        <v>33</v>
      </c>
      <c r="N80">
        <v>21</v>
      </c>
      <c r="O80">
        <v>6</v>
      </c>
      <c r="P80" t="b">
        <v>0</v>
      </c>
      <c r="Q80">
        <v>9</v>
      </c>
      <c r="R80">
        <v>2</v>
      </c>
    </row>
    <row r="81" spans="1:18">
      <c r="A81" t="s">
        <v>201</v>
      </c>
      <c r="B81" t="s">
        <v>202</v>
      </c>
      <c r="C81" s="1">
        <v>45173</v>
      </c>
      <c r="D81">
        <v>37</v>
      </c>
      <c r="E81" t="s">
        <v>20</v>
      </c>
      <c r="F81" t="s">
        <v>32</v>
      </c>
      <c r="G81" t="s">
        <v>22</v>
      </c>
      <c r="H81">
        <v>182.84</v>
      </c>
      <c r="I81">
        <v>3</v>
      </c>
      <c r="J81">
        <v>0</v>
      </c>
      <c r="K81">
        <v>548.52</v>
      </c>
      <c r="L81" t="s">
        <v>23</v>
      </c>
      <c r="M81" t="s">
        <v>24</v>
      </c>
      <c r="N81">
        <v>21</v>
      </c>
      <c r="O81">
        <v>7</v>
      </c>
      <c r="P81" t="b">
        <v>0</v>
      </c>
      <c r="Q81">
        <v>5</v>
      </c>
      <c r="R81">
        <v>5</v>
      </c>
    </row>
    <row r="82" spans="1:18">
      <c r="A82" t="s">
        <v>203</v>
      </c>
      <c r="B82" t="s">
        <v>204</v>
      </c>
      <c r="C82" s="1">
        <v>44957</v>
      </c>
      <c r="D82">
        <v>35</v>
      </c>
      <c r="E82" t="s">
        <v>36</v>
      </c>
      <c r="F82" t="s">
        <v>76</v>
      </c>
      <c r="G82" t="s">
        <v>53</v>
      </c>
      <c r="H82">
        <v>51.94</v>
      </c>
      <c r="I82">
        <v>1</v>
      </c>
      <c r="J82">
        <v>14.38</v>
      </c>
      <c r="K82">
        <v>37.56</v>
      </c>
      <c r="L82" t="s">
        <v>23</v>
      </c>
      <c r="M82" t="s">
        <v>24</v>
      </c>
      <c r="N82">
        <v>1</v>
      </c>
      <c r="O82">
        <v>8</v>
      </c>
      <c r="P82" t="b">
        <v>0</v>
      </c>
      <c r="Q82">
        <v>7</v>
      </c>
      <c r="R82">
        <v>3</v>
      </c>
    </row>
    <row r="83" spans="1:18">
      <c r="A83" t="s">
        <v>205</v>
      </c>
      <c r="B83" t="s">
        <v>206</v>
      </c>
      <c r="C83" s="1">
        <v>45121</v>
      </c>
      <c r="D83">
        <v>52</v>
      </c>
      <c r="E83" t="s">
        <v>36</v>
      </c>
      <c r="F83" t="s">
        <v>52</v>
      </c>
      <c r="G83" t="s">
        <v>56</v>
      </c>
      <c r="H83">
        <v>522.49</v>
      </c>
      <c r="I83">
        <v>1</v>
      </c>
      <c r="J83">
        <v>0</v>
      </c>
      <c r="K83">
        <v>522.49</v>
      </c>
      <c r="L83" t="s">
        <v>23</v>
      </c>
      <c r="M83" t="s">
        <v>24</v>
      </c>
      <c r="N83">
        <v>25</v>
      </c>
      <c r="O83">
        <v>9</v>
      </c>
      <c r="P83" t="b">
        <v>0</v>
      </c>
      <c r="Q83">
        <v>5</v>
      </c>
      <c r="R83">
        <v>1</v>
      </c>
    </row>
    <row r="84" spans="1:18">
      <c r="A84" t="s">
        <v>207</v>
      </c>
      <c r="B84" t="s">
        <v>208</v>
      </c>
      <c r="C84" s="1">
        <v>45073</v>
      </c>
      <c r="D84">
        <v>25</v>
      </c>
      <c r="E84" t="s">
        <v>20</v>
      </c>
      <c r="F84" t="s">
        <v>21</v>
      </c>
      <c r="G84" t="s">
        <v>37</v>
      </c>
      <c r="H84">
        <v>188.29</v>
      </c>
      <c r="I84">
        <v>5</v>
      </c>
      <c r="J84">
        <v>0</v>
      </c>
      <c r="K84">
        <v>941.45</v>
      </c>
      <c r="L84" t="s">
        <v>23</v>
      </c>
      <c r="M84" t="s">
        <v>33</v>
      </c>
      <c r="N84">
        <v>10</v>
      </c>
      <c r="O84">
        <v>11</v>
      </c>
      <c r="P84" t="b">
        <v>0</v>
      </c>
      <c r="Q84">
        <v>18</v>
      </c>
      <c r="R84">
        <v>3</v>
      </c>
    </row>
    <row r="85" spans="1:18">
      <c r="A85" t="s">
        <v>209</v>
      </c>
      <c r="B85" t="s">
        <v>210</v>
      </c>
      <c r="C85" s="1">
        <v>45301</v>
      </c>
      <c r="D85">
        <v>18</v>
      </c>
      <c r="E85" t="s">
        <v>20</v>
      </c>
      <c r="F85" t="s">
        <v>52</v>
      </c>
      <c r="G85" t="s">
        <v>37</v>
      </c>
      <c r="H85">
        <v>113.03</v>
      </c>
      <c r="I85">
        <v>3</v>
      </c>
      <c r="J85">
        <v>0</v>
      </c>
      <c r="K85">
        <v>339.09</v>
      </c>
      <c r="L85" t="s">
        <v>23</v>
      </c>
      <c r="M85" t="s">
        <v>24</v>
      </c>
      <c r="N85">
        <v>6</v>
      </c>
      <c r="O85">
        <v>10</v>
      </c>
      <c r="P85" t="b">
        <v>0</v>
      </c>
      <c r="Q85">
        <v>2</v>
      </c>
      <c r="R85">
        <v>5</v>
      </c>
    </row>
    <row r="86" spans="1:18">
      <c r="A86" t="s">
        <v>211</v>
      </c>
      <c r="B86" t="s">
        <v>212</v>
      </c>
      <c r="C86" s="1">
        <v>45265</v>
      </c>
      <c r="D86">
        <v>36</v>
      </c>
      <c r="E86" t="s">
        <v>20</v>
      </c>
      <c r="F86" t="s">
        <v>88</v>
      </c>
      <c r="G86" t="s">
        <v>115</v>
      </c>
      <c r="H86">
        <v>74.34</v>
      </c>
      <c r="I86">
        <v>4</v>
      </c>
      <c r="J86">
        <v>0</v>
      </c>
      <c r="K86">
        <v>297.36</v>
      </c>
      <c r="L86" t="s">
        <v>23</v>
      </c>
      <c r="M86" t="s">
        <v>33</v>
      </c>
      <c r="N86">
        <v>16</v>
      </c>
      <c r="O86">
        <v>13</v>
      </c>
      <c r="P86" t="b">
        <v>1</v>
      </c>
      <c r="Q86">
        <v>2</v>
      </c>
      <c r="R86">
        <v>2</v>
      </c>
    </row>
    <row r="87" spans="1:18">
      <c r="A87" t="s">
        <v>213</v>
      </c>
      <c r="B87" t="s">
        <v>214</v>
      </c>
      <c r="C87" s="1">
        <v>45294</v>
      </c>
      <c r="D87">
        <v>39</v>
      </c>
      <c r="E87" t="s">
        <v>36</v>
      </c>
      <c r="F87" t="s">
        <v>21</v>
      </c>
      <c r="G87" t="s">
        <v>56</v>
      </c>
      <c r="H87">
        <v>907.02</v>
      </c>
      <c r="I87">
        <v>2</v>
      </c>
      <c r="J87">
        <v>248.01</v>
      </c>
      <c r="K87">
        <v>1566.03</v>
      </c>
      <c r="L87" t="s">
        <v>23</v>
      </c>
      <c r="M87" t="s">
        <v>33</v>
      </c>
      <c r="N87">
        <v>22</v>
      </c>
      <c r="O87">
        <v>9</v>
      </c>
      <c r="P87" t="b">
        <v>1</v>
      </c>
      <c r="Q87">
        <v>11</v>
      </c>
      <c r="R87">
        <v>5</v>
      </c>
    </row>
    <row r="88" spans="1:18">
      <c r="A88" t="s">
        <v>215</v>
      </c>
      <c r="B88" t="s">
        <v>216</v>
      </c>
      <c r="C88" s="1">
        <v>45078</v>
      </c>
      <c r="D88">
        <v>24</v>
      </c>
      <c r="E88" t="s">
        <v>20</v>
      </c>
      <c r="F88" t="s">
        <v>32</v>
      </c>
      <c r="G88" t="s">
        <v>53</v>
      </c>
      <c r="H88">
        <v>33.29</v>
      </c>
      <c r="I88">
        <v>1</v>
      </c>
      <c r="J88">
        <v>0</v>
      </c>
      <c r="K88">
        <v>33.29</v>
      </c>
      <c r="L88" t="s">
        <v>23</v>
      </c>
      <c r="M88" t="s">
        <v>33</v>
      </c>
      <c r="N88">
        <v>10</v>
      </c>
      <c r="O88">
        <v>5</v>
      </c>
      <c r="P88" t="b">
        <v>1</v>
      </c>
      <c r="Q88">
        <v>3</v>
      </c>
      <c r="R88">
        <v>5</v>
      </c>
    </row>
    <row r="89" spans="1:18">
      <c r="A89" t="s">
        <v>217</v>
      </c>
      <c r="B89" t="s">
        <v>218</v>
      </c>
      <c r="C89" s="1">
        <v>45087</v>
      </c>
      <c r="D89">
        <v>33</v>
      </c>
      <c r="E89" t="s">
        <v>20</v>
      </c>
      <c r="F89" t="s">
        <v>21</v>
      </c>
      <c r="G89" t="s">
        <v>22</v>
      </c>
      <c r="H89">
        <v>718.68</v>
      </c>
      <c r="I89">
        <v>1</v>
      </c>
      <c r="J89">
        <v>0</v>
      </c>
      <c r="K89">
        <v>718.68</v>
      </c>
      <c r="L89" t="s">
        <v>23</v>
      </c>
      <c r="M89" t="s">
        <v>24</v>
      </c>
      <c r="N89">
        <v>10</v>
      </c>
      <c r="O89">
        <v>7</v>
      </c>
      <c r="P89" t="b">
        <v>1</v>
      </c>
      <c r="Q89">
        <v>8</v>
      </c>
      <c r="R89">
        <v>2</v>
      </c>
    </row>
    <row r="90" spans="1:18">
      <c r="A90" t="s">
        <v>219</v>
      </c>
      <c r="B90" t="s">
        <v>220</v>
      </c>
      <c r="C90" s="1">
        <v>45363</v>
      </c>
      <c r="D90">
        <v>29</v>
      </c>
      <c r="E90" t="s">
        <v>20</v>
      </c>
      <c r="F90" t="s">
        <v>52</v>
      </c>
      <c r="G90" t="s">
        <v>56</v>
      </c>
      <c r="H90">
        <v>1030.8599999999999</v>
      </c>
      <c r="I90">
        <v>1</v>
      </c>
      <c r="J90">
        <v>296.67</v>
      </c>
      <c r="K90">
        <v>734.19</v>
      </c>
      <c r="L90" t="s">
        <v>23</v>
      </c>
      <c r="M90" t="s">
        <v>33</v>
      </c>
      <c r="N90">
        <v>8</v>
      </c>
      <c r="O90">
        <v>9</v>
      </c>
      <c r="P90" t="b">
        <v>0</v>
      </c>
      <c r="Q90">
        <v>3</v>
      </c>
      <c r="R90">
        <v>5</v>
      </c>
    </row>
    <row r="91" spans="1:18">
      <c r="A91" t="s">
        <v>221</v>
      </c>
      <c r="B91" t="s">
        <v>222</v>
      </c>
      <c r="C91" s="1">
        <v>45362</v>
      </c>
      <c r="D91">
        <v>43</v>
      </c>
      <c r="E91" t="s">
        <v>36</v>
      </c>
      <c r="F91" t="s">
        <v>32</v>
      </c>
      <c r="G91" t="s">
        <v>28</v>
      </c>
      <c r="H91">
        <v>111.68</v>
      </c>
      <c r="I91">
        <v>3</v>
      </c>
      <c r="J91">
        <v>32.03</v>
      </c>
      <c r="K91">
        <v>303.01</v>
      </c>
      <c r="L91" t="s">
        <v>23</v>
      </c>
      <c r="M91" t="s">
        <v>24</v>
      </c>
      <c r="N91">
        <v>10</v>
      </c>
      <c r="O91">
        <v>16</v>
      </c>
      <c r="P91" t="b">
        <v>1</v>
      </c>
      <c r="Q91">
        <v>11</v>
      </c>
      <c r="R91">
        <v>5</v>
      </c>
    </row>
    <row r="92" spans="1:18">
      <c r="A92" t="s">
        <v>223</v>
      </c>
      <c r="B92" t="s">
        <v>224</v>
      </c>
      <c r="C92" s="1">
        <v>45244</v>
      </c>
      <c r="D92">
        <v>51</v>
      </c>
      <c r="E92" t="s">
        <v>20</v>
      </c>
      <c r="F92" t="s">
        <v>32</v>
      </c>
      <c r="G92" t="s">
        <v>22</v>
      </c>
      <c r="H92">
        <v>241.12</v>
      </c>
      <c r="I92">
        <v>1</v>
      </c>
      <c r="J92">
        <v>15.58</v>
      </c>
      <c r="K92">
        <v>225.54</v>
      </c>
      <c r="L92" t="s">
        <v>23</v>
      </c>
      <c r="M92" t="s">
        <v>33</v>
      </c>
      <c r="N92">
        <v>10</v>
      </c>
      <c r="O92">
        <v>15</v>
      </c>
      <c r="P92" t="b">
        <v>1</v>
      </c>
      <c r="Q92">
        <v>11</v>
      </c>
      <c r="R92">
        <v>4</v>
      </c>
    </row>
    <row r="93" spans="1:18">
      <c r="A93" t="s">
        <v>225</v>
      </c>
      <c r="B93" t="s">
        <v>226</v>
      </c>
      <c r="C93" s="1">
        <v>45263</v>
      </c>
      <c r="D93">
        <v>47</v>
      </c>
      <c r="E93" t="s">
        <v>36</v>
      </c>
      <c r="F93" t="s">
        <v>21</v>
      </c>
      <c r="G93" t="s">
        <v>115</v>
      </c>
      <c r="H93">
        <v>61.23</v>
      </c>
      <c r="I93">
        <v>1</v>
      </c>
      <c r="J93">
        <v>7.57</v>
      </c>
      <c r="K93">
        <v>53.66</v>
      </c>
      <c r="L93" t="s">
        <v>23</v>
      </c>
      <c r="M93" t="s">
        <v>24</v>
      </c>
      <c r="N93">
        <v>17</v>
      </c>
      <c r="O93">
        <v>11</v>
      </c>
      <c r="P93" t="b">
        <v>0</v>
      </c>
      <c r="Q93">
        <v>10</v>
      </c>
      <c r="R93">
        <v>4</v>
      </c>
    </row>
    <row r="94" spans="1:18">
      <c r="A94" t="s">
        <v>227</v>
      </c>
      <c r="B94" t="s">
        <v>228</v>
      </c>
      <c r="C94" s="1">
        <v>45031</v>
      </c>
      <c r="D94">
        <v>53</v>
      </c>
      <c r="E94" t="s">
        <v>20</v>
      </c>
      <c r="F94" t="s">
        <v>32</v>
      </c>
      <c r="G94" t="s">
        <v>53</v>
      </c>
      <c r="H94">
        <v>52.51</v>
      </c>
      <c r="I94">
        <v>1</v>
      </c>
      <c r="J94">
        <v>2.99</v>
      </c>
      <c r="K94">
        <v>49.52</v>
      </c>
      <c r="L94" t="s">
        <v>23</v>
      </c>
      <c r="M94" t="s">
        <v>33</v>
      </c>
      <c r="N94">
        <v>9</v>
      </c>
      <c r="O94">
        <v>10</v>
      </c>
      <c r="P94" t="b">
        <v>1</v>
      </c>
      <c r="Q94">
        <v>2</v>
      </c>
      <c r="R94">
        <v>4</v>
      </c>
    </row>
    <row r="95" spans="1:18">
      <c r="A95" t="s">
        <v>229</v>
      </c>
      <c r="B95" t="s">
        <v>230</v>
      </c>
      <c r="C95" s="1">
        <v>45269</v>
      </c>
      <c r="D95">
        <v>35</v>
      </c>
      <c r="E95" t="s">
        <v>36</v>
      </c>
      <c r="F95" t="s">
        <v>32</v>
      </c>
      <c r="G95" t="s">
        <v>28</v>
      </c>
      <c r="H95">
        <v>240.93</v>
      </c>
      <c r="I95">
        <v>2</v>
      </c>
      <c r="J95">
        <v>14.37</v>
      </c>
      <c r="K95">
        <v>467.49</v>
      </c>
      <c r="L95" t="s">
        <v>23</v>
      </c>
      <c r="M95" t="s">
        <v>29</v>
      </c>
      <c r="N95">
        <v>23</v>
      </c>
      <c r="O95">
        <v>9</v>
      </c>
      <c r="P95" t="b">
        <v>0</v>
      </c>
      <c r="Q95">
        <v>6</v>
      </c>
      <c r="R95">
        <v>4</v>
      </c>
    </row>
    <row r="96" spans="1:18">
      <c r="A96" t="s">
        <v>231</v>
      </c>
      <c r="B96" t="s">
        <v>232</v>
      </c>
      <c r="C96" s="1">
        <v>45080</v>
      </c>
      <c r="D96">
        <v>19</v>
      </c>
      <c r="E96" t="s">
        <v>20</v>
      </c>
      <c r="F96" t="s">
        <v>52</v>
      </c>
      <c r="G96" t="s">
        <v>37</v>
      </c>
      <c r="H96">
        <v>132.38999999999999</v>
      </c>
      <c r="I96">
        <v>1</v>
      </c>
      <c r="J96">
        <v>0</v>
      </c>
      <c r="K96">
        <v>132.38999999999999</v>
      </c>
      <c r="L96" t="s">
        <v>23</v>
      </c>
      <c r="M96" t="s">
        <v>33</v>
      </c>
      <c r="N96">
        <v>9</v>
      </c>
      <c r="O96">
        <v>11</v>
      </c>
      <c r="P96" t="b">
        <v>0</v>
      </c>
      <c r="Q96">
        <v>5</v>
      </c>
      <c r="R96">
        <v>5</v>
      </c>
    </row>
    <row r="97" spans="1:18">
      <c r="A97" t="s">
        <v>233</v>
      </c>
      <c r="B97" t="s">
        <v>234</v>
      </c>
      <c r="C97" s="1">
        <v>44964</v>
      </c>
      <c r="D97">
        <v>28</v>
      </c>
      <c r="E97" t="s">
        <v>36</v>
      </c>
      <c r="F97" t="s">
        <v>49</v>
      </c>
      <c r="G97" t="s">
        <v>56</v>
      </c>
      <c r="H97">
        <v>711.42</v>
      </c>
      <c r="I97">
        <v>3</v>
      </c>
      <c r="J97">
        <v>0</v>
      </c>
      <c r="K97">
        <v>2134.2600000000002</v>
      </c>
      <c r="L97" t="s">
        <v>23</v>
      </c>
      <c r="M97" t="s">
        <v>33</v>
      </c>
      <c r="N97">
        <v>16</v>
      </c>
      <c r="O97">
        <v>9</v>
      </c>
      <c r="P97" t="b">
        <v>0</v>
      </c>
      <c r="Q97">
        <v>11</v>
      </c>
      <c r="R97">
        <v>5</v>
      </c>
    </row>
    <row r="98" spans="1:18">
      <c r="A98" t="s">
        <v>235</v>
      </c>
      <c r="B98" t="s">
        <v>236</v>
      </c>
      <c r="C98" s="1">
        <v>45161</v>
      </c>
      <c r="D98">
        <v>34</v>
      </c>
      <c r="E98" t="s">
        <v>36</v>
      </c>
      <c r="F98" t="s">
        <v>88</v>
      </c>
      <c r="G98" t="s">
        <v>56</v>
      </c>
      <c r="H98">
        <v>172.79</v>
      </c>
      <c r="I98">
        <v>1</v>
      </c>
      <c r="J98">
        <v>30.83</v>
      </c>
      <c r="K98">
        <v>141.96</v>
      </c>
      <c r="L98" t="s">
        <v>23</v>
      </c>
      <c r="M98" t="s">
        <v>33</v>
      </c>
      <c r="N98">
        <v>16</v>
      </c>
      <c r="O98">
        <v>9</v>
      </c>
      <c r="P98" t="b">
        <v>0</v>
      </c>
      <c r="Q98">
        <v>11</v>
      </c>
      <c r="R98">
        <v>4</v>
      </c>
    </row>
    <row r="99" spans="1:18">
      <c r="A99" t="s">
        <v>237</v>
      </c>
      <c r="B99" t="s">
        <v>238</v>
      </c>
      <c r="C99" s="1">
        <v>45186</v>
      </c>
      <c r="D99">
        <v>22</v>
      </c>
      <c r="E99" t="s">
        <v>20</v>
      </c>
      <c r="F99" t="s">
        <v>32</v>
      </c>
      <c r="G99" t="s">
        <v>64</v>
      </c>
      <c r="H99">
        <v>665.91</v>
      </c>
      <c r="I99">
        <v>2</v>
      </c>
      <c r="J99">
        <v>0</v>
      </c>
      <c r="K99">
        <v>1331.82</v>
      </c>
      <c r="L99" t="s">
        <v>23</v>
      </c>
      <c r="M99" t="s">
        <v>33</v>
      </c>
      <c r="N99">
        <v>9</v>
      </c>
      <c r="O99">
        <v>8</v>
      </c>
      <c r="P99" t="b">
        <v>0</v>
      </c>
      <c r="Q99">
        <v>6</v>
      </c>
      <c r="R99">
        <v>4</v>
      </c>
    </row>
    <row r="100" spans="1:18">
      <c r="A100" t="s">
        <v>239</v>
      </c>
      <c r="B100" t="s">
        <v>240</v>
      </c>
      <c r="C100" s="1">
        <v>44994</v>
      </c>
      <c r="D100">
        <v>20</v>
      </c>
      <c r="E100" t="s">
        <v>20</v>
      </c>
      <c r="F100" t="s">
        <v>88</v>
      </c>
      <c r="G100" t="s">
        <v>22</v>
      </c>
      <c r="H100">
        <v>96.23</v>
      </c>
      <c r="I100">
        <v>2</v>
      </c>
      <c r="J100">
        <v>0</v>
      </c>
      <c r="K100">
        <v>192.46</v>
      </c>
      <c r="L100" t="s">
        <v>23</v>
      </c>
      <c r="M100" t="s">
        <v>24</v>
      </c>
      <c r="N100">
        <v>26</v>
      </c>
      <c r="O100">
        <v>13</v>
      </c>
      <c r="P100" t="b">
        <v>0</v>
      </c>
      <c r="Q100">
        <v>3</v>
      </c>
      <c r="R100">
        <v>4</v>
      </c>
    </row>
    <row r="101" spans="1:18">
      <c r="A101" t="s">
        <v>241</v>
      </c>
      <c r="B101" t="s">
        <v>242</v>
      </c>
      <c r="C101" s="1">
        <v>45081</v>
      </c>
      <c r="D101">
        <v>18</v>
      </c>
      <c r="E101" t="s">
        <v>20</v>
      </c>
      <c r="F101" t="s">
        <v>32</v>
      </c>
      <c r="G101" t="s">
        <v>64</v>
      </c>
      <c r="H101">
        <v>3463.03</v>
      </c>
      <c r="I101">
        <v>5</v>
      </c>
      <c r="J101">
        <v>215.85</v>
      </c>
      <c r="K101">
        <v>17099.3</v>
      </c>
      <c r="L101" t="s">
        <v>23</v>
      </c>
      <c r="M101" t="s">
        <v>24</v>
      </c>
      <c r="N101">
        <v>20</v>
      </c>
      <c r="O101">
        <v>5</v>
      </c>
      <c r="P101" t="b">
        <v>1</v>
      </c>
      <c r="Q101">
        <v>4</v>
      </c>
      <c r="R101">
        <v>4</v>
      </c>
    </row>
    <row r="102" spans="1:18">
      <c r="A102" t="s">
        <v>243</v>
      </c>
      <c r="B102" t="s">
        <v>244</v>
      </c>
      <c r="C102" s="1">
        <v>45240</v>
      </c>
      <c r="D102">
        <v>18</v>
      </c>
      <c r="E102" t="s">
        <v>20</v>
      </c>
      <c r="F102" t="s">
        <v>32</v>
      </c>
      <c r="G102" t="s">
        <v>37</v>
      </c>
      <c r="H102">
        <v>19.34</v>
      </c>
      <c r="I102">
        <v>1</v>
      </c>
      <c r="J102">
        <v>0</v>
      </c>
      <c r="K102">
        <v>19.34</v>
      </c>
      <c r="L102" t="s">
        <v>23</v>
      </c>
      <c r="M102" t="s">
        <v>24</v>
      </c>
      <c r="N102">
        <v>17</v>
      </c>
      <c r="O102">
        <v>12</v>
      </c>
      <c r="P102" t="b">
        <v>1</v>
      </c>
      <c r="Q102">
        <v>5</v>
      </c>
      <c r="R102">
        <v>4</v>
      </c>
    </row>
    <row r="103" spans="1:18">
      <c r="A103" t="s">
        <v>245</v>
      </c>
      <c r="B103" t="s">
        <v>246</v>
      </c>
      <c r="C103" s="1">
        <v>45307</v>
      </c>
      <c r="D103">
        <v>55</v>
      </c>
      <c r="E103" t="s">
        <v>20</v>
      </c>
      <c r="F103" t="s">
        <v>59</v>
      </c>
      <c r="G103" t="s">
        <v>37</v>
      </c>
      <c r="H103">
        <v>162.56</v>
      </c>
      <c r="I103">
        <v>5</v>
      </c>
      <c r="J103">
        <v>0</v>
      </c>
      <c r="K103">
        <v>812.8</v>
      </c>
      <c r="L103" t="s">
        <v>23</v>
      </c>
      <c r="M103" t="s">
        <v>33</v>
      </c>
      <c r="N103">
        <v>15</v>
      </c>
      <c r="O103">
        <v>14</v>
      </c>
      <c r="P103" t="b">
        <v>1</v>
      </c>
      <c r="Q103">
        <v>5</v>
      </c>
      <c r="R103">
        <v>3</v>
      </c>
    </row>
    <row r="104" spans="1:18">
      <c r="A104" t="s">
        <v>247</v>
      </c>
      <c r="B104" t="s">
        <v>248</v>
      </c>
      <c r="C104" s="1">
        <v>45294</v>
      </c>
      <c r="D104">
        <v>41</v>
      </c>
      <c r="E104" t="s">
        <v>20</v>
      </c>
      <c r="F104" t="s">
        <v>59</v>
      </c>
      <c r="G104" t="s">
        <v>64</v>
      </c>
      <c r="H104">
        <v>734.28</v>
      </c>
      <c r="I104">
        <v>2</v>
      </c>
      <c r="J104">
        <v>0</v>
      </c>
      <c r="K104">
        <v>1468.56</v>
      </c>
      <c r="L104" t="s">
        <v>23</v>
      </c>
      <c r="M104" t="s">
        <v>24</v>
      </c>
      <c r="N104">
        <v>18</v>
      </c>
      <c r="O104">
        <v>5</v>
      </c>
      <c r="P104" t="b">
        <v>1</v>
      </c>
      <c r="Q104">
        <v>9</v>
      </c>
      <c r="R104">
        <v>3</v>
      </c>
    </row>
    <row r="105" spans="1:18">
      <c r="A105" t="s">
        <v>249</v>
      </c>
      <c r="B105" t="s">
        <v>250</v>
      </c>
      <c r="C105" s="1">
        <v>45102</v>
      </c>
      <c r="D105">
        <v>22</v>
      </c>
      <c r="E105" t="s">
        <v>36</v>
      </c>
      <c r="F105" t="s">
        <v>27</v>
      </c>
      <c r="G105" t="s">
        <v>64</v>
      </c>
      <c r="H105">
        <v>2148.3200000000002</v>
      </c>
      <c r="I105">
        <v>2</v>
      </c>
      <c r="J105">
        <v>0</v>
      </c>
      <c r="K105">
        <v>4296.6400000000003</v>
      </c>
      <c r="L105" t="s">
        <v>23</v>
      </c>
      <c r="M105" t="s">
        <v>24</v>
      </c>
      <c r="N105">
        <v>28</v>
      </c>
      <c r="O105">
        <v>8</v>
      </c>
      <c r="P105" t="b">
        <v>1</v>
      </c>
      <c r="Q105">
        <v>6</v>
      </c>
      <c r="R105">
        <v>5</v>
      </c>
    </row>
    <row r="106" spans="1:18">
      <c r="A106" t="s">
        <v>251</v>
      </c>
      <c r="B106" t="s">
        <v>252</v>
      </c>
      <c r="C106" s="1">
        <v>45062</v>
      </c>
      <c r="D106">
        <v>57</v>
      </c>
      <c r="E106" t="s">
        <v>36</v>
      </c>
      <c r="F106" t="s">
        <v>27</v>
      </c>
      <c r="G106" t="s">
        <v>56</v>
      </c>
      <c r="H106">
        <v>423.12</v>
      </c>
      <c r="I106">
        <v>2</v>
      </c>
      <c r="J106">
        <v>0</v>
      </c>
      <c r="K106">
        <v>846.24</v>
      </c>
      <c r="L106" t="s">
        <v>23</v>
      </c>
      <c r="M106" t="s">
        <v>24</v>
      </c>
      <c r="N106">
        <v>17</v>
      </c>
      <c r="O106">
        <v>12</v>
      </c>
      <c r="P106" t="b">
        <v>1</v>
      </c>
      <c r="Q106">
        <v>7</v>
      </c>
      <c r="R106">
        <v>5</v>
      </c>
    </row>
    <row r="107" spans="1:18">
      <c r="A107" t="s">
        <v>253</v>
      </c>
      <c r="B107" t="s">
        <v>254</v>
      </c>
      <c r="C107" s="1">
        <v>44953</v>
      </c>
      <c r="D107">
        <v>27</v>
      </c>
      <c r="E107" t="s">
        <v>20</v>
      </c>
      <c r="F107" t="s">
        <v>88</v>
      </c>
      <c r="G107" t="s">
        <v>64</v>
      </c>
      <c r="H107">
        <v>503.88</v>
      </c>
      <c r="I107">
        <v>5</v>
      </c>
      <c r="J107">
        <v>0</v>
      </c>
      <c r="K107">
        <v>2519.4</v>
      </c>
      <c r="L107" t="s">
        <v>23</v>
      </c>
      <c r="M107" t="s">
        <v>24</v>
      </c>
      <c r="N107">
        <v>14</v>
      </c>
      <c r="O107">
        <v>4</v>
      </c>
      <c r="P107" t="b">
        <v>1</v>
      </c>
      <c r="Q107">
        <v>7</v>
      </c>
      <c r="R107">
        <v>5</v>
      </c>
    </row>
    <row r="108" spans="1:18">
      <c r="A108" t="s">
        <v>255</v>
      </c>
      <c r="B108" t="s">
        <v>256</v>
      </c>
      <c r="C108" s="1">
        <v>44928</v>
      </c>
      <c r="D108">
        <v>24</v>
      </c>
      <c r="E108" t="s">
        <v>20</v>
      </c>
      <c r="F108" t="s">
        <v>83</v>
      </c>
      <c r="G108" t="s">
        <v>56</v>
      </c>
      <c r="H108">
        <v>897.02</v>
      </c>
      <c r="I108">
        <v>5</v>
      </c>
      <c r="J108">
        <v>0</v>
      </c>
      <c r="K108">
        <v>4485.1000000000004</v>
      </c>
      <c r="L108" t="s">
        <v>23</v>
      </c>
      <c r="M108" t="s">
        <v>24</v>
      </c>
      <c r="N108">
        <v>17</v>
      </c>
      <c r="O108">
        <v>7</v>
      </c>
      <c r="P108" t="b">
        <v>1</v>
      </c>
      <c r="Q108">
        <v>8</v>
      </c>
      <c r="R108">
        <v>4</v>
      </c>
    </row>
    <row r="109" spans="1:18">
      <c r="A109" t="s">
        <v>257</v>
      </c>
      <c r="B109" t="s">
        <v>258</v>
      </c>
      <c r="C109" s="1">
        <v>45097</v>
      </c>
      <c r="D109">
        <v>28</v>
      </c>
      <c r="E109" t="s">
        <v>20</v>
      </c>
      <c r="F109" t="s">
        <v>52</v>
      </c>
      <c r="G109" t="s">
        <v>64</v>
      </c>
      <c r="H109">
        <v>764.24</v>
      </c>
      <c r="I109">
        <v>2</v>
      </c>
      <c r="J109">
        <v>0</v>
      </c>
      <c r="K109">
        <v>1528.48</v>
      </c>
      <c r="L109" t="s">
        <v>23</v>
      </c>
      <c r="M109" t="s">
        <v>33</v>
      </c>
      <c r="N109">
        <v>11</v>
      </c>
      <c r="O109">
        <v>2</v>
      </c>
      <c r="P109" t="b">
        <v>1</v>
      </c>
      <c r="Q109">
        <v>6</v>
      </c>
      <c r="R109">
        <v>4</v>
      </c>
    </row>
    <row r="110" spans="1:18">
      <c r="A110" t="s">
        <v>259</v>
      </c>
      <c r="B110" t="s">
        <v>260</v>
      </c>
      <c r="C110" s="1">
        <v>44945</v>
      </c>
      <c r="D110">
        <v>34</v>
      </c>
      <c r="E110" t="s">
        <v>36</v>
      </c>
      <c r="F110" t="s">
        <v>49</v>
      </c>
      <c r="G110" t="s">
        <v>115</v>
      </c>
      <c r="H110">
        <v>61.34</v>
      </c>
      <c r="I110">
        <v>1</v>
      </c>
      <c r="J110">
        <v>13.77</v>
      </c>
      <c r="K110">
        <v>47.57</v>
      </c>
      <c r="L110" t="s">
        <v>23</v>
      </c>
      <c r="M110" t="s">
        <v>24</v>
      </c>
      <c r="N110">
        <v>27</v>
      </c>
      <c r="O110">
        <v>9</v>
      </c>
      <c r="P110" t="b">
        <v>0</v>
      </c>
      <c r="Q110">
        <v>16</v>
      </c>
      <c r="R110">
        <v>4</v>
      </c>
    </row>
    <row r="111" spans="1:18">
      <c r="A111" t="s">
        <v>261</v>
      </c>
      <c r="B111" t="s">
        <v>262</v>
      </c>
      <c r="C111" s="1">
        <v>45002</v>
      </c>
      <c r="D111">
        <v>30</v>
      </c>
      <c r="E111" t="s">
        <v>20</v>
      </c>
      <c r="F111" t="s">
        <v>49</v>
      </c>
      <c r="G111" t="s">
        <v>22</v>
      </c>
      <c r="H111">
        <v>712.9</v>
      </c>
      <c r="I111">
        <v>1</v>
      </c>
      <c r="J111">
        <v>0</v>
      </c>
      <c r="K111">
        <v>712.9</v>
      </c>
      <c r="L111" t="s">
        <v>23</v>
      </c>
      <c r="M111" t="s">
        <v>24</v>
      </c>
      <c r="N111">
        <v>13</v>
      </c>
      <c r="O111">
        <v>11</v>
      </c>
      <c r="P111" t="b">
        <v>0</v>
      </c>
      <c r="Q111">
        <v>4</v>
      </c>
      <c r="R111">
        <v>5</v>
      </c>
    </row>
    <row r="112" spans="1:18">
      <c r="A112" t="s">
        <v>263</v>
      </c>
      <c r="B112" t="s">
        <v>264</v>
      </c>
      <c r="C112" s="1">
        <v>44948</v>
      </c>
      <c r="D112">
        <v>45</v>
      </c>
      <c r="E112" t="s">
        <v>20</v>
      </c>
      <c r="F112" t="s">
        <v>59</v>
      </c>
      <c r="G112" t="s">
        <v>64</v>
      </c>
      <c r="H112">
        <v>609.04</v>
      </c>
      <c r="I112">
        <v>1</v>
      </c>
      <c r="J112">
        <v>0</v>
      </c>
      <c r="K112">
        <v>609.04</v>
      </c>
      <c r="L112" t="s">
        <v>23</v>
      </c>
      <c r="M112" t="s">
        <v>33</v>
      </c>
      <c r="N112">
        <v>15</v>
      </c>
      <c r="O112">
        <v>14</v>
      </c>
      <c r="P112" t="b">
        <v>1</v>
      </c>
      <c r="Q112">
        <v>4</v>
      </c>
      <c r="R112">
        <v>5</v>
      </c>
    </row>
    <row r="113" spans="1:18">
      <c r="A113" t="s">
        <v>265</v>
      </c>
      <c r="B113" t="s">
        <v>266</v>
      </c>
      <c r="C113" s="1">
        <v>45367</v>
      </c>
      <c r="D113">
        <v>18</v>
      </c>
      <c r="E113" t="s">
        <v>36</v>
      </c>
      <c r="F113" t="s">
        <v>21</v>
      </c>
      <c r="G113" t="s">
        <v>56</v>
      </c>
      <c r="H113">
        <v>574.49</v>
      </c>
      <c r="I113">
        <v>4</v>
      </c>
      <c r="J113">
        <v>0</v>
      </c>
      <c r="K113">
        <v>2297.96</v>
      </c>
      <c r="L113" t="s">
        <v>23</v>
      </c>
      <c r="M113" t="s">
        <v>24</v>
      </c>
      <c r="N113">
        <v>13</v>
      </c>
      <c r="O113">
        <v>8</v>
      </c>
      <c r="P113" t="b">
        <v>1</v>
      </c>
      <c r="Q113">
        <v>9</v>
      </c>
      <c r="R113">
        <v>1</v>
      </c>
    </row>
    <row r="114" spans="1:18">
      <c r="A114" t="s">
        <v>267</v>
      </c>
      <c r="B114" t="s">
        <v>268</v>
      </c>
      <c r="C114" s="1">
        <v>44979</v>
      </c>
      <c r="D114">
        <v>33</v>
      </c>
      <c r="E114" t="s">
        <v>20</v>
      </c>
      <c r="F114" t="s">
        <v>52</v>
      </c>
      <c r="G114" t="s">
        <v>64</v>
      </c>
      <c r="H114">
        <v>2717.55</v>
      </c>
      <c r="I114">
        <v>4</v>
      </c>
      <c r="J114">
        <v>0</v>
      </c>
      <c r="K114">
        <v>10870.2</v>
      </c>
      <c r="L114" t="s">
        <v>23</v>
      </c>
      <c r="M114" t="s">
        <v>33</v>
      </c>
      <c r="N114">
        <v>8</v>
      </c>
      <c r="O114">
        <v>7</v>
      </c>
      <c r="P114" t="b">
        <v>1</v>
      </c>
      <c r="Q114">
        <v>7</v>
      </c>
      <c r="R114">
        <v>5</v>
      </c>
    </row>
    <row r="115" spans="1:18">
      <c r="A115" t="s">
        <v>269</v>
      </c>
      <c r="B115" t="s">
        <v>270</v>
      </c>
      <c r="C115" s="1">
        <v>45310</v>
      </c>
      <c r="D115">
        <v>39</v>
      </c>
      <c r="E115" t="s">
        <v>36</v>
      </c>
      <c r="F115" t="s">
        <v>52</v>
      </c>
      <c r="G115" t="s">
        <v>46</v>
      </c>
      <c r="H115">
        <v>598.76</v>
      </c>
      <c r="I115">
        <v>1</v>
      </c>
      <c r="J115">
        <v>0</v>
      </c>
      <c r="K115">
        <v>598.76</v>
      </c>
      <c r="L115" t="s">
        <v>23</v>
      </c>
      <c r="M115" t="s">
        <v>33</v>
      </c>
      <c r="N115">
        <v>14</v>
      </c>
      <c r="O115">
        <v>7</v>
      </c>
      <c r="P115" t="b">
        <v>0</v>
      </c>
      <c r="Q115">
        <v>9</v>
      </c>
      <c r="R115">
        <v>5</v>
      </c>
    </row>
    <row r="116" spans="1:18">
      <c r="A116" t="s">
        <v>271</v>
      </c>
      <c r="B116" t="s">
        <v>272</v>
      </c>
      <c r="C116" s="1">
        <v>45336</v>
      </c>
      <c r="D116">
        <v>31</v>
      </c>
      <c r="E116" t="s">
        <v>20</v>
      </c>
      <c r="F116" t="s">
        <v>32</v>
      </c>
      <c r="G116" t="s">
        <v>115</v>
      </c>
      <c r="H116">
        <v>90.82</v>
      </c>
      <c r="I116">
        <v>1</v>
      </c>
      <c r="J116">
        <v>0</v>
      </c>
      <c r="K116">
        <v>90.82</v>
      </c>
      <c r="L116" t="s">
        <v>23</v>
      </c>
      <c r="M116" t="s">
        <v>33</v>
      </c>
      <c r="N116">
        <v>19</v>
      </c>
      <c r="O116">
        <v>8</v>
      </c>
      <c r="P116" t="b">
        <v>1</v>
      </c>
      <c r="Q116">
        <v>6</v>
      </c>
      <c r="R116">
        <v>5</v>
      </c>
    </row>
    <row r="117" spans="1:18">
      <c r="A117" t="s">
        <v>273</v>
      </c>
      <c r="B117" t="s">
        <v>274</v>
      </c>
      <c r="C117" s="1">
        <v>45018</v>
      </c>
      <c r="D117">
        <v>18</v>
      </c>
      <c r="E117" t="s">
        <v>20</v>
      </c>
      <c r="F117" t="s">
        <v>27</v>
      </c>
      <c r="G117" t="s">
        <v>28</v>
      </c>
      <c r="H117">
        <v>161.71</v>
      </c>
      <c r="I117">
        <v>4</v>
      </c>
      <c r="J117">
        <v>0</v>
      </c>
      <c r="K117">
        <v>646.84</v>
      </c>
      <c r="L117" t="s">
        <v>23</v>
      </c>
      <c r="M117" t="s">
        <v>33</v>
      </c>
      <c r="N117">
        <v>13</v>
      </c>
      <c r="O117">
        <v>8</v>
      </c>
      <c r="P117" t="b">
        <v>0</v>
      </c>
      <c r="Q117">
        <v>2</v>
      </c>
      <c r="R117">
        <v>2</v>
      </c>
    </row>
    <row r="118" spans="1:18">
      <c r="A118" t="s">
        <v>275</v>
      </c>
      <c r="B118" t="s">
        <v>276</v>
      </c>
      <c r="C118" s="1">
        <v>44982</v>
      </c>
      <c r="D118">
        <v>62</v>
      </c>
      <c r="E118" t="s">
        <v>20</v>
      </c>
      <c r="F118" t="s">
        <v>59</v>
      </c>
      <c r="G118" t="s">
        <v>37</v>
      </c>
      <c r="H118">
        <v>85.3</v>
      </c>
      <c r="I118">
        <v>1</v>
      </c>
      <c r="J118">
        <v>0</v>
      </c>
      <c r="K118">
        <v>85.3</v>
      </c>
      <c r="L118" t="s">
        <v>23</v>
      </c>
      <c r="M118" t="s">
        <v>33</v>
      </c>
      <c r="N118">
        <v>8</v>
      </c>
      <c r="O118">
        <v>9</v>
      </c>
      <c r="P118" t="b">
        <v>0</v>
      </c>
      <c r="Q118">
        <v>2</v>
      </c>
      <c r="R118">
        <v>4</v>
      </c>
    </row>
    <row r="119" spans="1:18">
      <c r="A119" t="s">
        <v>277</v>
      </c>
      <c r="B119" t="s">
        <v>278</v>
      </c>
      <c r="C119" s="1">
        <v>45373</v>
      </c>
      <c r="D119">
        <v>37</v>
      </c>
      <c r="E119" t="s">
        <v>20</v>
      </c>
      <c r="F119" t="s">
        <v>32</v>
      </c>
      <c r="G119" t="s">
        <v>46</v>
      </c>
      <c r="H119">
        <v>319.39999999999998</v>
      </c>
      <c r="I119">
        <v>5</v>
      </c>
      <c r="J119">
        <v>0</v>
      </c>
      <c r="K119">
        <v>1597</v>
      </c>
      <c r="L119" t="s">
        <v>23</v>
      </c>
      <c r="M119" t="s">
        <v>33</v>
      </c>
      <c r="N119">
        <v>7</v>
      </c>
      <c r="O119">
        <v>12</v>
      </c>
      <c r="P119" t="b">
        <v>1</v>
      </c>
      <c r="Q119">
        <v>7</v>
      </c>
      <c r="R119">
        <v>5</v>
      </c>
    </row>
    <row r="120" spans="1:18">
      <c r="A120" t="s">
        <v>279</v>
      </c>
      <c r="B120" t="s">
        <v>280</v>
      </c>
      <c r="C120" s="1">
        <v>45366</v>
      </c>
      <c r="D120">
        <v>24</v>
      </c>
      <c r="E120" t="s">
        <v>36</v>
      </c>
      <c r="F120" t="s">
        <v>83</v>
      </c>
      <c r="G120" t="s">
        <v>46</v>
      </c>
      <c r="H120">
        <v>150.93</v>
      </c>
      <c r="I120">
        <v>2</v>
      </c>
      <c r="J120">
        <v>0</v>
      </c>
      <c r="K120">
        <v>301.86</v>
      </c>
      <c r="L120" t="s">
        <v>23</v>
      </c>
      <c r="M120" t="s">
        <v>24</v>
      </c>
      <c r="N120">
        <v>10</v>
      </c>
      <c r="O120">
        <v>12</v>
      </c>
      <c r="P120" t="b">
        <v>1</v>
      </c>
      <c r="Q120">
        <v>3</v>
      </c>
      <c r="R120">
        <v>4</v>
      </c>
    </row>
    <row r="121" spans="1:18">
      <c r="A121" t="s">
        <v>281</v>
      </c>
      <c r="B121" t="s">
        <v>282</v>
      </c>
      <c r="C121" s="1">
        <v>45162</v>
      </c>
      <c r="D121">
        <v>40</v>
      </c>
      <c r="E121" t="s">
        <v>36</v>
      </c>
      <c r="F121" t="s">
        <v>21</v>
      </c>
      <c r="G121" t="s">
        <v>28</v>
      </c>
      <c r="H121">
        <v>212.57</v>
      </c>
      <c r="I121">
        <v>1</v>
      </c>
      <c r="J121">
        <v>0</v>
      </c>
      <c r="K121">
        <v>212.57</v>
      </c>
      <c r="L121" t="s">
        <v>23</v>
      </c>
      <c r="M121" t="s">
        <v>24</v>
      </c>
      <c r="N121">
        <v>8</v>
      </c>
      <c r="O121">
        <v>8</v>
      </c>
      <c r="P121" t="b">
        <v>1</v>
      </c>
      <c r="Q121">
        <v>7</v>
      </c>
      <c r="R121">
        <v>4</v>
      </c>
    </row>
    <row r="122" spans="1:18">
      <c r="A122" t="s">
        <v>283</v>
      </c>
      <c r="B122" t="s">
        <v>284</v>
      </c>
      <c r="C122" s="1">
        <v>45083</v>
      </c>
      <c r="D122">
        <v>47</v>
      </c>
      <c r="E122" t="s">
        <v>20</v>
      </c>
      <c r="F122" t="s">
        <v>49</v>
      </c>
      <c r="G122" t="s">
        <v>56</v>
      </c>
      <c r="H122">
        <v>269.47000000000003</v>
      </c>
      <c r="I122">
        <v>1</v>
      </c>
      <c r="J122">
        <v>0</v>
      </c>
      <c r="K122">
        <v>269.47000000000003</v>
      </c>
      <c r="L122" t="s">
        <v>23</v>
      </c>
      <c r="M122" t="s">
        <v>24</v>
      </c>
      <c r="N122">
        <v>4</v>
      </c>
      <c r="O122">
        <v>9</v>
      </c>
      <c r="P122" t="b">
        <v>1</v>
      </c>
      <c r="Q122">
        <v>3</v>
      </c>
      <c r="R122">
        <v>5</v>
      </c>
    </row>
    <row r="123" spans="1:18">
      <c r="A123" t="s">
        <v>285</v>
      </c>
      <c r="B123" t="s">
        <v>286</v>
      </c>
      <c r="C123" s="1">
        <v>45369</v>
      </c>
      <c r="D123">
        <v>25</v>
      </c>
      <c r="E123" t="s">
        <v>36</v>
      </c>
      <c r="F123" t="s">
        <v>32</v>
      </c>
      <c r="G123" t="s">
        <v>28</v>
      </c>
      <c r="H123">
        <v>98.78</v>
      </c>
      <c r="I123">
        <v>2</v>
      </c>
      <c r="J123">
        <v>0</v>
      </c>
      <c r="K123">
        <v>197.56</v>
      </c>
      <c r="L123" t="s">
        <v>23</v>
      </c>
      <c r="M123" t="s">
        <v>33</v>
      </c>
      <c r="N123">
        <v>29</v>
      </c>
      <c r="O123">
        <v>6</v>
      </c>
      <c r="P123" t="b">
        <v>1</v>
      </c>
      <c r="Q123">
        <v>7</v>
      </c>
      <c r="R123">
        <v>5</v>
      </c>
    </row>
    <row r="124" spans="1:18">
      <c r="A124" t="s">
        <v>287</v>
      </c>
      <c r="B124" t="s">
        <v>288</v>
      </c>
      <c r="C124" s="1">
        <v>45255</v>
      </c>
      <c r="D124">
        <v>34</v>
      </c>
      <c r="E124" t="s">
        <v>20</v>
      </c>
      <c r="F124" t="s">
        <v>52</v>
      </c>
      <c r="G124" t="s">
        <v>46</v>
      </c>
      <c r="H124">
        <v>96.64</v>
      </c>
      <c r="I124">
        <v>1</v>
      </c>
      <c r="J124">
        <v>0</v>
      </c>
      <c r="K124">
        <v>96.64</v>
      </c>
      <c r="L124" t="s">
        <v>23</v>
      </c>
      <c r="M124" t="s">
        <v>24</v>
      </c>
      <c r="N124">
        <v>13</v>
      </c>
      <c r="O124">
        <v>3</v>
      </c>
      <c r="P124" t="b">
        <v>0</v>
      </c>
      <c r="Q124">
        <v>11</v>
      </c>
      <c r="R124">
        <v>5</v>
      </c>
    </row>
    <row r="125" spans="1:18">
      <c r="A125" t="s">
        <v>289</v>
      </c>
      <c r="B125" t="s">
        <v>290</v>
      </c>
      <c r="C125" s="1">
        <v>45131</v>
      </c>
      <c r="D125">
        <v>21</v>
      </c>
      <c r="E125" t="s">
        <v>20</v>
      </c>
      <c r="F125" t="s">
        <v>27</v>
      </c>
      <c r="G125" t="s">
        <v>37</v>
      </c>
      <c r="H125">
        <v>193.69</v>
      </c>
      <c r="I125">
        <v>1</v>
      </c>
      <c r="J125">
        <v>0</v>
      </c>
      <c r="K125">
        <v>193.69</v>
      </c>
      <c r="L125" t="s">
        <v>23</v>
      </c>
      <c r="M125" t="s">
        <v>33</v>
      </c>
      <c r="N125">
        <v>24</v>
      </c>
      <c r="O125">
        <v>13</v>
      </c>
      <c r="P125" t="b">
        <v>1</v>
      </c>
      <c r="Q125">
        <v>4</v>
      </c>
      <c r="R125">
        <v>5</v>
      </c>
    </row>
    <row r="126" spans="1:18">
      <c r="A126" t="s">
        <v>291</v>
      </c>
      <c r="B126" t="s">
        <v>292</v>
      </c>
      <c r="C126" s="1">
        <v>45096</v>
      </c>
      <c r="D126">
        <v>43</v>
      </c>
      <c r="E126" t="s">
        <v>20</v>
      </c>
      <c r="F126" t="s">
        <v>49</v>
      </c>
      <c r="G126" t="s">
        <v>56</v>
      </c>
      <c r="H126">
        <v>702.02</v>
      </c>
      <c r="I126">
        <v>2</v>
      </c>
      <c r="J126">
        <v>104.29</v>
      </c>
      <c r="K126">
        <v>1299.75</v>
      </c>
      <c r="L126" t="s">
        <v>23</v>
      </c>
      <c r="M126" t="s">
        <v>29</v>
      </c>
      <c r="N126">
        <v>12</v>
      </c>
      <c r="O126">
        <v>11</v>
      </c>
      <c r="P126" t="b">
        <v>1</v>
      </c>
      <c r="Q126">
        <v>6</v>
      </c>
      <c r="R126">
        <v>5</v>
      </c>
    </row>
    <row r="127" spans="1:18">
      <c r="A127" t="s">
        <v>293</v>
      </c>
      <c r="B127" t="s">
        <v>294</v>
      </c>
      <c r="C127" s="1">
        <v>45060</v>
      </c>
      <c r="D127">
        <v>40</v>
      </c>
      <c r="E127" t="s">
        <v>36</v>
      </c>
      <c r="F127" t="s">
        <v>76</v>
      </c>
      <c r="G127" t="s">
        <v>46</v>
      </c>
      <c r="H127">
        <v>940.51</v>
      </c>
      <c r="I127">
        <v>1</v>
      </c>
      <c r="J127">
        <v>77.459999999999994</v>
      </c>
      <c r="K127">
        <v>863.05</v>
      </c>
      <c r="L127" t="s">
        <v>23</v>
      </c>
      <c r="M127" t="s">
        <v>24</v>
      </c>
      <c r="N127">
        <v>7</v>
      </c>
      <c r="O127">
        <v>9</v>
      </c>
      <c r="P127" t="b">
        <v>0</v>
      </c>
      <c r="Q127">
        <v>3</v>
      </c>
      <c r="R127">
        <v>4</v>
      </c>
    </row>
    <row r="128" spans="1:18">
      <c r="A128" t="s">
        <v>295</v>
      </c>
      <c r="B128" t="s">
        <v>296</v>
      </c>
      <c r="C128" s="1">
        <v>44982</v>
      </c>
      <c r="D128">
        <v>23</v>
      </c>
      <c r="E128" t="s">
        <v>36</v>
      </c>
      <c r="F128" t="s">
        <v>52</v>
      </c>
      <c r="G128" t="s">
        <v>115</v>
      </c>
      <c r="H128">
        <v>176.9</v>
      </c>
      <c r="I128">
        <v>1</v>
      </c>
      <c r="J128">
        <v>31.48</v>
      </c>
      <c r="K128">
        <v>145.41999999999999</v>
      </c>
      <c r="L128" t="s">
        <v>23</v>
      </c>
      <c r="M128" t="s">
        <v>24</v>
      </c>
      <c r="N128">
        <v>28</v>
      </c>
      <c r="O128">
        <v>14</v>
      </c>
      <c r="P128" t="b">
        <v>1</v>
      </c>
      <c r="Q128">
        <v>14</v>
      </c>
      <c r="R128">
        <v>5</v>
      </c>
    </row>
    <row r="129" spans="1:18">
      <c r="A129" t="s">
        <v>297</v>
      </c>
      <c r="B129" t="s">
        <v>298</v>
      </c>
      <c r="C129" s="1">
        <v>45237</v>
      </c>
      <c r="D129">
        <v>22</v>
      </c>
      <c r="E129" t="s">
        <v>20</v>
      </c>
      <c r="F129" t="s">
        <v>32</v>
      </c>
      <c r="G129" t="s">
        <v>56</v>
      </c>
      <c r="H129">
        <v>1116.22</v>
      </c>
      <c r="I129">
        <v>1</v>
      </c>
      <c r="J129">
        <v>0</v>
      </c>
      <c r="K129">
        <v>1116.22</v>
      </c>
      <c r="L129" t="s">
        <v>23</v>
      </c>
      <c r="M129" t="s">
        <v>24</v>
      </c>
      <c r="N129">
        <v>8</v>
      </c>
      <c r="O129">
        <v>16</v>
      </c>
      <c r="P129" t="b">
        <v>1</v>
      </c>
      <c r="Q129">
        <v>6</v>
      </c>
      <c r="R129">
        <v>5</v>
      </c>
    </row>
    <row r="130" spans="1:18">
      <c r="A130" t="s">
        <v>299</v>
      </c>
      <c r="B130" t="s">
        <v>300</v>
      </c>
      <c r="C130" s="1">
        <v>45278</v>
      </c>
      <c r="D130">
        <v>32</v>
      </c>
      <c r="E130" t="s">
        <v>36</v>
      </c>
      <c r="F130" t="s">
        <v>52</v>
      </c>
      <c r="G130" t="s">
        <v>56</v>
      </c>
      <c r="H130">
        <v>275.41000000000003</v>
      </c>
      <c r="I130">
        <v>3</v>
      </c>
      <c r="J130">
        <v>0</v>
      </c>
      <c r="K130">
        <v>826.23</v>
      </c>
      <c r="L130" t="s">
        <v>23</v>
      </c>
      <c r="M130" t="s">
        <v>33</v>
      </c>
      <c r="N130">
        <v>13</v>
      </c>
      <c r="O130">
        <v>11</v>
      </c>
      <c r="P130" t="b">
        <v>1</v>
      </c>
      <c r="Q130">
        <v>5</v>
      </c>
      <c r="R130">
        <v>5</v>
      </c>
    </row>
    <row r="131" spans="1:18">
      <c r="A131" t="s">
        <v>301</v>
      </c>
      <c r="B131" t="s">
        <v>302</v>
      </c>
      <c r="C131" s="1">
        <v>45295</v>
      </c>
      <c r="D131">
        <v>43</v>
      </c>
      <c r="E131" t="s">
        <v>20</v>
      </c>
      <c r="F131" t="s">
        <v>73</v>
      </c>
      <c r="G131" t="s">
        <v>56</v>
      </c>
      <c r="H131">
        <v>187.37</v>
      </c>
      <c r="I131">
        <v>2</v>
      </c>
      <c r="J131">
        <v>0</v>
      </c>
      <c r="K131">
        <v>374.74</v>
      </c>
      <c r="L131" t="s">
        <v>23</v>
      </c>
      <c r="M131" t="s">
        <v>29</v>
      </c>
      <c r="N131">
        <v>10</v>
      </c>
      <c r="O131">
        <v>5</v>
      </c>
      <c r="P131" t="b">
        <v>1</v>
      </c>
      <c r="Q131">
        <v>3</v>
      </c>
      <c r="R131">
        <v>4</v>
      </c>
    </row>
    <row r="132" spans="1:18">
      <c r="A132" t="s">
        <v>303</v>
      </c>
      <c r="B132" t="s">
        <v>304</v>
      </c>
      <c r="C132" s="1">
        <v>45113</v>
      </c>
      <c r="D132">
        <v>65</v>
      </c>
      <c r="E132" t="s">
        <v>36</v>
      </c>
      <c r="F132" t="s">
        <v>32</v>
      </c>
      <c r="G132" t="s">
        <v>37</v>
      </c>
      <c r="H132">
        <v>82.4</v>
      </c>
      <c r="I132">
        <v>5</v>
      </c>
      <c r="J132">
        <v>0</v>
      </c>
      <c r="K132">
        <v>412</v>
      </c>
      <c r="L132" t="s">
        <v>23</v>
      </c>
      <c r="M132" t="s">
        <v>33</v>
      </c>
      <c r="N132">
        <v>17</v>
      </c>
      <c r="O132">
        <v>8</v>
      </c>
      <c r="P132" t="b">
        <v>0</v>
      </c>
      <c r="Q132">
        <v>6</v>
      </c>
      <c r="R132">
        <v>4</v>
      </c>
    </row>
    <row r="133" spans="1:18">
      <c r="A133" t="s">
        <v>305</v>
      </c>
      <c r="B133" t="s">
        <v>306</v>
      </c>
      <c r="C133" s="1">
        <v>44962</v>
      </c>
      <c r="D133">
        <v>35</v>
      </c>
      <c r="E133" t="s">
        <v>20</v>
      </c>
      <c r="F133" t="s">
        <v>83</v>
      </c>
      <c r="G133" t="s">
        <v>56</v>
      </c>
      <c r="H133">
        <v>1647.31</v>
      </c>
      <c r="I133">
        <v>3</v>
      </c>
      <c r="J133">
        <v>201.73</v>
      </c>
      <c r="K133">
        <v>4740.2</v>
      </c>
      <c r="L133" t="s">
        <v>23</v>
      </c>
      <c r="M133" t="s">
        <v>24</v>
      </c>
      <c r="N133">
        <v>16</v>
      </c>
      <c r="O133">
        <v>11</v>
      </c>
      <c r="P133" t="b">
        <v>0</v>
      </c>
      <c r="Q133">
        <v>4</v>
      </c>
      <c r="R133">
        <v>4</v>
      </c>
    </row>
    <row r="134" spans="1:18">
      <c r="A134" t="s">
        <v>307</v>
      </c>
      <c r="B134" t="s">
        <v>308</v>
      </c>
      <c r="C134" s="1">
        <v>45096</v>
      </c>
      <c r="D134">
        <v>37</v>
      </c>
      <c r="E134" t="s">
        <v>36</v>
      </c>
      <c r="F134" t="s">
        <v>83</v>
      </c>
      <c r="G134" t="s">
        <v>115</v>
      </c>
      <c r="H134">
        <v>39.200000000000003</v>
      </c>
      <c r="I134">
        <v>4</v>
      </c>
      <c r="J134">
        <v>8.24</v>
      </c>
      <c r="K134">
        <v>148.56</v>
      </c>
      <c r="L134" t="s">
        <v>23</v>
      </c>
      <c r="M134" t="s">
        <v>24</v>
      </c>
      <c r="N134">
        <v>21</v>
      </c>
      <c r="O134">
        <v>11</v>
      </c>
      <c r="P134" t="b">
        <v>0</v>
      </c>
      <c r="Q134">
        <v>2</v>
      </c>
      <c r="R134">
        <v>5</v>
      </c>
    </row>
    <row r="135" spans="1:18">
      <c r="A135" t="s">
        <v>309</v>
      </c>
      <c r="B135" t="s">
        <v>310</v>
      </c>
      <c r="C135" s="1">
        <v>45361</v>
      </c>
      <c r="D135">
        <v>34</v>
      </c>
      <c r="E135" t="s">
        <v>20</v>
      </c>
      <c r="F135" t="s">
        <v>76</v>
      </c>
      <c r="G135" t="s">
        <v>22</v>
      </c>
      <c r="H135">
        <v>396.31</v>
      </c>
      <c r="I135">
        <v>1</v>
      </c>
      <c r="J135">
        <v>95.49</v>
      </c>
      <c r="K135">
        <v>300.82</v>
      </c>
      <c r="L135" t="s">
        <v>23</v>
      </c>
      <c r="M135" t="s">
        <v>33</v>
      </c>
      <c r="N135">
        <v>5</v>
      </c>
      <c r="O135">
        <v>7</v>
      </c>
      <c r="P135" t="b">
        <v>0</v>
      </c>
      <c r="Q135">
        <v>6</v>
      </c>
      <c r="R135">
        <v>5</v>
      </c>
    </row>
    <row r="136" spans="1:18">
      <c r="A136" t="s">
        <v>311</v>
      </c>
      <c r="B136" t="s">
        <v>312</v>
      </c>
      <c r="C136" s="1">
        <v>45080</v>
      </c>
      <c r="D136">
        <v>36</v>
      </c>
      <c r="E136" t="s">
        <v>20</v>
      </c>
      <c r="F136" t="s">
        <v>32</v>
      </c>
      <c r="G136" t="s">
        <v>28</v>
      </c>
      <c r="H136">
        <v>125.12</v>
      </c>
      <c r="I136">
        <v>3</v>
      </c>
      <c r="J136">
        <v>0</v>
      </c>
      <c r="K136">
        <v>375.36</v>
      </c>
      <c r="L136" t="s">
        <v>23</v>
      </c>
      <c r="M136" t="s">
        <v>33</v>
      </c>
      <c r="N136">
        <v>27</v>
      </c>
      <c r="O136">
        <v>9</v>
      </c>
      <c r="P136" t="b">
        <v>0</v>
      </c>
      <c r="Q136">
        <v>7</v>
      </c>
      <c r="R136">
        <v>5</v>
      </c>
    </row>
    <row r="137" spans="1:18">
      <c r="A137" t="s">
        <v>313</v>
      </c>
      <c r="B137" t="s">
        <v>314</v>
      </c>
      <c r="C137" s="1">
        <v>45268</v>
      </c>
      <c r="D137">
        <v>18</v>
      </c>
      <c r="E137" t="s">
        <v>20</v>
      </c>
      <c r="F137" t="s">
        <v>73</v>
      </c>
      <c r="G137" t="s">
        <v>115</v>
      </c>
      <c r="H137">
        <v>132.66999999999999</v>
      </c>
      <c r="I137">
        <v>2</v>
      </c>
      <c r="J137">
        <v>0</v>
      </c>
      <c r="K137">
        <v>265.33999999999997</v>
      </c>
      <c r="L137" t="s">
        <v>23</v>
      </c>
      <c r="M137" t="s">
        <v>33</v>
      </c>
      <c r="N137">
        <v>5</v>
      </c>
      <c r="O137">
        <v>7</v>
      </c>
      <c r="P137" t="b">
        <v>1</v>
      </c>
      <c r="Q137">
        <v>6</v>
      </c>
      <c r="R137">
        <v>5</v>
      </c>
    </row>
    <row r="138" spans="1:18">
      <c r="A138" t="s">
        <v>315</v>
      </c>
      <c r="B138" t="s">
        <v>316</v>
      </c>
      <c r="C138" s="1">
        <v>45136</v>
      </c>
      <c r="D138">
        <v>48</v>
      </c>
      <c r="E138" t="s">
        <v>20</v>
      </c>
      <c r="F138" t="s">
        <v>76</v>
      </c>
      <c r="G138" t="s">
        <v>56</v>
      </c>
      <c r="H138">
        <v>126.72</v>
      </c>
      <c r="I138">
        <v>1</v>
      </c>
      <c r="J138">
        <v>0</v>
      </c>
      <c r="K138">
        <v>126.72</v>
      </c>
      <c r="L138" t="s">
        <v>23</v>
      </c>
      <c r="M138" t="s">
        <v>33</v>
      </c>
      <c r="N138">
        <v>10</v>
      </c>
      <c r="O138">
        <v>10</v>
      </c>
      <c r="P138" t="b">
        <v>1</v>
      </c>
      <c r="Q138">
        <v>10</v>
      </c>
      <c r="R138">
        <v>5</v>
      </c>
    </row>
    <row r="139" spans="1:18">
      <c r="A139" t="s">
        <v>317</v>
      </c>
      <c r="B139" t="s">
        <v>318</v>
      </c>
      <c r="C139" s="1">
        <v>44992</v>
      </c>
      <c r="D139">
        <v>25</v>
      </c>
      <c r="E139" t="s">
        <v>36</v>
      </c>
      <c r="F139" t="s">
        <v>52</v>
      </c>
      <c r="G139" t="s">
        <v>46</v>
      </c>
      <c r="H139">
        <v>340.59</v>
      </c>
      <c r="I139">
        <v>5</v>
      </c>
      <c r="J139">
        <v>0</v>
      </c>
      <c r="K139">
        <v>1702.95</v>
      </c>
      <c r="L139" t="s">
        <v>23</v>
      </c>
      <c r="M139" t="s">
        <v>33</v>
      </c>
      <c r="N139">
        <v>5</v>
      </c>
      <c r="O139">
        <v>8</v>
      </c>
      <c r="P139" t="b">
        <v>1</v>
      </c>
      <c r="Q139">
        <v>7</v>
      </c>
      <c r="R139">
        <v>3</v>
      </c>
    </row>
    <row r="140" spans="1:18">
      <c r="A140" t="s">
        <v>319</v>
      </c>
      <c r="B140" t="s">
        <v>320</v>
      </c>
      <c r="C140" s="1">
        <v>45121</v>
      </c>
      <c r="D140">
        <v>50</v>
      </c>
      <c r="E140" t="s">
        <v>36</v>
      </c>
      <c r="F140" t="s">
        <v>49</v>
      </c>
      <c r="G140" t="s">
        <v>28</v>
      </c>
      <c r="H140">
        <v>92.87</v>
      </c>
      <c r="I140">
        <v>4</v>
      </c>
      <c r="J140">
        <v>0</v>
      </c>
      <c r="K140">
        <v>371.48</v>
      </c>
      <c r="L140" t="s">
        <v>23</v>
      </c>
      <c r="M140" t="s">
        <v>33</v>
      </c>
      <c r="N140">
        <v>4</v>
      </c>
      <c r="O140">
        <v>11</v>
      </c>
      <c r="P140" t="b">
        <v>1</v>
      </c>
      <c r="Q140">
        <v>2</v>
      </c>
      <c r="R140">
        <v>1</v>
      </c>
    </row>
    <row r="141" spans="1:18">
      <c r="A141" t="s">
        <v>321</v>
      </c>
      <c r="B141" t="s">
        <v>322</v>
      </c>
      <c r="C141" s="1">
        <v>45134</v>
      </c>
      <c r="D141">
        <v>32</v>
      </c>
      <c r="E141" t="s">
        <v>36</v>
      </c>
      <c r="F141" t="s">
        <v>88</v>
      </c>
      <c r="G141" t="s">
        <v>37</v>
      </c>
      <c r="H141">
        <v>54.07</v>
      </c>
      <c r="I141">
        <v>1</v>
      </c>
      <c r="J141">
        <v>0</v>
      </c>
      <c r="K141">
        <v>54.07</v>
      </c>
      <c r="L141" t="s">
        <v>23</v>
      </c>
      <c r="M141" t="s">
        <v>33</v>
      </c>
      <c r="N141">
        <v>14</v>
      </c>
      <c r="O141">
        <v>12</v>
      </c>
      <c r="P141" t="b">
        <v>0</v>
      </c>
      <c r="Q141">
        <v>8</v>
      </c>
      <c r="R141">
        <v>5</v>
      </c>
    </row>
    <row r="142" spans="1:18">
      <c r="A142" t="s">
        <v>323</v>
      </c>
      <c r="B142" t="s">
        <v>324</v>
      </c>
      <c r="C142" s="1">
        <v>45091</v>
      </c>
      <c r="D142">
        <v>46</v>
      </c>
      <c r="E142" t="s">
        <v>20</v>
      </c>
      <c r="F142" t="s">
        <v>88</v>
      </c>
      <c r="G142" t="s">
        <v>28</v>
      </c>
      <c r="H142">
        <v>116.5</v>
      </c>
      <c r="I142">
        <v>2</v>
      </c>
      <c r="J142">
        <v>10</v>
      </c>
      <c r="K142">
        <v>223</v>
      </c>
      <c r="L142" t="s">
        <v>23</v>
      </c>
      <c r="M142" t="s">
        <v>33</v>
      </c>
      <c r="N142">
        <v>15</v>
      </c>
      <c r="O142">
        <v>11</v>
      </c>
      <c r="P142" t="b">
        <v>0</v>
      </c>
      <c r="Q142">
        <v>11</v>
      </c>
      <c r="R142">
        <v>3</v>
      </c>
    </row>
    <row r="143" spans="1:18">
      <c r="A143" t="s">
        <v>325</v>
      </c>
      <c r="B143" t="s">
        <v>326</v>
      </c>
      <c r="C143" s="1">
        <v>45254</v>
      </c>
      <c r="D143">
        <v>40</v>
      </c>
      <c r="E143" t="s">
        <v>20</v>
      </c>
      <c r="F143" t="s">
        <v>52</v>
      </c>
      <c r="G143" t="s">
        <v>115</v>
      </c>
      <c r="H143">
        <v>54.83</v>
      </c>
      <c r="I143">
        <v>4</v>
      </c>
      <c r="J143">
        <v>0</v>
      </c>
      <c r="K143">
        <v>219.32</v>
      </c>
      <c r="L143" t="s">
        <v>327</v>
      </c>
      <c r="M143" t="s">
        <v>33</v>
      </c>
      <c r="N143">
        <v>8</v>
      </c>
      <c r="O143">
        <v>9</v>
      </c>
      <c r="P143" t="b">
        <v>1</v>
      </c>
      <c r="Q143">
        <v>8</v>
      </c>
      <c r="R143">
        <v>4</v>
      </c>
    </row>
    <row r="144" spans="1:18">
      <c r="A144" t="s">
        <v>328</v>
      </c>
      <c r="B144" t="s">
        <v>329</v>
      </c>
      <c r="C144" s="1">
        <v>44984</v>
      </c>
      <c r="D144">
        <v>33</v>
      </c>
      <c r="E144" t="s">
        <v>20</v>
      </c>
      <c r="F144" t="s">
        <v>32</v>
      </c>
      <c r="G144" t="s">
        <v>22</v>
      </c>
      <c r="H144">
        <v>166.17</v>
      </c>
      <c r="I144">
        <v>2</v>
      </c>
      <c r="J144">
        <v>0</v>
      </c>
      <c r="K144">
        <v>332.34</v>
      </c>
      <c r="L144" t="s">
        <v>327</v>
      </c>
      <c r="M144" t="s">
        <v>33</v>
      </c>
      <c r="N144">
        <v>3</v>
      </c>
      <c r="O144">
        <v>8</v>
      </c>
      <c r="P144" t="b">
        <v>1</v>
      </c>
      <c r="Q144">
        <v>8</v>
      </c>
      <c r="R144">
        <v>5</v>
      </c>
    </row>
    <row r="145" spans="1:18">
      <c r="A145" t="s">
        <v>330</v>
      </c>
      <c r="B145" t="s">
        <v>331</v>
      </c>
      <c r="C145" s="1">
        <v>44939</v>
      </c>
      <c r="D145">
        <v>42</v>
      </c>
      <c r="E145" t="s">
        <v>20</v>
      </c>
      <c r="F145" t="s">
        <v>88</v>
      </c>
      <c r="G145" t="s">
        <v>115</v>
      </c>
      <c r="H145">
        <v>66.44</v>
      </c>
      <c r="I145">
        <v>1</v>
      </c>
      <c r="J145">
        <v>0</v>
      </c>
      <c r="K145">
        <v>66.44</v>
      </c>
      <c r="L145" t="s">
        <v>327</v>
      </c>
      <c r="M145" t="s">
        <v>24</v>
      </c>
      <c r="N145">
        <v>9</v>
      </c>
      <c r="O145">
        <v>5</v>
      </c>
      <c r="P145" t="b">
        <v>0</v>
      </c>
      <c r="Q145">
        <v>3</v>
      </c>
      <c r="R145">
        <v>5</v>
      </c>
    </row>
    <row r="146" spans="1:18">
      <c r="A146" t="s">
        <v>332</v>
      </c>
      <c r="B146" t="s">
        <v>333</v>
      </c>
      <c r="C146" s="1">
        <v>44998</v>
      </c>
      <c r="D146">
        <v>44</v>
      </c>
      <c r="E146" t="s">
        <v>36</v>
      </c>
      <c r="F146" t="s">
        <v>88</v>
      </c>
      <c r="G146" t="s">
        <v>115</v>
      </c>
      <c r="H146">
        <v>24.55</v>
      </c>
      <c r="I146">
        <v>2</v>
      </c>
      <c r="J146">
        <v>0</v>
      </c>
      <c r="K146">
        <v>49.1</v>
      </c>
      <c r="L146" t="s">
        <v>327</v>
      </c>
      <c r="M146" t="s">
        <v>24</v>
      </c>
      <c r="N146">
        <v>15</v>
      </c>
      <c r="O146">
        <v>8</v>
      </c>
      <c r="P146" t="b">
        <v>0</v>
      </c>
      <c r="Q146">
        <v>7</v>
      </c>
      <c r="R146">
        <v>5</v>
      </c>
    </row>
    <row r="147" spans="1:18">
      <c r="A147" t="s">
        <v>334</v>
      </c>
      <c r="B147" t="s">
        <v>335</v>
      </c>
      <c r="C147" s="1">
        <v>45206</v>
      </c>
      <c r="D147">
        <v>37</v>
      </c>
      <c r="E147" t="s">
        <v>36</v>
      </c>
      <c r="F147" t="s">
        <v>32</v>
      </c>
      <c r="G147" t="s">
        <v>115</v>
      </c>
      <c r="H147">
        <v>53.73</v>
      </c>
      <c r="I147">
        <v>1</v>
      </c>
      <c r="J147">
        <v>0</v>
      </c>
      <c r="K147">
        <v>53.73</v>
      </c>
      <c r="L147" t="s">
        <v>327</v>
      </c>
      <c r="M147" t="s">
        <v>24</v>
      </c>
      <c r="N147">
        <v>3</v>
      </c>
      <c r="O147">
        <v>6</v>
      </c>
      <c r="P147" t="b">
        <v>1</v>
      </c>
      <c r="Q147">
        <v>10</v>
      </c>
      <c r="R147">
        <v>4</v>
      </c>
    </row>
    <row r="148" spans="1:18">
      <c r="A148" t="s">
        <v>336</v>
      </c>
      <c r="B148" t="s">
        <v>337</v>
      </c>
      <c r="C148" s="1">
        <v>45259</v>
      </c>
      <c r="D148">
        <v>39</v>
      </c>
      <c r="E148" t="s">
        <v>20</v>
      </c>
      <c r="F148" t="s">
        <v>52</v>
      </c>
      <c r="G148" t="s">
        <v>64</v>
      </c>
      <c r="H148">
        <v>604.91</v>
      </c>
      <c r="I148">
        <v>1</v>
      </c>
      <c r="J148">
        <v>0</v>
      </c>
      <c r="K148">
        <v>604.91</v>
      </c>
      <c r="L148" t="s">
        <v>327</v>
      </c>
      <c r="M148" t="s">
        <v>24</v>
      </c>
      <c r="N148">
        <v>11</v>
      </c>
      <c r="O148">
        <v>14</v>
      </c>
      <c r="P148" t="b">
        <v>1</v>
      </c>
      <c r="Q148">
        <v>5</v>
      </c>
      <c r="R148">
        <v>5</v>
      </c>
    </row>
    <row r="149" spans="1:18">
      <c r="A149" t="s">
        <v>338</v>
      </c>
      <c r="B149" t="s">
        <v>339</v>
      </c>
      <c r="C149" s="1">
        <v>45141</v>
      </c>
      <c r="D149">
        <v>27</v>
      </c>
      <c r="E149" t="s">
        <v>20</v>
      </c>
      <c r="F149" t="s">
        <v>21</v>
      </c>
      <c r="G149" t="s">
        <v>37</v>
      </c>
      <c r="H149">
        <v>131.13</v>
      </c>
      <c r="I149">
        <v>1</v>
      </c>
      <c r="J149">
        <v>0</v>
      </c>
      <c r="K149">
        <v>131.13</v>
      </c>
      <c r="L149" t="s">
        <v>327</v>
      </c>
      <c r="M149" t="s">
        <v>24</v>
      </c>
      <c r="N149">
        <v>34</v>
      </c>
      <c r="O149">
        <v>8</v>
      </c>
      <c r="P149" t="b">
        <v>0</v>
      </c>
      <c r="Q149">
        <v>5</v>
      </c>
      <c r="R149">
        <v>2</v>
      </c>
    </row>
    <row r="150" spans="1:18">
      <c r="A150" t="s">
        <v>340</v>
      </c>
      <c r="B150" t="s">
        <v>341</v>
      </c>
      <c r="C150" s="1">
        <v>45228</v>
      </c>
      <c r="D150">
        <v>22</v>
      </c>
      <c r="E150" t="s">
        <v>36</v>
      </c>
      <c r="F150" t="s">
        <v>76</v>
      </c>
      <c r="G150" t="s">
        <v>56</v>
      </c>
      <c r="H150">
        <v>541.80999999999995</v>
      </c>
      <c r="I150">
        <v>4</v>
      </c>
      <c r="J150">
        <v>139.11000000000001</v>
      </c>
      <c r="K150">
        <v>2028.13</v>
      </c>
      <c r="L150" t="s">
        <v>327</v>
      </c>
      <c r="M150" t="s">
        <v>33</v>
      </c>
      <c r="N150">
        <v>11</v>
      </c>
      <c r="O150">
        <v>6</v>
      </c>
      <c r="P150" t="b">
        <v>1</v>
      </c>
      <c r="Q150">
        <v>3</v>
      </c>
      <c r="R150">
        <v>5</v>
      </c>
    </row>
    <row r="151" spans="1:18">
      <c r="A151" t="s">
        <v>342</v>
      </c>
      <c r="B151" t="s">
        <v>343</v>
      </c>
      <c r="C151" s="1">
        <v>45372</v>
      </c>
      <c r="D151">
        <v>37</v>
      </c>
      <c r="E151" t="s">
        <v>36</v>
      </c>
      <c r="F151" t="s">
        <v>59</v>
      </c>
      <c r="G151" t="s">
        <v>115</v>
      </c>
      <c r="H151">
        <v>59.08</v>
      </c>
      <c r="I151">
        <v>1</v>
      </c>
      <c r="J151">
        <v>0</v>
      </c>
      <c r="K151">
        <v>59.08</v>
      </c>
      <c r="L151" t="s">
        <v>327</v>
      </c>
      <c r="M151" t="s">
        <v>33</v>
      </c>
      <c r="N151">
        <v>19</v>
      </c>
      <c r="O151">
        <v>11</v>
      </c>
      <c r="P151" t="b">
        <v>0</v>
      </c>
      <c r="Q151">
        <v>2</v>
      </c>
      <c r="R151">
        <v>5</v>
      </c>
    </row>
    <row r="152" spans="1:18">
      <c r="A152" t="s">
        <v>344</v>
      </c>
      <c r="B152" t="s">
        <v>345</v>
      </c>
      <c r="C152" s="1">
        <v>45339</v>
      </c>
      <c r="D152">
        <v>37</v>
      </c>
      <c r="E152" t="s">
        <v>20</v>
      </c>
      <c r="F152" t="s">
        <v>21</v>
      </c>
      <c r="G152" t="s">
        <v>37</v>
      </c>
      <c r="H152">
        <v>91.66</v>
      </c>
      <c r="I152">
        <v>4</v>
      </c>
      <c r="J152">
        <v>4.7699999999999996</v>
      </c>
      <c r="K152">
        <v>361.87</v>
      </c>
      <c r="L152" t="s">
        <v>327</v>
      </c>
      <c r="M152" t="s">
        <v>33</v>
      </c>
      <c r="N152">
        <v>12</v>
      </c>
      <c r="O152">
        <v>7</v>
      </c>
      <c r="P152" t="b">
        <v>0</v>
      </c>
      <c r="Q152">
        <v>2</v>
      </c>
      <c r="R152">
        <v>5</v>
      </c>
    </row>
    <row r="153" spans="1:18">
      <c r="A153" t="s">
        <v>346</v>
      </c>
      <c r="B153" t="s">
        <v>347</v>
      </c>
      <c r="C153" s="1">
        <v>45008</v>
      </c>
      <c r="D153">
        <v>43</v>
      </c>
      <c r="E153" t="s">
        <v>36</v>
      </c>
      <c r="F153" t="s">
        <v>27</v>
      </c>
      <c r="G153" t="s">
        <v>46</v>
      </c>
      <c r="H153">
        <v>1255.68</v>
      </c>
      <c r="I153">
        <v>3</v>
      </c>
      <c r="J153">
        <v>0</v>
      </c>
      <c r="K153">
        <v>3767.04</v>
      </c>
      <c r="L153" t="s">
        <v>327</v>
      </c>
      <c r="M153" t="s">
        <v>24</v>
      </c>
      <c r="N153">
        <v>22</v>
      </c>
      <c r="O153">
        <v>9</v>
      </c>
      <c r="P153" t="b">
        <v>0</v>
      </c>
      <c r="Q153">
        <v>6</v>
      </c>
      <c r="R153">
        <v>4</v>
      </c>
    </row>
    <row r="154" spans="1:18">
      <c r="A154" t="s">
        <v>348</v>
      </c>
      <c r="B154" t="s">
        <v>349</v>
      </c>
      <c r="C154" s="1">
        <v>45121</v>
      </c>
      <c r="D154">
        <v>30</v>
      </c>
      <c r="E154" t="s">
        <v>36</v>
      </c>
      <c r="F154" t="s">
        <v>59</v>
      </c>
      <c r="G154" t="s">
        <v>37</v>
      </c>
      <c r="H154">
        <v>114.86</v>
      </c>
      <c r="I154">
        <v>1</v>
      </c>
      <c r="J154">
        <v>13.4</v>
      </c>
      <c r="K154">
        <v>101.46</v>
      </c>
      <c r="L154" t="s">
        <v>327</v>
      </c>
      <c r="M154" t="s">
        <v>33</v>
      </c>
      <c r="N154">
        <v>7</v>
      </c>
      <c r="O154">
        <v>11</v>
      </c>
      <c r="P154" t="b">
        <v>1</v>
      </c>
      <c r="Q154">
        <v>5</v>
      </c>
      <c r="R154">
        <v>5</v>
      </c>
    </row>
    <row r="155" spans="1:18">
      <c r="A155" t="s">
        <v>350</v>
      </c>
      <c r="B155" t="s">
        <v>351</v>
      </c>
      <c r="C155" s="1">
        <v>45110</v>
      </c>
      <c r="D155">
        <v>42</v>
      </c>
      <c r="E155" t="s">
        <v>36</v>
      </c>
      <c r="F155" t="s">
        <v>21</v>
      </c>
      <c r="G155" t="s">
        <v>64</v>
      </c>
      <c r="H155">
        <v>3314.93</v>
      </c>
      <c r="I155">
        <v>1</v>
      </c>
      <c r="J155">
        <v>0</v>
      </c>
      <c r="K155">
        <v>3314.93</v>
      </c>
      <c r="L155" t="s">
        <v>327</v>
      </c>
      <c r="M155" t="s">
        <v>33</v>
      </c>
      <c r="N155">
        <v>16</v>
      </c>
      <c r="O155">
        <v>8</v>
      </c>
      <c r="P155" t="b">
        <v>1</v>
      </c>
      <c r="Q155">
        <v>3</v>
      </c>
      <c r="R155">
        <v>5</v>
      </c>
    </row>
    <row r="156" spans="1:18">
      <c r="A156" t="s">
        <v>352</v>
      </c>
      <c r="B156" t="s">
        <v>353</v>
      </c>
      <c r="C156" s="1">
        <v>45360</v>
      </c>
      <c r="D156">
        <v>47</v>
      </c>
      <c r="E156" t="s">
        <v>20</v>
      </c>
      <c r="F156" t="s">
        <v>32</v>
      </c>
      <c r="G156" t="s">
        <v>28</v>
      </c>
      <c r="H156">
        <v>117.66</v>
      </c>
      <c r="I156">
        <v>5</v>
      </c>
      <c r="J156">
        <v>21.1</v>
      </c>
      <c r="K156">
        <v>567.20000000000005</v>
      </c>
      <c r="L156" t="s">
        <v>327</v>
      </c>
      <c r="M156" t="s">
        <v>24</v>
      </c>
      <c r="N156">
        <v>15</v>
      </c>
      <c r="O156">
        <v>14</v>
      </c>
      <c r="P156" t="b">
        <v>1</v>
      </c>
      <c r="Q156">
        <v>4</v>
      </c>
      <c r="R156">
        <v>3</v>
      </c>
    </row>
    <row r="157" spans="1:18">
      <c r="A157" t="s">
        <v>354</v>
      </c>
      <c r="B157" t="s">
        <v>355</v>
      </c>
      <c r="C157" s="1">
        <v>45103</v>
      </c>
      <c r="D157">
        <v>46</v>
      </c>
      <c r="E157" t="s">
        <v>20</v>
      </c>
      <c r="F157" t="s">
        <v>32</v>
      </c>
      <c r="G157" t="s">
        <v>22</v>
      </c>
      <c r="H157">
        <v>112.19</v>
      </c>
      <c r="I157">
        <v>2</v>
      </c>
      <c r="J157">
        <v>24.94</v>
      </c>
      <c r="K157">
        <v>199.44</v>
      </c>
      <c r="L157" t="s">
        <v>327</v>
      </c>
      <c r="M157" t="s">
        <v>33</v>
      </c>
      <c r="N157">
        <v>14</v>
      </c>
      <c r="O157">
        <v>6</v>
      </c>
      <c r="P157" t="b">
        <v>1</v>
      </c>
      <c r="Q157">
        <v>7</v>
      </c>
      <c r="R157">
        <v>5</v>
      </c>
    </row>
    <row r="158" spans="1:18">
      <c r="A158" t="s">
        <v>356</v>
      </c>
      <c r="B158" t="s">
        <v>357</v>
      </c>
      <c r="C158" s="1">
        <v>45062</v>
      </c>
      <c r="D158">
        <v>31</v>
      </c>
      <c r="E158" t="s">
        <v>36</v>
      </c>
      <c r="F158" t="s">
        <v>73</v>
      </c>
      <c r="G158" t="s">
        <v>56</v>
      </c>
      <c r="H158">
        <v>211.08</v>
      </c>
      <c r="I158">
        <v>4</v>
      </c>
      <c r="J158">
        <v>0</v>
      </c>
      <c r="K158">
        <v>844.32</v>
      </c>
      <c r="L158" t="s">
        <v>327</v>
      </c>
      <c r="M158" t="s">
        <v>33</v>
      </c>
      <c r="N158">
        <v>21</v>
      </c>
      <c r="O158">
        <v>11</v>
      </c>
      <c r="P158" t="b">
        <v>1</v>
      </c>
      <c r="Q158">
        <v>3</v>
      </c>
      <c r="R158">
        <v>2</v>
      </c>
    </row>
    <row r="159" spans="1:18">
      <c r="A159" t="s">
        <v>358</v>
      </c>
      <c r="B159" t="s">
        <v>359</v>
      </c>
      <c r="C159" s="1">
        <v>45300</v>
      </c>
      <c r="D159">
        <v>29</v>
      </c>
      <c r="E159" t="s">
        <v>36</v>
      </c>
      <c r="F159" t="s">
        <v>27</v>
      </c>
      <c r="G159" t="s">
        <v>64</v>
      </c>
      <c r="H159">
        <v>7159.45</v>
      </c>
      <c r="I159">
        <v>3</v>
      </c>
      <c r="J159">
        <v>0</v>
      </c>
      <c r="K159">
        <v>21478.35</v>
      </c>
      <c r="L159" t="s">
        <v>327</v>
      </c>
      <c r="M159" t="s">
        <v>33</v>
      </c>
      <c r="N159">
        <v>9</v>
      </c>
      <c r="O159">
        <v>8</v>
      </c>
      <c r="P159" t="b">
        <v>1</v>
      </c>
      <c r="Q159">
        <v>3</v>
      </c>
      <c r="R159">
        <v>4</v>
      </c>
    </row>
    <row r="160" spans="1:18">
      <c r="A160" t="s">
        <v>360</v>
      </c>
      <c r="B160" t="s">
        <v>361</v>
      </c>
      <c r="C160" s="1">
        <v>45162</v>
      </c>
      <c r="D160">
        <v>32</v>
      </c>
      <c r="E160" t="s">
        <v>20</v>
      </c>
      <c r="F160" t="s">
        <v>49</v>
      </c>
      <c r="G160" t="s">
        <v>56</v>
      </c>
      <c r="H160">
        <v>1218.98</v>
      </c>
      <c r="I160">
        <v>1</v>
      </c>
      <c r="J160">
        <v>0</v>
      </c>
      <c r="K160">
        <v>1218.98</v>
      </c>
      <c r="L160" t="s">
        <v>327</v>
      </c>
      <c r="M160" t="s">
        <v>33</v>
      </c>
      <c r="N160">
        <v>3</v>
      </c>
      <c r="O160">
        <v>11</v>
      </c>
      <c r="P160" t="b">
        <v>1</v>
      </c>
      <c r="Q160">
        <v>10</v>
      </c>
      <c r="R160">
        <v>4</v>
      </c>
    </row>
    <row r="161" spans="1:18">
      <c r="A161" t="s">
        <v>362</v>
      </c>
      <c r="B161" t="s">
        <v>363</v>
      </c>
      <c r="C161" s="1">
        <v>45120</v>
      </c>
      <c r="D161">
        <v>44</v>
      </c>
      <c r="E161" t="s">
        <v>36</v>
      </c>
      <c r="F161" t="s">
        <v>32</v>
      </c>
      <c r="G161" t="s">
        <v>37</v>
      </c>
      <c r="H161">
        <v>164.43</v>
      </c>
      <c r="I161">
        <v>1</v>
      </c>
      <c r="J161">
        <v>0</v>
      </c>
      <c r="K161">
        <v>164.43</v>
      </c>
      <c r="L161" t="s">
        <v>327</v>
      </c>
      <c r="M161" t="s">
        <v>24</v>
      </c>
      <c r="N161">
        <v>6</v>
      </c>
      <c r="O161">
        <v>10</v>
      </c>
      <c r="P161" t="b">
        <v>1</v>
      </c>
      <c r="Q161">
        <v>3</v>
      </c>
      <c r="R161">
        <v>4</v>
      </c>
    </row>
    <row r="162" spans="1:18">
      <c r="A162" t="s">
        <v>364</v>
      </c>
      <c r="B162" t="s">
        <v>365</v>
      </c>
      <c r="C162" s="1">
        <v>45243</v>
      </c>
      <c r="D162">
        <v>39</v>
      </c>
      <c r="E162" t="s">
        <v>20</v>
      </c>
      <c r="F162" t="s">
        <v>32</v>
      </c>
      <c r="G162" t="s">
        <v>115</v>
      </c>
      <c r="H162">
        <v>52.97</v>
      </c>
      <c r="I162">
        <v>1</v>
      </c>
      <c r="J162">
        <v>0</v>
      </c>
      <c r="K162">
        <v>52.97</v>
      </c>
      <c r="L162" t="s">
        <v>327</v>
      </c>
      <c r="M162" t="s">
        <v>33</v>
      </c>
      <c r="N162">
        <v>12</v>
      </c>
      <c r="O162">
        <v>6</v>
      </c>
      <c r="P162" t="b">
        <v>1</v>
      </c>
      <c r="Q162">
        <v>4</v>
      </c>
      <c r="R162">
        <v>3</v>
      </c>
    </row>
    <row r="163" spans="1:18">
      <c r="A163" t="s">
        <v>366</v>
      </c>
      <c r="B163" t="s">
        <v>367</v>
      </c>
      <c r="C163" s="1">
        <v>45368</v>
      </c>
      <c r="D163">
        <v>53</v>
      </c>
      <c r="E163" t="s">
        <v>20</v>
      </c>
      <c r="F163" t="s">
        <v>73</v>
      </c>
      <c r="G163" t="s">
        <v>56</v>
      </c>
      <c r="H163">
        <v>604.92999999999995</v>
      </c>
      <c r="I163">
        <v>1</v>
      </c>
      <c r="J163">
        <v>0</v>
      </c>
      <c r="K163">
        <v>604.92999999999995</v>
      </c>
      <c r="L163" t="s">
        <v>327</v>
      </c>
      <c r="M163" t="s">
        <v>33</v>
      </c>
      <c r="N163">
        <v>9</v>
      </c>
      <c r="O163">
        <v>12</v>
      </c>
      <c r="P163" t="b">
        <v>1</v>
      </c>
      <c r="Q163">
        <v>5</v>
      </c>
      <c r="R163">
        <v>4</v>
      </c>
    </row>
    <row r="164" spans="1:18">
      <c r="A164" t="s">
        <v>368</v>
      </c>
      <c r="B164" t="s">
        <v>369</v>
      </c>
      <c r="C164" s="1">
        <v>45046</v>
      </c>
      <c r="D164">
        <v>25</v>
      </c>
      <c r="E164" t="s">
        <v>122</v>
      </c>
      <c r="F164" t="s">
        <v>27</v>
      </c>
      <c r="G164" t="s">
        <v>53</v>
      </c>
      <c r="H164">
        <v>53.09</v>
      </c>
      <c r="I164">
        <v>5</v>
      </c>
      <c r="J164">
        <v>0</v>
      </c>
      <c r="K164">
        <v>265.45</v>
      </c>
      <c r="L164" t="s">
        <v>327</v>
      </c>
      <c r="M164" t="s">
        <v>33</v>
      </c>
      <c r="N164">
        <v>5</v>
      </c>
      <c r="O164">
        <v>3</v>
      </c>
      <c r="P164" t="b">
        <v>0</v>
      </c>
      <c r="Q164">
        <v>6</v>
      </c>
      <c r="R164">
        <v>4</v>
      </c>
    </row>
    <row r="165" spans="1:18">
      <c r="A165" t="s">
        <v>370</v>
      </c>
      <c r="B165" t="s">
        <v>371</v>
      </c>
      <c r="C165" s="1">
        <v>45159</v>
      </c>
      <c r="D165">
        <v>41</v>
      </c>
      <c r="E165" t="s">
        <v>20</v>
      </c>
      <c r="F165" t="s">
        <v>52</v>
      </c>
      <c r="G165" t="s">
        <v>22</v>
      </c>
      <c r="H165">
        <v>112.21</v>
      </c>
      <c r="I165">
        <v>1</v>
      </c>
      <c r="J165">
        <v>0</v>
      </c>
      <c r="K165">
        <v>112.21</v>
      </c>
      <c r="L165" t="s">
        <v>327</v>
      </c>
      <c r="M165" t="s">
        <v>33</v>
      </c>
      <c r="N165">
        <v>24</v>
      </c>
      <c r="O165">
        <v>8</v>
      </c>
      <c r="P165" t="b">
        <v>1</v>
      </c>
      <c r="Q165">
        <v>5</v>
      </c>
      <c r="R165">
        <v>3</v>
      </c>
    </row>
    <row r="166" spans="1:18">
      <c r="A166" t="s">
        <v>372</v>
      </c>
      <c r="B166" t="s">
        <v>373</v>
      </c>
      <c r="C166" s="1">
        <v>45252</v>
      </c>
      <c r="D166">
        <v>36</v>
      </c>
      <c r="E166" t="s">
        <v>36</v>
      </c>
      <c r="F166" t="s">
        <v>32</v>
      </c>
      <c r="G166" t="s">
        <v>64</v>
      </c>
      <c r="H166">
        <v>305.23</v>
      </c>
      <c r="I166">
        <v>5</v>
      </c>
      <c r="J166">
        <v>0</v>
      </c>
      <c r="K166">
        <v>1526.15</v>
      </c>
      <c r="L166" t="s">
        <v>327</v>
      </c>
      <c r="M166" t="s">
        <v>24</v>
      </c>
      <c r="N166">
        <v>46</v>
      </c>
      <c r="O166">
        <v>5</v>
      </c>
      <c r="P166" t="b">
        <v>0</v>
      </c>
      <c r="Q166">
        <v>2</v>
      </c>
      <c r="R166">
        <v>5</v>
      </c>
    </row>
    <row r="167" spans="1:18">
      <c r="A167" t="s">
        <v>374</v>
      </c>
      <c r="B167" t="s">
        <v>375</v>
      </c>
      <c r="C167" s="1">
        <v>45113</v>
      </c>
      <c r="D167">
        <v>26</v>
      </c>
      <c r="E167" t="s">
        <v>20</v>
      </c>
      <c r="F167" t="s">
        <v>32</v>
      </c>
      <c r="G167" t="s">
        <v>37</v>
      </c>
      <c r="H167">
        <v>195.25</v>
      </c>
      <c r="I167">
        <v>3</v>
      </c>
      <c r="J167">
        <v>46.36</v>
      </c>
      <c r="K167">
        <v>539.39</v>
      </c>
      <c r="L167" t="s">
        <v>327</v>
      </c>
      <c r="M167" t="s">
        <v>33</v>
      </c>
      <c r="N167">
        <v>21</v>
      </c>
      <c r="O167">
        <v>12</v>
      </c>
      <c r="P167" t="b">
        <v>1</v>
      </c>
      <c r="Q167">
        <v>11</v>
      </c>
      <c r="R167">
        <v>4</v>
      </c>
    </row>
    <row r="168" spans="1:18">
      <c r="A168" t="s">
        <v>376</v>
      </c>
      <c r="B168" t="s">
        <v>377</v>
      </c>
      <c r="C168" s="1">
        <v>45108</v>
      </c>
      <c r="D168">
        <v>18</v>
      </c>
      <c r="E168" t="s">
        <v>36</v>
      </c>
      <c r="F168" t="s">
        <v>49</v>
      </c>
      <c r="G168" t="s">
        <v>115</v>
      </c>
      <c r="H168">
        <v>14.65</v>
      </c>
      <c r="I168">
        <v>1</v>
      </c>
      <c r="J168">
        <v>0</v>
      </c>
      <c r="K168">
        <v>14.65</v>
      </c>
      <c r="L168" t="s">
        <v>327</v>
      </c>
      <c r="M168" t="s">
        <v>33</v>
      </c>
      <c r="N168">
        <v>37</v>
      </c>
      <c r="O168">
        <v>7</v>
      </c>
      <c r="P168" t="b">
        <v>1</v>
      </c>
      <c r="Q168">
        <v>4</v>
      </c>
      <c r="R168">
        <v>3</v>
      </c>
    </row>
    <row r="169" spans="1:18">
      <c r="A169" t="s">
        <v>378</v>
      </c>
      <c r="B169" t="s">
        <v>379</v>
      </c>
      <c r="C169" s="1">
        <v>45063</v>
      </c>
      <c r="D169">
        <v>35</v>
      </c>
      <c r="E169" t="s">
        <v>36</v>
      </c>
      <c r="F169" t="s">
        <v>59</v>
      </c>
      <c r="G169" t="s">
        <v>22</v>
      </c>
      <c r="H169">
        <v>235.59</v>
      </c>
      <c r="I169">
        <v>1</v>
      </c>
      <c r="J169">
        <v>0</v>
      </c>
      <c r="K169">
        <v>235.59</v>
      </c>
      <c r="L169" t="s">
        <v>327</v>
      </c>
      <c r="M169" t="s">
        <v>24</v>
      </c>
      <c r="N169">
        <v>14</v>
      </c>
      <c r="O169">
        <v>8</v>
      </c>
      <c r="P169" t="b">
        <v>1</v>
      </c>
      <c r="Q169">
        <v>6</v>
      </c>
      <c r="R169">
        <v>4</v>
      </c>
    </row>
    <row r="170" spans="1:18">
      <c r="A170" t="s">
        <v>380</v>
      </c>
      <c r="B170" t="s">
        <v>381</v>
      </c>
      <c r="C170" s="1">
        <v>45252</v>
      </c>
      <c r="D170">
        <v>33</v>
      </c>
      <c r="E170" t="s">
        <v>20</v>
      </c>
      <c r="F170" t="s">
        <v>52</v>
      </c>
      <c r="G170" t="s">
        <v>64</v>
      </c>
      <c r="H170">
        <v>187.58</v>
      </c>
      <c r="I170">
        <v>1</v>
      </c>
      <c r="J170">
        <v>17.72</v>
      </c>
      <c r="K170">
        <v>169.86</v>
      </c>
      <c r="L170" t="s">
        <v>327</v>
      </c>
      <c r="M170" t="s">
        <v>33</v>
      </c>
      <c r="N170">
        <v>5</v>
      </c>
      <c r="O170">
        <v>6</v>
      </c>
      <c r="P170" t="b">
        <v>0</v>
      </c>
      <c r="Q170">
        <v>6</v>
      </c>
      <c r="R170">
        <v>4</v>
      </c>
    </row>
    <row r="171" spans="1:18">
      <c r="A171" t="s">
        <v>382</v>
      </c>
      <c r="B171" t="s">
        <v>383</v>
      </c>
      <c r="C171" s="1">
        <v>45279</v>
      </c>
      <c r="D171">
        <v>32</v>
      </c>
      <c r="E171" t="s">
        <v>36</v>
      </c>
      <c r="F171" t="s">
        <v>32</v>
      </c>
      <c r="G171" t="s">
        <v>64</v>
      </c>
      <c r="H171">
        <v>3964.15</v>
      </c>
      <c r="I171">
        <v>1</v>
      </c>
      <c r="J171">
        <v>820.08</v>
      </c>
      <c r="K171">
        <v>3144.07</v>
      </c>
      <c r="L171" t="s">
        <v>327</v>
      </c>
      <c r="M171" t="s">
        <v>24</v>
      </c>
      <c r="N171">
        <v>19</v>
      </c>
      <c r="O171">
        <v>15</v>
      </c>
      <c r="P171" t="b">
        <v>0</v>
      </c>
      <c r="Q171">
        <v>4</v>
      </c>
      <c r="R171">
        <v>2</v>
      </c>
    </row>
    <row r="172" spans="1:18">
      <c r="A172" t="s">
        <v>384</v>
      </c>
      <c r="B172" t="s">
        <v>385</v>
      </c>
      <c r="C172" s="1">
        <v>45212</v>
      </c>
      <c r="D172">
        <v>38</v>
      </c>
      <c r="E172" t="s">
        <v>122</v>
      </c>
      <c r="F172" t="s">
        <v>49</v>
      </c>
      <c r="G172" t="s">
        <v>53</v>
      </c>
      <c r="H172">
        <v>16.899999999999999</v>
      </c>
      <c r="I172">
        <v>2</v>
      </c>
      <c r="J172">
        <v>0</v>
      </c>
      <c r="K172">
        <v>33.799999999999997</v>
      </c>
      <c r="L172" t="s">
        <v>327</v>
      </c>
      <c r="M172" t="s">
        <v>33</v>
      </c>
      <c r="N172">
        <v>8</v>
      </c>
      <c r="O172">
        <v>6</v>
      </c>
      <c r="P172" t="b">
        <v>1</v>
      </c>
      <c r="Q172">
        <v>5</v>
      </c>
      <c r="R172">
        <v>4</v>
      </c>
    </row>
    <row r="173" spans="1:18">
      <c r="A173" t="s">
        <v>386</v>
      </c>
      <c r="B173" t="s">
        <v>387</v>
      </c>
      <c r="C173" s="1">
        <v>45039</v>
      </c>
      <c r="D173">
        <v>34</v>
      </c>
      <c r="E173" t="s">
        <v>20</v>
      </c>
      <c r="F173" t="s">
        <v>32</v>
      </c>
      <c r="G173" t="s">
        <v>53</v>
      </c>
      <c r="H173">
        <v>89.46</v>
      </c>
      <c r="I173">
        <v>1</v>
      </c>
      <c r="J173">
        <v>0</v>
      </c>
      <c r="K173">
        <v>89.46</v>
      </c>
      <c r="L173" t="s">
        <v>327</v>
      </c>
      <c r="M173" t="s">
        <v>24</v>
      </c>
      <c r="N173">
        <v>7</v>
      </c>
      <c r="O173">
        <v>5</v>
      </c>
      <c r="P173" t="b">
        <v>1</v>
      </c>
      <c r="Q173">
        <v>15</v>
      </c>
      <c r="R173">
        <v>5</v>
      </c>
    </row>
    <row r="174" spans="1:18">
      <c r="A174" t="s">
        <v>388</v>
      </c>
      <c r="B174" t="s">
        <v>389</v>
      </c>
      <c r="C174" s="1">
        <v>45320</v>
      </c>
      <c r="D174">
        <v>44</v>
      </c>
      <c r="E174" t="s">
        <v>36</v>
      </c>
      <c r="F174" t="s">
        <v>21</v>
      </c>
      <c r="G174" t="s">
        <v>46</v>
      </c>
      <c r="H174">
        <v>439.39</v>
      </c>
      <c r="I174">
        <v>5</v>
      </c>
      <c r="J174">
        <v>0</v>
      </c>
      <c r="K174">
        <v>2196.9499999999998</v>
      </c>
      <c r="L174" t="s">
        <v>327</v>
      </c>
      <c r="M174" t="s">
        <v>33</v>
      </c>
      <c r="N174">
        <v>13</v>
      </c>
      <c r="O174">
        <v>6</v>
      </c>
      <c r="P174" t="b">
        <v>1</v>
      </c>
      <c r="Q174">
        <v>6</v>
      </c>
      <c r="R174">
        <v>5</v>
      </c>
    </row>
    <row r="175" spans="1:18">
      <c r="A175" t="s">
        <v>390</v>
      </c>
      <c r="B175" t="s">
        <v>391</v>
      </c>
      <c r="C175" s="1">
        <v>44960</v>
      </c>
      <c r="D175">
        <v>18</v>
      </c>
      <c r="E175" t="s">
        <v>36</v>
      </c>
      <c r="F175" t="s">
        <v>32</v>
      </c>
      <c r="G175" t="s">
        <v>46</v>
      </c>
      <c r="H175">
        <v>117.22</v>
      </c>
      <c r="I175">
        <v>2</v>
      </c>
      <c r="J175">
        <v>0</v>
      </c>
      <c r="K175">
        <v>234.44</v>
      </c>
      <c r="L175" t="s">
        <v>327</v>
      </c>
      <c r="M175" t="s">
        <v>29</v>
      </c>
      <c r="N175">
        <v>17</v>
      </c>
      <c r="O175">
        <v>8</v>
      </c>
      <c r="P175" t="b">
        <v>0</v>
      </c>
      <c r="Q175">
        <v>3</v>
      </c>
      <c r="R175">
        <v>4</v>
      </c>
    </row>
    <row r="176" spans="1:18">
      <c r="A176" t="s">
        <v>392</v>
      </c>
      <c r="B176" t="s">
        <v>393</v>
      </c>
      <c r="C176" s="1">
        <v>45217</v>
      </c>
      <c r="D176">
        <v>22</v>
      </c>
      <c r="E176" t="s">
        <v>36</v>
      </c>
      <c r="F176" t="s">
        <v>32</v>
      </c>
      <c r="G176" t="s">
        <v>53</v>
      </c>
      <c r="H176">
        <v>136.26</v>
      </c>
      <c r="I176">
        <v>1</v>
      </c>
      <c r="J176">
        <v>0</v>
      </c>
      <c r="K176">
        <v>136.26</v>
      </c>
      <c r="L176" t="s">
        <v>327</v>
      </c>
      <c r="M176" t="s">
        <v>33</v>
      </c>
      <c r="N176">
        <v>33</v>
      </c>
      <c r="O176">
        <v>15</v>
      </c>
      <c r="P176" t="b">
        <v>1</v>
      </c>
      <c r="Q176">
        <v>2</v>
      </c>
      <c r="R176">
        <v>5</v>
      </c>
    </row>
    <row r="177" spans="1:18">
      <c r="A177" t="s">
        <v>394</v>
      </c>
      <c r="B177" t="s">
        <v>395</v>
      </c>
      <c r="C177" s="1">
        <v>45182</v>
      </c>
      <c r="D177">
        <v>44</v>
      </c>
      <c r="E177" t="s">
        <v>36</v>
      </c>
      <c r="F177" t="s">
        <v>27</v>
      </c>
      <c r="G177" t="s">
        <v>28</v>
      </c>
      <c r="H177">
        <v>90.07</v>
      </c>
      <c r="I177">
        <v>3</v>
      </c>
      <c r="J177">
        <v>0</v>
      </c>
      <c r="K177">
        <v>270.20999999999998</v>
      </c>
      <c r="L177" t="s">
        <v>327</v>
      </c>
      <c r="M177" t="s">
        <v>33</v>
      </c>
      <c r="N177">
        <v>21</v>
      </c>
      <c r="O177">
        <v>7</v>
      </c>
      <c r="P177" t="b">
        <v>1</v>
      </c>
      <c r="Q177">
        <v>5</v>
      </c>
      <c r="R177">
        <v>5</v>
      </c>
    </row>
    <row r="178" spans="1:18">
      <c r="A178" t="s">
        <v>396</v>
      </c>
      <c r="B178" t="s">
        <v>397</v>
      </c>
      <c r="C178" s="1">
        <v>45129</v>
      </c>
      <c r="D178">
        <v>20</v>
      </c>
      <c r="E178" t="s">
        <v>36</v>
      </c>
      <c r="F178" t="s">
        <v>32</v>
      </c>
      <c r="G178" t="s">
        <v>56</v>
      </c>
      <c r="H178">
        <v>342.96</v>
      </c>
      <c r="I178">
        <v>3</v>
      </c>
      <c r="J178">
        <v>0</v>
      </c>
      <c r="K178">
        <v>1028.8800000000001</v>
      </c>
      <c r="L178" t="s">
        <v>327</v>
      </c>
      <c r="M178" t="s">
        <v>33</v>
      </c>
      <c r="N178">
        <v>29</v>
      </c>
      <c r="O178">
        <v>10</v>
      </c>
      <c r="P178" t="b">
        <v>1</v>
      </c>
      <c r="Q178">
        <v>9</v>
      </c>
      <c r="R178">
        <v>5</v>
      </c>
    </row>
    <row r="179" spans="1:18">
      <c r="A179" t="s">
        <v>398</v>
      </c>
      <c r="B179" t="s">
        <v>399</v>
      </c>
      <c r="C179" s="1">
        <v>45256</v>
      </c>
      <c r="D179">
        <v>37</v>
      </c>
      <c r="E179" t="s">
        <v>36</v>
      </c>
      <c r="F179" t="s">
        <v>73</v>
      </c>
      <c r="G179" t="s">
        <v>115</v>
      </c>
      <c r="H179">
        <v>203.57</v>
      </c>
      <c r="I179">
        <v>5</v>
      </c>
      <c r="J179">
        <v>26.14</v>
      </c>
      <c r="K179">
        <v>991.71</v>
      </c>
      <c r="L179" t="s">
        <v>327</v>
      </c>
      <c r="M179" t="s">
        <v>33</v>
      </c>
      <c r="N179">
        <v>13</v>
      </c>
      <c r="O179">
        <v>5</v>
      </c>
      <c r="P179" t="b">
        <v>0</v>
      </c>
      <c r="Q179">
        <v>6</v>
      </c>
      <c r="R179">
        <v>3</v>
      </c>
    </row>
    <row r="180" spans="1:18">
      <c r="A180" t="s">
        <v>400</v>
      </c>
      <c r="B180" t="s">
        <v>401</v>
      </c>
      <c r="C180" s="1">
        <v>45062</v>
      </c>
      <c r="D180">
        <v>37</v>
      </c>
      <c r="E180" t="s">
        <v>20</v>
      </c>
      <c r="F180" t="s">
        <v>59</v>
      </c>
      <c r="G180" t="s">
        <v>37</v>
      </c>
      <c r="H180">
        <v>125.21</v>
      </c>
      <c r="I180">
        <v>4</v>
      </c>
      <c r="J180">
        <v>28.05</v>
      </c>
      <c r="K180">
        <v>472.79</v>
      </c>
      <c r="L180" t="s">
        <v>327</v>
      </c>
      <c r="M180" t="s">
        <v>33</v>
      </c>
      <c r="N180">
        <v>13</v>
      </c>
      <c r="O180">
        <v>5</v>
      </c>
      <c r="P180" t="b">
        <v>1</v>
      </c>
      <c r="Q180">
        <v>6</v>
      </c>
      <c r="R180">
        <v>4</v>
      </c>
    </row>
    <row r="181" spans="1:18">
      <c r="A181" t="s">
        <v>402</v>
      </c>
      <c r="B181" t="s">
        <v>403</v>
      </c>
      <c r="C181" s="1">
        <v>45053</v>
      </c>
      <c r="D181">
        <v>44</v>
      </c>
      <c r="E181" t="s">
        <v>36</v>
      </c>
      <c r="F181" t="s">
        <v>52</v>
      </c>
      <c r="G181" t="s">
        <v>64</v>
      </c>
      <c r="H181">
        <v>984.42</v>
      </c>
      <c r="I181">
        <v>4</v>
      </c>
      <c r="J181">
        <v>0</v>
      </c>
      <c r="K181">
        <v>3937.68</v>
      </c>
      <c r="L181" t="s">
        <v>327</v>
      </c>
      <c r="M181" t="s">
        <v>33</v>
      </c>
      <c r="N181">
        <v>5</v>
      </c>
      <c r="O181">
        <v>11</v>
      </c>
      <c r="P181" t="b">
        <v>1</v>
      </c>
      <c r="Q181">
        <v>10</v>
      </c>
      <c r="R181">
        <v>2</v>
      </c>
    </row>
    <row r="182" spans="1:18">
      <c r="A182" t="s">
        <v>404</v>
      </c>
      <c r="B182" t="s">
        <v>405</v>
      </c>
      <c r="C182" s="1">
        <v>45226</v>
      </c>
      <c r="D182">
        <v>39</v>
      </c>
      <c r="E182" t="s">
        <v>20</v>
      </c>
      <c r="F182" t="s">
        <v>21</v>
      </c>
      <c r="G182" t="s">
        <v>22</v>
      </c>
      <c r="H182">
        <v>57.06</v>
      </c>
      <c r="I182">
        <v>2</v>
      </c>
      <c r="J182">
        <v>13.23</v>
      </c>
      <c r="K182">
        <v>100.89</v>
      </c>
      <c r="L182" t="s">
        <v>327</v>
      </c>
      <c r="M182" t="s">
        <v>24</v>
      </c>
      <c r="N182">
        <v>32</v>
      </c>
      <c r="O182">
        <v>12</v>
      </c>
      <c r="P182" t="b">
        <v>0</v>
      </c>
      <c r="Q182">
        <v>9</v>
      </c>
      <c r="R182">
        <v>4</v>
      </c>
    </row>
    <row r="183" spans="1:18">
      <c r="A183" t="s">
        <v>406</v>
      </c>
      <c r="B183" t="s">
        <v>407</v>
      </c>
      <c r="C183" s="1">
        <v>45146</v>
      </c>
      <c r="D183">
        <v>26</v>
      </c>
      <c r="E183" t="s">
        <v>20</v>
      </c>
      <c r="F183" t="s">
        <v>27</v>
      </c>
      <c r="G183" t="s">
        <v>22</v>
      </c>
      <c r="H183">
        <v>293.22000000000003</v>
      </c>
      <c r="I183">
        <v>3</v>
      </c>
      <c r="J183">
        <v>0</v>
      </c>
      <c r="K183">
        <v>879.66</v>
      </c>
      <c r="L183" t="s">
        <v>327</v>
      </c>
      <c r="M183" t="s">
        <v>33</v>
      </c>
      <c r="N183">
        <v>11</v>
      </c>
      <c r="O183">
        <v>15</v>
      </c>
      <c r="P183" t="b">
        <v>0</v>
      </c>
      <c r="Q183">
        <v>11</v>
      </c>
      <c r="R183">
        <v>4</v>
      </c>
    </row>
    <row r="184" spans="1:18">
      <c r="A184" t="s">
        <v>408</v>
      </c>
      <c r="B184" t="s">
        <v>409</v>
      </c>
      <c r="C184" s="1">
        <v>45225</v>
      </c>
      <c r="D184">
        <v>37</v>
      </c>
      <c r="E184" t="s">
        <v>36</v>
      </c>
      <c r="F184" t="s">
        <v>21</v>
      </c>
      <c r="G184" t="s">
        <v>22</v>
      </c>
      <c r="H184">
        <v>159.53</v>
      </c>
      <c r="I184">
        <v>1</v>
      </c>
      <c r="J184">
        <v>0</v>
      </c>
      <c r="K184">
        <v>159.53</v>
      </c>
      <c r="L184" t="s">
        <v>327</v>
      </c>
      <c r="M184" t="s">
        <v>24</v>
      </c>
      <c r="N184">
        <v>6</v>
      </c>
      <c r="O184">
        <v>7</v>
      </c>
      <c r="P184" t="b">
        <v>1</v>
      </c>
      <c r="Q184">
        <v>8</v>
      </c>
      <c r="R184">
        <v>5</v>
      </c>
    </row>
    <row r="185" spans="1:18">
      <c r="A185" t="s">
        <v>410</v>
      </c>
      <c r="B185" t="s">
        <v>411</v>
      </c>
      <c r="C185" s="1">
        <v>45039</v>
      </c>
      <c r="D185">
        <v>57</v>
      </c>
      <c r="E185" t="s">
        <v>20</v>
      </c>
      <c r="F185" t="s">
        <v>21</v>
      </c>
      <c r="G185" t="s">
        <v>64</v>
      </c>
      <c r="H185">
        <v>1034.05</v>
      </c>
      <c r="I185">
        <v>2</v>
      </c>
      <c r="J185">
        <v>62.85</v>
      </c>
      <c r="K185">
        <v>2005.25</v>
      </c>
      <c r="L185" t="s">
        <v>327</v>
      </c>
      <c r="M185" t="s">
        <v>24</v>
      </c>
      <c r="N185">
        <v>24</v>
      </c>
      <c r="O185">
        <v>16</v>
      </c>
      <c r="P185" t="b">
        <v>0</v>
      </c>
      <c r="Q185">
        <v>6</v>
      </c>
      <c r="R185">
        <v>5</v>
      </c>
    </row>
    <row r="186" spans="1:18">
      <c r="A186" t="s">
        <v>412</v>
      </c>
      <c r="B186" t="s">
        <v>413</v>
      </c>
      <c r="C186" s="1">
        <v>45313</v>
      </c>
      <c r="D186">
        <v>44</v>
      </c>
      <c r="E186" t="s">
        <v>20</v>
      </c>
      <c r="F186" t="s">
        <v>52</v>
      </c>
      <c r="G186" t="s">
        <v>28</v>
      </c>
      <c r="H186">
        <v>113.19</v>
      </c>
      <c r="I186">
        <v>3</v>
      </c>
      <c r="J186">
        <v>0</v>
      </c>
      <c r="K186">
        <v>339.57</v>
      </c>
      <c r="L186" t="s">
        <v>327</v>
      </c>
      <c r="M186" t="s">
        <v>33</v>
      </c>
      <c r="N186">
        <v>18</v>
      </c>
      <c r="O186">
        <v>9</v>
      </c>
      <c r="P186" t="b">
        <v>0</v>
      </c>
      <c r="Q186">
        <v>16</v>
      </c>
      <c r="R186">
        <v>1</v>
      </c>
    </row>
    <row r="187" spans="1:18">
      <c r="A187" t="s">
        <v>414</v>
      </c>
      <c r="B187" t="s">
        <v>415</v>
      </c>
      <c r="C187" s="1">
        <v>45367</v>
      </c>
      <c r="D187">
        <v>25</v>
      </c>
      <c r="E187" t="s">
        <v>36</v>
      </c>
      <c r="F187" t="s">
        <v>83</v>
      </c>
      <c r="G187" t="s">
        <v>46</v>
      </c>
      <c r="H187">
        <v>221.81</v>
      </c>
      <c r="I187">
        <v>1</v>
      </c>
      <c r="J187">
        <v>0</v>
      </c>
      <c r="K187">
        <v>221.81</v>
      </c>
      <c r="L187" t="s">
        <v>327</v>
      </c>
      <c r="M187" t="s">
        <v>33</v>
      </c>
      <c r="N187">
        <v>8</v>
      </c>
      <c r="O187">
        <v>6</v>
      </c>
      <c r="P187" t="b">
        <v>0</v>
      </c>
      <c r="Q187">
        <v>4</v>
      </c>
      <c r="R187">
        <v>2</v>
      </c>
    </row>
    <row r="188" spans="1:18">
      <c r="A188" t="s">
        <v>416</v>
      </c>
      <c r="B188" t="s">
        <v>417</v>
      </c>
      <c r="C188" s="1">
        <v>45248</v>
      </c>
      <c r="D188">
        <v>44</v>
      </c>
      <c r="E188" t="s">
        <v>20</v>
      </c>
      <c r="F188" t="s">
        <v>49</v>
      </c>
      <c r="G188" t="s">
        <v>64</v>
      </c>
      <c r="H188">
        <v>758.95</v>
      </c>
      <c r="I188">
        <v>2</v>
      </c>
      <c r="J188">
        <v>108.29</v>
      </c>
      <c r="K188">
        <v>1409.61</v>
      </c>
      <c r="L188" t="s">
        <v>327</v>
      </c>
      <c r="M188" t="s">
        <v>29</v>
      </c>
      <c r="N188">
        <v>6</v>
      </c>
      <c r="O188">
        <v>7</v>
      </c>
      <c r="P188" t="b">
        <v>1</v>
      </c>
      <c r="Q188">
        <v>9</v>
      </c>
      <c r="R188">
        <v>4</v>
      </c>
    </row>
    <row r="189" spans="1:18">
      <c r="A189" t="s">
        <v>418</v>
      </c>
      <c r="B189" t="s">
        <v>419</v>
      </c>
      <c r="C189" s="1">
        <v>45232</v>
      </c>
      <c r="D189">
        <v>44</v>
      </c>
      <c r="E189" t="s">
        <v>36</v>
      </c>
      <c r="F189" t="s">
        <v>73</v>
      </c>
      <c r="G189" t="s">
        <v>37</v>
      </c>
      <c r="H189">
        <v>24.55</v>
      </c>
      <c r="I189">
        <v>1</v>
      </c>
      <c r="J189">
        <v>2.4500000000000002</v>
      </c>
      <c r="K189">
        <v>22.1</v>
      </c>
      <c r="L189" t="s">
        <v>327</v>
      </c>
      <c r="M189" t="s">
        <v>33</v>
      </c>
      <c r="N189">
        <v>7</v>
      </c>
      <c r="O189">
        <v>7</v>
      </c>
      <c r="P189" t="b">
        <v>0</v>
      </c>
      <c r="Q189">
        <v>7</v>
      </c>
      <c r="R189">
        <v>2</v>
      </c>
    </row>
    <row r="190" spans="1:18">
      <c r="A190" t="s">
        <v>420</v>
      </c>
      <c r="B190" t="s">
        <v>421</v>
      </c>
      <c r="C190" s="1">
        <v>45166</v>
      </c>
      <c r="D190">
        <v>35</v>
      </c>
      <c r="E190" t="s">
        <v>36</v>
      </c>
      <c r="F190" t="s">
        <v>88</v>
      </c>
      <c r="G190" t="s">
        <v>28</v>
      </c>
      <c r="H190">
        <v>118.56</v>
      </c>
      <c r="I190">
        <v>2</v>
      </c>
      <c r="J190">
        <v>10.62</v>
      </c>
      <c r="K190">
        <v>226.5</v>
      </c>
      <c r="L190" t="s">
        <v>327</v>
      </c>
      <c r="M190" t="s">
        <v>33</v>
      </c>
      <c r="N190">
        <v>6</v>
      </c>
      <c r="O190">
        <v>12</v>
      </c>
      <c r="P190" t="b">
        <v>1</v>
      </c>
      <c r="Q190">
        <v>19</v>
      </c>
      <c r="R190">
        <v>4</v>
      </c>
    </row>
    <row r="191" spans="1:18">
      <c r="A191" t="s">
        <v>422</v>
      </c>
      <c r="B191" t="s">
        <v>423</v>
      </c>
      <c r="C191" s="1">
        <v>45367</v>
      </c>
      <c r="D191">
        <v>42</v>
      </c>
      <c r="E191" t="s">
        <v>36</v>
      </c>
      <c r="F191" t="s">
        <v>52</v>
      </c>
      <c r="G191" t="s">
        <v>56</v>
      </c>
      <c r="H191">
        <v>239.92</v>
      </c>
      <c r="I191">
        <v>1</v>
      </c>
      <c r="J191">
        <v>0</v>
      </c>
      <c r="K191">
        <v>239.92</v>
      </c>
      <c r="L191" t="s">
        <v>327</v>
      </c>
      <c r="M191" t="s">
        <v>33</v>
      </c>
      <c r="N191">
        <v>18</v>
      </c>
      <c r="O191">
        <v>11</v>
      </c>
      <c r="P191" t="b">
        <v>1</v>
      </c>
      <c r="Q191">
        <v>6</v>
      </c>
      <c r="R191">
        <v>5</v>
      </c>
    </row>
    <row r="192" spans="1:18">
      <c r="A192" t="s">
        <v>424</v>
      </c>
      <c r="B192" t="s">
        <v>425</v>
      </c>
      <c r="C192" s="1">
        <v>45276</v>
      </c>
      <c r="D192">
        <v>43</v>
      </c>
      <c r="E192" t="s">
        <v>20</v>
      </c>
      <c r="F192" t="s">
        <v>32</v>
      </c>
      <c r="G192" t="s">
        <v>64</v>
      </c>
      <c r="H192">
        <v>3200.17</v>
      </c>
      <c r="I192">
        <v>5</v>
      </c>
      <c r="J192">
        <v>0</v>
      </c>
      <c r="K192">
        <v>16000.85</v>
      </c>
      <c r="L192" t="s">
        <v>327</v>
      </c>
      <c r="M192" t="s">
        <v>24</v>
      </c>
      <c r="N192">
        <v>23</v>
      </c>
      <c r="O192">
        <v>12</v>
      </c>
      <c r="P192" t="b">
        <v>0</v>
      </c>
      <c r="Q192">
        <v>7</v>
      </c>
      <c r="R192">
        <v>5</v>
      </c>
    </row>
    <row r="193" spans="1:18">
      <c r="A193" t="s">
        <v>426</v>
      </c>
      <c r="B193" t="s">
        <v>427</v>
      </c>
      <c r="C193" s="1">
        <v>45320</v>
      </c>
      <c r="D193">
        <v>18</v>
      </c>
      <c r="E193" t="s">
        <v>122</v>
      </c>
      <c r="F193" t="s">
        <v>27</v>
      </c>
      <c r="G193" t="s">
        <v>53</v>
      </c>
      <c r="H193">
        <v>64.180000000000007</v>
      </c>
      <c r="I193">
        <v>3</v>
      </c>
      <c r="J193">
        <v>14.83</v>
      </c>
      <c r="K193">
        <v>177.71</v>
      </c>
      <c r="L193" t="s">
        <v>327</v>
      </c>
      <c r="M193" t="s">
        <v>24</v>
      </c>
      <c r="N193">
        <v>20</v>
      </c>
      <c r="O193">
        <v>11</v>
      </c>
      <c r="P193" t="b">
        <v>0</v>
      </c>
      <c r="Q193">
        <v>5</v>
      </c>
      <c r="R193">
        <v>3</v>
      </c>
    </row>
    <row r="194" spans="1:18">
      <c r="A194" t="s">
        <v>428</v>
      </c>
      <c r="B194" t="s">
        <v>429</v>
      </c>
      <c r="C194" s="1">
        <v>45007</v>
      </c>
      <c r="D194">
        <v>39</v>
      </c>
      <c r="E194" t="s">
        <v>36</v>
      </c>
      <c r="F194" t="s">
        <v>32</v>
      </c>
      <c r="G194" t="s">
        <v>53</v>
      </c>
      <c r="H194">
        <v>123.96</v>
      </c>
      <c r="I194">
        <v>3</v>
      </c>
      <c r="J194">
        <v>0</v>
      </c>
      <c r="K194">
        <v>371.88</v>
      </c>
      <c r="L194" t="s">
        <v>327</v>
      </c>
      <c r="M194" t="s">
        <v>33</v>
      </c>
      <c r="N194">
        <v>9</v>
      </c>
      <c r="O194">
        <v>15</v>
      </c>
      <c r="P194" t="b">
        <v>1</v>
      </c>
      <c r="Q194">
        <v>3</v>
      </c>
      <c r="R194">
        <v>5</v>
      </c>
    </row>
    <row r="195" spans="1:18">
      <c r="A195" t="s">
        <v>430</v>
      </c>
      <c r="B195" t="s">
        <v>431</v>
      </c>
      <c r="C195" s="1">
        <v>45183</v>
      </c>
      <c r="D195">
        <v>47</v>
      </c>
      <c r="E195" t="s">
        <v>20</v>
      </c>
      <c r="F195" t="s">
        <v>73</v>
      </c>
      <c r="G195" t="s">
        <v>28</v>
      </c>
      <c r="H195">
        <v>149.18</v>
      </c>
      <c r="I195">
        <v>1</v>
      </c>
      <c r="J195">
        <v>0</v>
      </c>
      <c r="K195">
        <v>149.18</v>
      </c>
      <c r="L195" t="s">
        <v>327</v>
      </c>
      <c r="M195" t="s">
        <v>24</v>
      </c>
      <c r="N195">
        <v>13</v>
      </c>
      <c r="O195">
        <v>16</v>
      </c>
      <c r="P195" t="b">
        <v>1</v>
      </c>
      <c r="Q195">
        <v>2</v>
      </c>
      <c r="R195">
        <v>4</v>
      </c>
    </row>
    <row r="196" spans="1:18">
      <c r="A196" t="s">
        <v>432</v>
      </c>
      <c r="B196" t="s">
        <v>433</v>
      </c>
      <c r="C196" s="1">
        <v>44981</v>
      </c>
      <c r="D196">
        <v>41</v>
      </c>
      <c r="E196" t="s">
        <v>36</v>
      </c>
      <c r="F196" t="s">
        <v>59</v>
      </c>
      <c r="G196" t="s">
        <v>28</v>
      </c>
      <c r="H196">
        <v>549.61</v>
      </c>
      <c r="I196">
        <v>1</v>
      </c>
      <c r="J196">
        <v>151.72</v>
      </c>
      <c r="K196">
        <v>397.89</v>
      </c>
      <c r="L196" t="s">
        <v>327</v>
      </c>
      <c r="M196" t="s">
        <v>24</v>
      </c>
      <c r="N196">
        <v>11</v>
      </c>
      <c r="O196">
        <v>7</v>
      </c>
      <c r="P196" t="b">
        <v>1</v>
      </c>
      <c r="Q196">
        <v>9</v>
      </c>
      <c r="R196">
        <v>5</v>
      </c>
    </row>
    <row r="197" spans="1:18">
      <c r="A197" t="s">
        <v>434</v>
      </c>
      <c r="B197" t="s">
        <v>435</v>
      </c>
      <c r="C197" s="1">
        <v>45254</v>
      </c>
      <c r="D197">
        <v>48</v>
      </c>
      <c r="E197" t="s">
        <v>36</v>
      </c>
      <c r="F197" t="s">
        <v>76</v>
      </c>
      <c r="G197" t="s">
        <v>22</v>
      </c>
      <c r="H197">
        <v>99.34</v>
      </c>
      <c r="I197">
        <v>5</v>
      </c>
      <c r="J197">
        <v>0</v>
      </c>
      <c r="K197">
        <v>496.7</v>
      </c>
      <c r="L197" t="s">
        <v>327</v>
      </c>
      <c r="M197" t="s">
        <v>24</v>
      </c>
      <c r="N197">
        <v>9</v>
      </c>
      <c r="O197">
        <v>5</v>
      </c>
      <c r="P197" t="b">
        <v>1</v>
      </c>
      <c r="Q197">
        <v>2</v>
      </c>
      <c r="R197">
        <v>4</v>
      </c>
    </row>
    <row r="198" spans="1:18">
      <c r="A198" t="s">
        <v>436</v>
      </c>
      <c r="B198" t="s">
        <v>437</v>
      </c>
      <c r="C198" s="1">
        <v>45186</v>
      </c>
      <c r="D198">
        <v>46</v>
      </c>
      <c r="E198" t="s">
        <v>20</v>
      </c>
      <c r="F198" t="s">
        <v>73</v>
      </c>
      <c r="G198" t="s">
        <v>22</v>
      </c>
      <c r="H198">
        <v>208.7</v>
      </c>
      <c r="I198">
        <v>1</v>
      </c>
      <c r="J198">
        <v>0</v>
      </c>
      <c r="K198">
        <v>208.7</v>
      </c>
      <c r="L198" t="s">
        <v>327</v>
      </c>
      <c r="M198" t="s">
        <v>24</v>
      </c>
      <c r="N198">
        <v>7</v>
      </c>
      <c r="O198">
        <v>12</v>
      </c>
      <c r="P198" t="b">
        <v>1</v>
      </c>
      <c r="Q198">
        <v>12</v>
      </c>
      <c r="R198">
        <v>5</v>
      </c>
    </row>
    <row r="199" spans="1:18">
      <c r="A199" t="s">
        <v>438</v>
      </c>
      <c r="B199" t="s">
        <v>439</v>
      </c>
      <c r="C199" s="1">
        <v>45238</v>
      </c>
      <c r="D199">
        <v>42</v>
      </c>
      <c r="E199" t="s">
        <v>20</v>
      </c>
      <c r="F199" t="s">
        <v>76</v>
      </c>
      <c r="G199" t="s">
        <v>22</v>
      </c>
      <c r="H199">
        <v>136.28</v>
      </c>
      <c r="I199">
        <v>2</v>
      </c>
      <c r="J199">
        <v>0</v>
      </c>
      <c r="K199">
        <v>272.56</v>
      </c>
      <c r="L199" t="s">
        <v>327</v>
      </c>
      <c r="M199" t="s">
        <v>33</v>
      </c>
      <c r="N199">
        <v>19</v>
      </c>
      <c r="O199">
        <v>10</v>
      </c>
      <c r="P199" t="b">
        <v>1</v>
      </c>
      <c r="Q199">
        <v>15</v>
      </c>
      <c r="R199">
        <v>5</v>
      </c>
    </row>
    <row r="200" spans="1:18">
      <c r="A200" t="s">
        <v>440</v>
      </c>
      <c r="B200" t="s">
        <v>441</v>
      </c>
      <c r="C200" s="1">
        <v>45028</v>
      </c>
      <c r="D200">
        <v>31</v>
      </c>
      <c r="E200" t="s">
        <v>20</v>
      </c>
      <c r="F200" t="s">
        <v>32</v>
      </c>
      <c r="G200" t="s">
        <v>64</v>
      </c>
      <c r="H200">
        <v>2003.75</v>
      </c>
      <c r="I200">
        <v>1</v>
      </c>
      <c r="J200">
        <v>0</v>
      </c>
      <c r="K200">
        <v>2003.75</v>
      </c>
      <c r="L200" t="s">
        <v>327</v>
      </c>
      <c r="M200" t="s">
        <v>33</v>
      </c>
      <c r="N200">
        <v>3</v>
      </c>
      <c r="O200">
        <v>8</v>
      </c>
      <c r="P200" t="b">
        <v>1</v>
      </c>
      <c r="Q200">
        <v>6</v>
      </c>
      <c r="R200">
        <v>4</v>
      </c>
    </row>
    <row r="201" spans="1:18">
      <c r="A201" t="s">
        <v>442</v>
      </c>
      <c r="B201" t="s">
        <v>443</v>
      </c>
      <c r="C201" s="1">
        <v>45005</v>
      </c>
      <c r="D201">
        <v>44</v>
      </c>
      <c r="E201" t="s">
        <v>36</v>
      </c>
      <c r="F201" t="s">
        <v>27</v>
      </c>
      <c r="G201" t="s">
        <v>53</v>
      </c>
      <c r="H201">
        <v>58.2</v>
      </c>
      <c r="I201">
        <v>1</v>
      </c>
      <c r="J201">
        <v>0</v>
      </c>
      <c r="K201">
        <v>58.2</v>
      </c>
      <c r="L201" t="s">
        <v>327</v>
      </c>
      <c r="M201" t="s">
        <v>33</v>
      </c>
      <c r="N201">
        <v>8</v>
      </c>
      <c r="O201">
        <v>8</v>
      </c>
      <c r="P201" t="b">
        <v>1</v>
      </c>
      <c r="Q201">
        <v>9</v>
      </c>
      <c r="R201">
        <v>5</v>
      </c>
    </row>
    <row r="202" spans="1:18">
      <c r="A202" t="s">
        <v>444</v>
      </c>
      <c r="B202" t="s">
        <v>445</v>
      </c>
      <c r="C202" s="1">
        <v>45317</v>
      </c>
      <c r="D202">
        <v>32</v>
      </c>
      <c r="E202" t="s">
        <v>20</v>
      </c>
      <c r="F202" t="s">
        <v>49</v>
      </c>
      <c r="G202" t="s">
        <v>46</v>
      </c>
      <c r="H202">
        <v>875.66</v>
      </c>
      <c r="I202">
        <v>1</v>
      </c>
      <c r="J202">
        <v>0</v>
      </c>
      <c r="K202">
        <v>875.66</v>
      </c>
      <c r="L202" t="s">
        <v>327</v>
      </c>
      <c r="M202" t="s">
        <v>24</v>
      </c>
      <c r="N202">
        <v>17</v>
      </c>
      <c r="O202">
        <v>17</v>
      </c>
      <c r="P202" t="b">
        <v>1</v>
      </c>
      <c r="Q202">
        <v>2</v>
      </c>
      <c r="R202">
        <v>5</v>
      </c>
    </row>
    <row r="203" spans="1:18">
      <c r="A203" t="s">
        <v>446</v>
      </c>
      <c r="B203" t="s">
        <v>447</v>
      </c>
      <c r="C203" s="1">
        <v>45198</v>
      </c>
      <c r="D203">
        <v>18</v>
      </c>
      <c r="E203" t="s">
        <v>20</v>
      </c>
      <c r="F203" t="s">
        <v>59</v>
      </c>
      <c r="G203" t="s">
        <v>46</v>
      </c>
      <c r="H203">
        <v>205.74</v>
      </c>
      <c r="I203">
        <v>1</v>
      </c>
      <c r="J203">
        <v>12.23</v>
      </c>
      <c r="K203">
        <v>193.51</v>
      </c>
      <c r="L203" t="s">
        <v>327</v>
      </c>
      <c r="M203" t="s">
        <v>24</v>
      </c>
      <c r="N203">
        <v>12</v>
      </c>
      <c r="O203">
        <v>17</v>
      </c>
      <c r="P203" t="b">
        <v>1</v>
      </c>
      <c r="Q203">
        <v>17</v>
      </c>
      <c r="R203">
        <v>2</v>
      </c>
    </row>
    <row r="204" spans="1:18">
      <c r="A204" t="s">
        <v>448</v>
      </c>
      <c r="B204" t="s">
        <v>449</v>
      </c>
      <c r="C204" s="1">
        <v>45084</v>
      </c>
      <c r="D204">
        <v>35</v>
      </c>
      <c r="E204" t="s">
        <v>20</v>
      </c>
      <c r="F204" t="s">
        <v>32</v>
      </c>
      <c r="G204" t="s">
        <v>28</v>
      </c>
      <c r="H204">
        <v>435.89</v>
      </c>
      <c r="I204">
        <v>1</v>
      </c>
      <c r="J204">
        <v>88.84</v>
      </c>
      <c r="K204">
        <v>347.05</v>
      </c>
      <c r="L204" t="s">
        <v>327</v>
      </c>
      <c r="M204" t="s">
        <v>33</v>
      </c>
      <c r="N204">
        <v>17</v>
      </c>
      <c r="O204">
        <v>8</v>
      </c>
      <c r="P204" t="b">
        <v>1</v>
      </c>
      <c r="Q204">
        <v>5</v>
      </c>
      <c r="R204">
        <v>5</v>
      </c>
    </row>
    <row r="205" spans="1:18">
      <c r="A205" t="s">
        <v>450</v>
      </c>
      <c r="B205" t="s">
        <v>451</v>
      </c>
      <c r="C205" s="1">
        <v>45049</v>
      </c>
      <c r="D205">
        <v>27</v>
      </c>
      <c r="E205" t="s">
        <v>20</v>
      </c>
      <c r="F205" t="s">
        <v>27</v>
      </c>
      <c r="G205" t="s">
        <v>115</v>
      </c>
      <c r="H205">
        <v>33.950000000000003</v>
      </c>
      <c r="I205">
        <v>1</v>
      </c>
      <c r="J205">
        <v>6.33</v>
      </c>
      <c r="K205">
        <v>27.62</v>
      </c>
      <c r="L205" t="s">
        <v>327</v>
      </c>
      <c r="M205" t="s">
        <v>33</v>
      </c>
      <c r="N205">
        <v>17</v>
      </c>
      <c r="O205">
        <v>12</v>
      </c>
      <c r="P205" t="b">
        <v>0</v>
      </c>
      <c r="Q205">
        <v>12</v>
      </c>
      <c r="R205">
        <v>4</v>
      </c>
    </row>
    <row r="206" spans="1:18">
      <c r="A206" t="s">
        <v>452</v>
      </c>
      <c r="B206" t="s">
        <v>453</v>
      </c>
      <c r="C206" s="1">
        <v>45376</v>
      </c>
      <c r="D206">
        <v>18</v>
      </c>
      <c r="E206" t="s">
        <v>20</v>
      </c>
      <c r="F206" t="s">
        <v>32</v>
      </c>
      <c r="G206" t="s">
        <v>28</v>
      </c>
      <c r="H206">
        <v>157.19</v>
      </c>
      <c r="I206">
        <v>1</v>
      </c>
      <c r="J206">
        <v>0</v>
      </c>
      <c r="K206">
        <v>157.19</v>
      </c>
      <c r="L206" t="s">
        <v>327</v>
      </c>
      <c r="M206" t="s">
        <v>29</v>
      </c>
      <c r="N206">
        <v>4</v>
      </c>
      <c r="O206">
        <v>8</v>
      </c>
      <c r="P206" t="b">
        <v>1</v>
      </c>
      <c r="Q206">
        <v>3</v>
      </c>
      <c r="R206">
        <v>5</v>
      </c>
    </row>
    <row r="207" spans="1:18">
      <c r="A207" t="s">
        <v>454</v>
      </c>
      <c r="B207" t="s">
        <v>455</v>
      </c>
      <c r="C207" s="1">
        <v>44970</v>
      </c>
      <c r="D207">
        <v>45</v>
      </c>
      <c r="E207" t="s">
        <v>36</v>
      </c>
      <c r="F207" t="s">
        <v>32</v>
      </c>
      <c r="G207" t="s">
        <v>64</v>
      </c>
      <c r="H207">
        <v>2059.12</v>
      </c>
      <c r="I207">
        <v>5</v>
      </c>
      <c r="J207">
        <v>0</v>
      </c>
      <c r="K207">
        <v>10295.6</v>
      </c>
      <c r="L207" t="s">
        <v>327</v>
      </c>
      <c r="M207" t="s">
        <v>33</v>
      </c>
      <c r="N207">
        <v>3</v>
      </c>
      <c r="O207">
        <v>9</v>
      </c>
      <c r="P207" t="b">
        <v>0</v>
      </c>
      <c r="Q207">
        <v>5</v>
      </c>
      <c r="R207">
        <v>4</v>
      </c>
    </row>
    <row r="208" spans="1:18">
      <c r="A208" t="s">
        <v>456</v>
      </c>
      <c r="B208" t="s">
        <v>457</v>
      </c>
      <c r="C208" s="1">
        <v>44992</v>
      </c>
      <c r="D208">
        <v>56</v>
      </c>
      <c r="E208" t="s">
        <v>36</v>
      </c>
      <c r="F208" t="s">
        <v>49</v>
      </c>
      <c r="G208" t="s">
        <v>46</v>
      </c>
      <c r="H208">
        <v>77.87</v>
      </c>
      <c r="I208">
        <v>2</v>
      </c>
      <c r="J208">
        <v>13.24</v>
      </c>
      <c r="K208">
        <v>142.5</v>
      </c>
      <c r="L208" t="s">
        <v>327</v>
      </c>
      <c r="M208" t="s">
        <v>33</v>
      </c>
      <c r="N208">
        <v>15</v>
      </c>
      <c r="O208">
        <v>9</v>
      </c>
      <c r="P208" t="b">
        <v>1</v>
      </c>
      <c r="Q208">
        <v>2</v>
      </c>
      <c r="R208">
        <v>4</v>
      </c>
    </row>
    <row r="209" spans="1:18">
      <c r="A209" t="s">
        <v>458</v>
      </c>
      <c r="B209" t="s">
        <v>459</v>
      </c>
      <c r="C209" s="1">
        <v>45373</v>
      </c>
      <c r="D209">
        <v>29</v>
      </c>
      <c r="E209" t="s">
        <v>20</v>
      </c>
      <c r="F209" t="s">
        <v>88</v>
      </c>
      <c r="G209" t="s">
        <v>46</v>
      </c>
      <c r="H209">
        <v>269.26</v>
      </c>
      <c r="I209">
        <v>5</v>
      </c>
      <c r="J209">
        <v>0</v>
      </c>
      <c r="K209">
        <v>1346.3</v>
      </c>
      <c r="L209" t="s">
        <v>327</v>
      </c>
      <c r="M209" t="s">
        <v>33</v>
      </c>
      <c r="N209">
        <v>13</v>
      </c>
      <c r="O209">
        <v>11</v>
      </c>
      <c r="P209" t="b">
        <v>0</v>
      </c>
      <c r="Q209">
        <v>10</v>
      </c>
      <c r="R209">
        <v>3</v>
      </c>
    </row>
    <row r="210" spans="1:18">
      <c r="A210" t="s">
        <v>460</v>
      </c>
      <c r="B210" t="s">
        <v>461</v>
      </c>
      <c r="C210" s="1">
        <v>45203</v>
      </c>
      <c r="D210">
        <v>44</v>
      </c>
      <c r="E210" t="s">
        <v>20</v>
      </c>
      <c r="F210" t="s">
        <v>59</v>
      </c>
      <c r="G210" t="s">
        <v>115</v>
      </c>
      <c r="H210">
        <v>45.4</v>
      </c>
      <c r="I210">
        <v>1</v>
      </c>
      <c r="J210">
        <v>0</v>
      </c>
      <c r="K210">
        <v>45.4</v>
      </c>
      <c r="L210" t="s">
        <v>327</v>
      </c>
      <c r="M210" t="s">
        <v>24</v>
      </c>
      <c r="N210">
        <v>9</v>
      </c>
      <c r="O210">
        <v>5</v>
      </c>
      <c r="P210" t="b">
        <v>1</v>
      </c>
      <c r="Q210">
        <v>7</v>
      </c>
      <c r="R210">
        <v>5</v>
      </c>
    </row>
    <row r="211" spans="1:18">
      <c r="A211" t="s">
        <v>462</v>
      </c>
      <c r="B211" t="s">
        <v>463</v>
      </c>
      <c r="C211" s="1">
        <v>45300</v>
      </c>
      <c r="D211">
        <v>34</v>
      </c>
      <c r="E211" t="s">
        <v>20</v>
      </c>
      <c r="F211" t="s">
        <v>32</v>
      </c>
      <c r="G211" t="s">
        <v>115</v>
      </c>
      <c r="H211">
        <v>98.63</v>
      </c>
      <c r="I211">
        <v>4</v>
      </c>
      <c r="J211">
        <v>0</v>
      </c>
      <c r="K211">
        <v>394.52</v>
      </c>
      <c r="L211" t="s">
        <v>327</v>
      </c>
      <c r="M211" t="s">
        <v>33</v>
      </c>
      <c r="N211">
        <v>11</v>
      </c>
      <c r="O211">
        <v>7</v>
      </c>
      <c r="P211" t="b">
        <v>0</v>
      </c>
      <c r="Q211">
        <v>14</v>
      </c>
      <c r="R211">
        <v>1</v>
      </c>
    </row>
    <row r="212" spans="1:18">
      <c r="A212" t="s">
        <v>464</v>
      </c>
      <c r="B212" t="s">
        <v>465</v>
      </c>
      <c r="C212" s="1">
        <v>45292</v>
      </c>
      <c r="D212">
        <v>31</v>
      </c>
      <c r="E212" t="s">
        <v>36</v>
      </c>
      <c r="F212" t="s">
        <v>52</v>
      </c>
      <c r="G212" t="s">
        <v>56</v>
      </c>
      <c r="H212">
        <v>1069.82</v>
      </c>
      <c r="I212">
        <v>1</v>
      </c>
      <c r="J212">
        <v>0</v>
      </c>
      <c r="K212">
        <v>1069.82</v>
      </c>
      <c r="L212" t="s">
        <v>327</v>
      </c>
      <c r="M212" t="s">
        <v>33</v>
      </c>
      <c r="N212">
        <v>13</v>
      </c>
      <c r="O212">
        <v>11</v>
      </c>
      <c r="P212" t="b">
        <v>0</v>
      </c>
      <c r="Q212">
        <v>15</v>
      </c>
      <c r="R212">
        <v>2</v>
      </c>
    </row>
    <row r="213" spans="1:18">
      <c r="A213" t="s">
        <v>466</v>
      </c>
      <c r="B213" t="s">
        <v>467</v>
      </c>
      <c r="C213" s="1">
        <v>45086</v>
      </c>
      <c r="D213">
        <v>20</v>
      </c>
      <c r="E213" t="s">
        <v>36</v>
      </c>
      <c r="F213" t="s">
        <v>59</v>
      </c>
      <c r="G213" t="s">
        <v>115</v>
      </c>
      <c r="H213">
        <v>44.35</v>
      </c>
      <c r="I213">
        <v>3</v>
      </c>
      <c r="J213">
        <v>0</v>
      </c>
      <c r="K213">
        <v>133.05000000000001</v>
      </c>
      <c r="L213" t="s">
        <v>327</v>
      </c>
      <c r="M213" t="s">
        <v>24</v>
      </c>
      <c r="N213">
        <v>8</v>
      </c>
      <c r="O213">
        <v>10</v>
      </c>
      <c r="P213" t="b">
        <v>1</v>
      </c>
      <c r="Q213">
        <v>7</v>
      </c>
      <c r="R213">
        <v>4</v>
      </c>
    </row>
    <row r="214" spans="1:18">
      <c r="A214" t="s">
        <v>468</v>
      </c>
      <c r="B214" t="s">
        <v>469</v>
      </c>
      <c r="C214" s="1">
        <v>45151</v>
      </c>
      <c r="D214">
        <v>52</v>
      </c>
      <c r="E214" t="s">
        <v>20</v>
      </c>
      <c r="F214" t="s">
        <v>52</v>
      </c>
      <c r="G214" t="s">
        <v>115</v>
      </c>
      <c r="H214">
        <v>28.67</v>
      </c>
      <c r="I214">
        <v>5</v>
      </c>
      <c r="J214">
        <v>8.34</v>
      </c>
      <c r="K214">
        <v>135.01</v>
      </c>
      <c r="L214" t="s">
        <v>327</v>
      </c>
      <c r="M214" t="s">
        <v>24</v>
      </c>
      <c r="N214">
        <v>8</v>
      </c>
      <c r="O214">
        <v>11</v>
      </c>
      <c r="P214" t="b">
        <v>1</v>
      </c>
      <c r="Q214">
        <v>6</v>
      </c>
      <c r="R214">
        <v>4</v>
      </c>
    </row>
    <row r="215" spans="1:18">
      <c r="A215" t="s">
        <v>470</v>
      </c>
      <c r="B215" t="s">
        <v>471</v>
      </c>
      <c r="C215" s="1">
        <v>45191</v>
      </c>
      <c r="D215">
        <v>18</v>
      </c>
      <c r="E215" t="s">
        <v>36</v>
      </c>
      <c r="F215" t="s">
        <v>32</v>
      </c>
      <c r="G215" t="s">
        <v>28</v>
      </c>
      <c r="H215">
        <v>37.04</v>
      </c>
      <c r="I215">
        <v>2</v>
      </c>
      <c r="J215">
        <v>10.46</v>
      </c>
      <c r="K215">
        <v>63.62</v>
      </c>
      <c r="L215" t="s">
        <v>327</v>
      </c>
      <c r="M215" t="s">
        <v>33</v>
      </c>
      <c r="N215">
        <v>5</v>
      </c>
      <c r="O215">
        <v>4</v>
      </c>
      <c r="P215" t="b">
        <v>0</v>
      </c>
      <c r="Q215">
        <v>13</v>
      </c>
      <c r="R215">
        <v>5</v>
      </c>
    </row>
    <row r="216" spans="1:18">
      <c r="A216" t="s">
        <v>472</v>
      </c>
      <c r="B216" t="s">
        <v>473</v>
      </c>
      <c r="C216" s="1">
        <v>45042</v>
      </c>
      <c r="D216">
        <v>40</v>
      </c>
      <c r="E216" t="s">
        <v>36</v>
      </c>
      <c r="F216" t="s">
        <v>32</v>
      </c>
      <c r="G216" t="s">
        <v>37</v>
      </c>
      <c r="H216">
        <v>265.5</v>
      </c>
      <c r="I216">
        <v>4</v>
      </c>
      <c r="J216">
        <v>36.65</v>
      </c>
      <c r="K216">
        <v>1025.3499999999999</v>
      </c>
      <c r="L216" t="s">
        <v>327</v>
      </c>
      <c r="M216" t="s">
        <v>24</v>
      </c>
      <c r="N216">
        <v>16</v>
      </c>
      <c r="O216">
        <v>5</v>
      </c>
      <c r="P216" t="b">
        <v>0</v>
      </c>
      <c r="Q216">
        <v>4</v>
      </c>
      <c r="R216">
        <v>5</v>
      </c>
    </row>
    <row r="217" spans="1:18">
      <c r="A217" t="s">
        <v>474</v>
      </c>
      <c r="B217" t="s">
        <v>475</v>
      </c>
      <c r="C217" s="1">
        <v>45048</v>
      </c>
      <c r="D217">
        <v>45</v>
      </c>
      <c r="E217" t="s">
        <v>36</v>
      </c>
      <c r="F217" t="s">
        <v>27</v>
      </c>
      <c r="G217" t="s">
        <v>22</v>
      </c>
      <c r="H217">
        <v>80.91</v>
      </c>
      <c r="I217">
        <v>3</v>
      </c>
      <c r="J217">
        <v>0</v>
      </c>
      <c r="K217">
        <v>242.73</v>
      </c>
      <c r="L217" t="s">
        <v>327</v>
      </c>
      <c r="M217" t="s">
        <v>24</v>
      </c>
      <c r="N217">
        <v>33</v>
      </c>
      <c r="O217">
        <v>7</v>
      </c>
      <c r="P217" t="b">
        <v>1</v>
      </c>
      <c r="Q217">
        <v>4</v>
      </c>
      <c r="R217">
        <v>5</v>
      </c>
    </row>
    <row r="218" spans="1:18">
      <c r="A218" t="s">
        <v>476</v>
      </c>
      <c r="B218" t="s">
        <v>477</v>
      </c>
      <c r="C218" s="1">
        <v>45036</v>
      </c>
      <c r="D218">
        <v>25</v>
      </c>
      <c r="E218" t="s">
        <v>36</v>
      </c>
      <c r="F218" t="s">
        <v>73</v>
      </c>
      <c r="G218" t="s">
        <v>22</v>
      </c>
      <c r="H218">
        <v>235.34</v>
      </c>
      <c r="I218">
        <v>5</v>
      </c>
      <c r="J218">
        <v>0</v>
      </c>
      <c r="K218">
        <v>1176.7</v>
      </c>
      <c r="L218" t="s">
        <v>327</v>
      </c>
      <c r="M218" t="s">
        <v>33</v>
      </c>
      <c r="N218">
        <v>8</v>
      </c>
      <c r="O218">
        <v>10</v>
      </c>
      <c r="P218" t="b">
        <v>0</v>
      </c>
      <c r="Q218">
        <v>5</v>
      </c>
      <c r="R218">
        <v>4</v>
      </c>
    </row>
    <row r="219" spans="1:18">
      <c r="A219" t="s">
        <v>478</v>
      </c>
      <c r="B219" t="s">
        <v>479</v>
      </c>
      <c r="C219" s="1">
        <v>45203</v>
      </c>
      <c r="D219">
        <v>28</v>
      </c>
      <c r="E219" t="s">
        <v>36</v>
      </c>
      <c r="F219" t="s">
        <v>49</v>
      </c>
      <c r="G219" t="s">
        <v>37</v>
      </c>
      <c r="H219">
        <v>151.13</v>
      </c>
      <c r="I219">
        <v>1</v>
      </c>
      <c r="J219">
        <v>0</v>
      </c>
      <c r="K219">
        <v>151.13</v>
      </c>
      <c r="L219" t="s">
        <v>327</v>
      </c>
      <c r="M219" t="s">
        <v>29</v>
      </c>
      <c r="N219">
        <v>4</v>
      </c>
      <c r="O219">
        <v>7</v>
      </c>
      <c r="P219" t="b">
        <v>1</v>
      </c>
      <c r="Q219">
        <v>3</v>
      </c>
      <c r="R219">
        <v>4</v>
      </c>
    </row>
    <row r="220" spans="1:18">
      <c r="A220" t="s">
        <v>480</v>
      </c>
      <c r="B220" t="s">
        <v>481</v>
      </c>
      <c r="C220" s="1">
        <v>44994</v>
      </c>
      <c r="D220">
        <v>43</v>
      </c>
      <c r="E220" t="s">
        <v>20</v>
      </c>
      <c r="F220" t="s">
        <v>21</v>
      </c>
      <c r="G220" t="s">
        <v>46</v>
      </c>
      <c r="H220">
        <v>228.88</v>
      </c>
      <c r="I220">
        <v>1</v>
      </c>
      <c r="J220">
        <v>0</v>
      </c>
      <c r="K220">
        <v>228.88</v>
      </c>
      <c r="L220" t="s">
        <v>327</v>
      </c>
      <c r="M220" t="s">
        <v>24</v>
      </c>
      <c r="N220">
        <v>5</v>
      </c>
      <c r="O220">
        <v>6</v>
      </c>
      <c r="P220" t="b">
        <v>1</v>
      </c>
      <c r="Q220">
        <v>6</v>
      </c>
      <c r="R220">
        <v>4</v>
      </c>
    </row>
    <row r="221" spans="1:18">
      <c r="A221" t="s">
        <v>482</v>
      </c>
      <c r="B221" t="s">
        <v>483</v>
      </c>
      <c r="C221" s="1">
        <v>45169</v>
      </c>
      <c r="D221">
        <v>50</v>
      </c>
      <c r="E221" t="s">
        <v>36</v>
      </c>
      <c r="F221" t="s">
        <v>21</v>
      </c>
      <c r="G221" t="s">
        <v>56</v>
      </c>
      <c r="H221">
        <v>1406.24</v>
      </c>
      <c r="I221">
        <v>1</v>
      </c>
      <c r="J221">
        <v>0</v>
      </c>
      <c r="K221">
        <v>1406.24</v>
      </c>
      <c r="L221" t="s">
        <v>327</v>
      </c>
      <c r="M221" t="s">
        <v>24</v>
      </c>
      <c r="N221">
        <v>15</v>
      </c>
      <c r="O221">
        <v>8</v>
      </c>
      <c r="P221" t="b">
        <v>1</v>
      </c>
      <c r="Q221">
        <v>4</v>
      </c>
      <c r="R221">
        <v>3</v>
      </c>
    </row>
    <row r="222" spans="1:18">
      <c r="A222" t="s">
        <v>484</v>
      </c>
      <c r="B222" t="s">
        <v>485</v>
      </c>
      <c r="C222" s="1">
        <v>45051</v>
      </c>
      <c r="D222">
        <v>27</v>
      </c>
      <c r="E222" t="s">
        <v>36</v>
      </c>
      <c r="F222" t="s">
        <v>27</v>
      </c>
      <c r="G222" t="s">
        <v>28</v>
      </c>
      <c r="H222">
        <v>76.77</v>
      </c>
      <c r="I222">
        <v>1</v>
      </c>
      <c r="J222">
        <v>0</v>
      </c>
      <c r="K222">
        <v>76.77</v>
      </c>
      <c r="L222" t="s">
        <v>327</v>
      </c>
      <c r="M222" t="s">
        <v>24</v>
      </c>
      <c r="N222">
        <v>7</v>
      </c>
      <c r="O222">
        <v>7</v>
      </c>
      <c r="P222" t="b">
        <v>1</v>
      </c>
      <c r="Q222">
        <v>2</v>
      </c>
      <c r="R222">
        <v>5</v>
      </c>
    </row>
    <row r="223" spans="1:18">
      <c r="A223" t="s">
        <v>486</v>
      </c>
      <c r="B223" t="s">
        <v>487</v>
      </c>
      <c r="C223" s="1">
        <v>45340</v>
      </c>
      <c r="D223">
        <v>32</v>
      </c>
      <c r="E223" t="s">
        <v>36</v>
      </c>
      <c r="F223" t="s">
        <v>52</v>
      </c>
      <c r="G223" t="s">
        <v>28</v>
      </c>
      <c r="H223">
        <v>88.12</v>
      </c>
      <c r="I223">
        <v>4</v>
      </c>
      <c r="J223">
        <v>0</v>
      </c>
      <c r="K223">
        <v>352.48</v>
      </c>
      <c r="L223" t="s">
        <v>327</v>
      </c>
      <c r="M223" t="s">
        <v>33</v>
      </c>
      <c r="N223">
        <v>8</v>
      </c>
      <c r="O223">
        <v>5</v>
      </c>
      <c r="P223" t="b">
        <v>0</v>
      </c>
      <c r="Q223">
        <v>6</v>
      </c>
      <c r="R223">
        <v>3</v>
      </c>
    </row>
    <row r="224" spans="1:18">
      <c r="A224" t="s">
        <v>488</v>
      </c>
      <c r="B224" t="s">
        <v>489</v>
      </c>
      <c r="C224" s="1">
        <v>45135</v>
      </c>
      <c r="D224">
        <v>48</v>
      </c>
      <c r="E224" t="s">
        <v>36</v>
      </c>
      <c r="F224" t="s">
        <v>21</v>
      </c>
      <c r="G224" t="s">
        <v>22</v>
      </c>
      <c r="H224">
        <v>350.76</v>
      </c>
      <c r="I224">
        <v>4</v>
      </c>
      <c r="J224">
        <v>51.81</v>
      </c>
      <c r="K224">
        <v>1351.23</v>
      </c>
      <c r="L224" t="s">
        <v>327</v>
      </c>
      <c r="M224" t="s">
        <v>33</v>
      </c>
      <c r="N224">
        <v>22</v>
      </c>
      <c r="O224">
        <v>10</v>
      </c>
      <c r="P224" t="b">
        <v>0</v>
      </c>
      <c r="Q224">
        <v>7</v>
      </c>
      <c r="R224">
        <v>3</v>
      </c>
    </row>
    <row r="225" spans="1:18">
      <c r="A225" t="s">
        <v>490</v>
      </c>
      <c r="B225" t="s">
        <v>491</v>
      </c>
      <c r="C225" s="1">
        <v>45143</v>
      </c>
      <c r="D225">
        <v>38</v>
      </c>
      <c r="E225" t="s">
        <v>20</v>
      </c>
      <c r="F225" t="s">
        <v>88</v>
      </c>
      <c r="G225" t="s">
        <v>53</v>
      </c>
      <c r="H225">
        <v>40.72</v>
      </c>
      <c r="I225">
        <v>2</v>
      </c>
      <c r="J225">
        <v>0</v>
      </c>
      <c r="K225">
        <v>81.44</v>
      </c>
      <c r="L225" t="s">
        <v>327</v>
      </c>
      <c r="M225" t="s">
        <v>33</v>
      </c>
      <c r="N225">
        <v>12</v>
      </c>
      <c r="O225">
        <v>7</v>
      </c>
      <c r="P225" t="b">
        <v>1</v>
      </c>
      <c r="Q225">
        <v>7</v>
      </c>
      <c r="R225">
        <v>5</v>
      </c>
    </row>
    <row r="226" spans="1:18">
      <c r="A226" t="s">
        <v>492</v>
      </c>
      <c r="B226" t="s">
        <v>493</v>
      </c>
      <c r="C226" s="1">
        <v>45166</v>
      </c>
      <c r="D226">
        <v>36</v>
      </c>
      <c r="E226" t="s">
        <v>20</v>
      </c>
      <c r="F226" t="s">
        <v>76</v>
      </c>
      <c r="G226" t="s">
        <v>56</v>
      </c>
      <c r="H226">
        <v>1077.56</v>
      </c>
      <c r="I226">
        <v>1</v>
      </c>
      <c r="J226">
        <v>0</v>
      </c>
      <c r="K226">
        <v>1077.56</v>
      </c>
      <c r="L226" t="s">
        <v>327</v>
      </c>
      <c r="M226" t="s">
        <v>24</v>
      </c>
      <c r="N226">
        <v>12</v>
      </c>
      <c r="O226">
        <v>16</v>
      </c>
      <c r="P226" t="b">
        <v>0</v>
      </c>
      <c r="Q226">
        <v>6</v>
      </c>
      <c r="R226">
        <v>4</v>
      </c>
    </row>
    <row r="227" spans="1:18">
      <c r="A227" t="s">
        <v>494</v>
      </c>
      <c r="B227" t="s">
        <v>495</v>
      </c>
      <c r="C227" s="1">
        <v>44954</v>
      </c>
      <c r="D227">
        <v>60</v>
      </c>
      <c r="E227" t="s">
        <v>20</v>
      </c>
      <c r="F227" t="s">
        <v>52</v>
      </c>
      <c r="G227" t="s">
        <v>115</v>
      </c>
      <c r="H227">
        <v>49.39</v>
      </c>
      <c r="I227">
        <v>1</v>
      </c>
      <c r="J227">
        <v>0</v>
      </c>
      <c r="K227">
        <v>49.39</v>
      </c>
      <c r="L227" t="s">
        <v>327</v>
      </c>
      <c r="M227" t="s">
        <v>29</v>
      </c>
      <c r="N227">
        <v>14</v>
      </c>
      <c r="O227">
        <v>12</v>
      </c>
      <c r="P227" t="b">
        <v>1</v>
      </c>
      <c r="Q227">
        <v>6</v>
      </c>
      <c r="R227">
        <v>4</v>
      </c>
    </row>
    <row r="228" spans="1:18">
      <c r="A228" t="s">
        <v>496</v>
      </c>
      <c r="B228" t="s">
        <v>497</v>
      </c>
      <c r="C228" s="1">
        <v>44958</v>
      </c>
      <c r="D228">
        <v>42</v>
      </c>
      <c r="E228" t="s">
        <v>36</v>
      </c>
      <c r="F228" t="s">
        <v>59</v>
      </c>
      <c r="G228" t="s">
        <v>22</v>
      </c>
      <c r="H228">
        <v>394.76</v>
      </c>
      <c r="I228">
        <v>1</v>
      </c>
      <c r="J228">
        <v>0</v>
      </c>
      <c r="K228">
        <v>394.76</v>
      </c>
      <c r="L228" t="s">
        <v>327</v>
      </c>
      <c r="M228" t="s">
        <v>33</v>
      </c>
      <c r="N228">
        <v>21</v>
      </c>
      <c r="O228">
        <v>13</v>
      </c>
      <c r="P228" t="b">
        <v>1</v>
      </c>
      <c r="Q228">
        <v>3</v>
      </c>
      <c r="R228">
        <v>5</v>
      </c>
    </row>
    <row r="229" spans="1:18">
      <c r="A229" t="s">
        <v>498</v>
      </c>
      <c r="B229" t="s">
        <v>499</v>
      </c>
      <c r="C229" s="1">
        <v>45368</v>
      </c>
      <c r="D229">
        <v>26</v>
      </c>
      <c r="E229" t="s">
        <v>20</v>
      </c>
      <c r="F229" t="s">
        <v>32</v>
      </c>
      <c r="G229" t="s">
        <v>53</v>
      </c>
      <c r="H229">
        <v>91.5</v>
      </c>
      <c r="I229">
        <v>5</v>
      </c>
      <c r="J229">
        <v>0</v>
      </c>
      <c r="K229">
        <v>457.5</v>
      </c>
      <c r="L229" t="s">
        <v>327</v>
      </c>
      <c r="M229" t="s">
        <v>33</v>
      </c>
      <c r="N229">
        <v>9</v>
      </c>
      <c r="O229">
        <v>9</v>
      </c>
      <c r="P229" t="b">
        <v>1</v>
      </c>
      <c r="Q229">
        <v>6</v>
      </c>
      <c r="R229">
        <v>4</v>
      </c>
    </row>
    <row r="230" spans="1:18">
      <c r="A230" t="s">
        <v>500</v>
      </c>
      <c r="B230" t="s">
        <v>501</v>
      </c>
      <c r="C230" s="1">
        <v>45156</v>
      </c>
      <c r="D230">
        <v>28</v>
      </c>
      <c r="E230" t="s">
        <v>36</v>
      </c>
      <c r="F230" t="s">
        <v>32</v>
      </c>
      <c r="G230" t="s">
        <v>28</v>
      </c>
      <c r="H230">
        <v>196.38</v>
      </c>
      <c r="I230">
        <v>2</v>
      </c>
      <c r="J230">
        <v>0</v>
      </c>
      <c r="K230">
        <v>392.76</v>
      </c>
      <c r="L230" t="s">
        <v>327</v>
      </c>
      <c r="M230" t="s">
        <v>33</v>
      </c>
      <c r="N230">
        <v>9</v>
      </c>
      <c r="O230">
        <v>10</v>
      </c>
      <c r="P230" t="b">
        <v>0</v>
      </c>
      <c r="Q230">
        <v>6</v>
      </c>
      <c r="R230">
        <v>3</v>
      </c>
    </row>
    <row r="231" spans="1:18">
      <c r="A231" t="s">
        <v>502</v>
      </c>
      <c r="B231" t="s">
        <v>503</v>
      </c>
      <c r="C231" s="1">
        <v>44998</v>
      </c>
      <c r="D231">
        <v>25</v>
      </c>
      <c r="E231" t="s">
        <v>36</v>
      </c>
      <c r="F231" t="s">
        <v>52</v>
      </c>
      <c r="G231" t="s">
        <v>46</v>
      </c>
      <c r="H231">
        <v>352.49</v>
      </c>
      <c r="I231">
        <v>1</v>
      </c>
      <c r="J231">
        <v>0</v>
      </c>
      <c r="K231">
        <v>352.49</v>
      </c>
      <c r="L231" t="s">
        <v>327</v>
      </c>
      <c r="M231" t="s">
        <v>33</v>
      </c>
      <c r="N231">
        <v>11</v>
      </c>
      <c r="O231">
        <v>7</v>
      </c>
      <c r="P231" t="b">
        <v>0</v>
      </c>
      <c r="Q231">
        <v>3</v>
      </c>
      <c r="R231">
        <v>4</v>
      </c>
    </row>
    <row r="232" spans="1:18">
      <c r="A232" t="s">
        <v>504</v>
      </c>
      <c r="B232" t="s">
        <v>505</v>
      </c>
      <c r="C232" s="1">
        <v>45143</v>
      </c>
      <c r="D232">
        <v>37</v>
      </c>
      <c r="E232" t="s">
        <v>20</v>
      </c>
      <c r="F232" t="s">
        <v>73</v>
      </c>
      <c r="G232" t="s">
        <v>56</v>
      </c>
      <c r="H232">
        <v>697.98</v>
      </c>
      <c r="I232">
        <v>3</v>
      </c>
      <c r="J232">
        <v>167.79</v>
      </c>
      <c r="K232">
        <v>1926.15</v>
      </c>
      <c r="L232" t="s">
        <v>327</v>
      </c>
      <c r="M232" t="s">
        <v>29</v>
      </c>
      <c r="N232">
        <v>17</v>
      </c>
      <c r="O232">
        <v>14</v>
      </c>
      <c r="P232" t="b">
        <v>1</v>
      </c>
      <c r="Q232">
        <v>12</v>
      </c>
      <c r="R232">
        <v>4</v>
      </c>
    </row>
    <row r="233" spans="1:18">
      <c r="A233" t="s">
        <v>506</v>
      </c>
      <c r="B233" t="s">
        <v>507</v>
      </c>
      <c r="C233" s="1">
        <v>45020</v>
      </c>
      <c r="D233">
        <v>37</v>
      </c>
      <c r="E233" t="s">
        <v>36</v>
      </c>
      <c r="F233" t="s">
        <v>73</v>
      </c>
      <c r="G233" t="s">
        <v>22</v>
      </c>
      <c r="H233">
        <v>255.96</v>
      </c>
      <c r="I233">
        <v>1</v>
      </c>
      <c r="J233">
        <v>0</v>
      </c>
      <c r="K233">
        <v>255.96</v>
      </c>
      <c r="L233" t="s">
        <v>327</v>
      </c>
      <c r="M233" t="s">
        <v>33</v>
      </c>
      <c r="N233">
        <v>21</v>
      </c>
      <c r="O233">
        <v>9</v>
      </c>
      <c r="P233" t="b">
        <v>1</v>
      </c>
      <c r="Q233">
        <v>5</v>
      </c>
      <c r="R233">
        <v>2</v>
      </c>
    </row>
    <row r="234" spans="1:18">
      <c r="A234" t="s">
        <v>508</v>
      </c>
      <c r="B234" t="s">
        <v>509</v>
      </c>
      <c r="C234" s="1">
        <v>45374</v>
      </c>
      <c r="D234">
        <v>18</v>
      </c>
      <c r="E234" t="s">
        <v>36</v>
      </c>
      <c r="F234" t="s">
        <v>21</v>
      </c>
      <c r="G234" t="s">
        <v>28</v>
      </c>
      <c r="H234">
        <v>248.3</v>
      </c>
      <c r="I234">
        <v>1</v>
      </c>
      <c r="J234">
        <v>0</v>
      </c>
      <c r="K234">
        <v>248.3</v>
      </c>
      <c r="L234" t="s">
        <v>327</v>
      </c>
      <c r="M234" t="s">
        <v>33</v>
      </c>
      <c r="N234">
        <v>1</v>
      </c>
      <c r="O234">
        <v>4</v>
      </c>
      <c r="P234" t="b">
        <v>0</v>
      </c>
      <c r="Q234">
        <v>10</v>
      </c>
      <c r="R234">
        <v>4</v>
      </c>
    </row>
    <row r="235" spans="1:18">
      <c r="A235" t="s">
        <v>510</v>
      </c>
      <c r="B235" t="s">
        <v>511</v>
      </c>
      <c r="C235" s="1">
        <v>45368</v>
      </c>
      <c r="D235">
        <v>38</v>
      </c>
      <c r="E235" t="s">
        <v>20</v>
      </c>
      <c r="F235" t="s">
        <v>32</v>
      </c>
      <c r="G235" t="s">
        <v>115</v>
      </c>
      <c r="H235">
        <v>134.15</v>
      </c>
      <c r="I235">
        <v>1</v>
      </c>
      <c r="J235">
        <v>0</v>
      </c>
      <c r="K235">
        <v>134.15</v>
      </c>
      <c r="L235" t="s">
        <v>327</v>
      </c>
      <c r="M235" t="s">
        <v>33</v>
      </c>
      <c r="N235">
        <v>14</v>
      </c>
      <c r="O235">
        <v>6</v>
      </c>
      <c r="P235" t="b">
        <v>1</v>
      </c>
      <c r="Q235">
        <v>3</v>
      </c>
      <c r="R235">
        <v>5</v>
      </c>
    </row>
    <row r="236" spans="1:18">
      <c r="A236" t="s">
        <v>512</v>
      </c>
      <c r="B236" t="s">
        <v>513</v>
      </c>
      <c r="C236" s="1">
        <v>45208</v>
      </c>
      <c r="D236">
        <v>45</v>
      </c>
      <c r="E236" t="s">
        <v>36</v>
      </c>
      <c r="F236" t="s">
        <v>52</v>
      </c>
      <c r="G236" t="s">
        <v>22</v>
      </c>
      <c r="H236">
        <v>195.94</v>
      </c>
      <c r="I236">
        <v>4</v>
      </c>
      <c r="J236">
        <v>14.08</v>
      </c>
      <c r="K236">
        <v>769.68</v>
      </c>
      <c r="L236" t="s">
        <v>327</v>
      </c>
      <c r="M236" t="s">
        <v>24</v>
      </c>
      <c r="N236">
        <v>21</v>
      </c>
      <c r="O236">
        <v>6</v>
      </c>
      <c r="P236" t="b">
        <v>0</v>
      </c>
      <c r="Q236">
        <v>15</v>
      </c>
      <c r="R236">
        <v>4</v>
      </c>
    </row>
    <row r="237" spans="1:18">
      <c r="A237" t="s">
        <v>514</v>
      </c>
      <c r="B237" t="s">
        <v>515</v>
      </c>
      <c r="C237" s="1">
        <v>44974</v>
      </c>
      <c r="D237">
        <v>25</v>
      </c>
      <c r="E237" t="s">
        <v>36</v>
      </c>
      <c r="F237" t="s">
        <v>52</v>
      </c>
      <c r="G237" t="s">
        <v>28</v>
      </c>
      <c r="H237">
        <v>70.12</v>
      </c>
      <c r="I237">
        <v>2</v>
      </c>
      <c r="J237">
        <v>0</v>
      </c>
      <c r="K237">
        <v>140.24</v>
      </c>
      <c r="L237" t="s">
        <v>327</v>
      </c>
      <c r="M237" t="s">
        <v>29</v>
      </c>
      <c r="N237">
        <v>13</v>
      </c>
      <c r="O237">
        <v>7</v>
      </c>
      <c r="P237" t="b">
        <v>1</v>
      </c>
      <c r="Q237">
        <v>8</v>
      </c>
      <c r="R237">
        <v>4</v>
      </c>
    </row>
    <row r="238" spans="1:18">
      <c r="A238" t="s">
        <v>516</v>
      </c>
      <c r="B238" t="s">
        <v>517</v>
      </c>
      <c r="C238" s="1">
        <v>45312</v>
      </c>
      <c r="D238">
        <v>41</v>
      </c>
      <c r="E238" t="s">
        <v>36</v>
      </c>
      <c r="F238" t="s">
        <v>21</v>
      </c>
      <c r="G238" t="s">
        <v>28</v>
      </c>
      <c r="H238">
        <v>108.97</v>
      </c>
      <c r="I238">
        <v>5</v>
      </c>
      <c r="J238">
        <v>5.92</v>
      </c>
      <c r="K238">
        <v>538.92999999999995</v>
      </c>
      <c r="L238" t="s">
        <v>327</v>
      </c>
      <c r="M238" t="s">
        <v>33</v>
      </c>
      <c r="N238">
        <v>22</v>
      </c>
      <c r="O238">
        <v>11</v>
      </c>
      <c r="P238" t="b">
        <v>1</v>
      </c>
      <c r="Q238">
        <v>7</v>
      </c>
      <c r="R238">
        <v>3</v>
      </c>
    </row>
    <row r="239" spans="1:18">
      <c r="A239" t="s">
        <v>518</v>
      </c>
      <c r="B239" t="s">
        <v>519</v>
      </c>
      <c r="C239" s="1">
        <v>45048</v>
      </c>
      <c r="D239">
        <v>33</v>
      </c>
      <c r="E239" t="s">
        <v>36</v>
      </c>
      <c r="F239" t="s">
        <v>88</v>
      </c>
      <c r="G239" t="s">
        <v>115</v>
      </c>
      <c r="H239">
        <v>54.95</v>
      </c>
      <c r="I239">
        <v>2</v>
      </c>
      <c r="J239">
        <v>0</v>
      </c>
      <c r="K239">
        <v>109.9</v>
      </c>
      <c r="L239" t="s">
        <v>327</v>
      </c>
      <c r="M239" t="s">
        <v>33</v>
      </c>
      <c r="N239">
        <v>12</v>
      </c>
      <c r="O239">
        <v>10</v>
      </c>
      <c r="P239" t="b">
        <v>1</v>
      </c>
      <c r="Q239">
        <v>12</v>
      </c>
      <c r="R239">
        <v>4</v>
      </c>
    </row>
    <row r="240" spans="1:18">
      <c r="A240" t="s">
        <v>520</v>
      </c>
      <c r="B240" t="s">
        <v>521</v>
      </c>
      <c r="C240" s="1">
        <v>45135</v>
      </c>
      <c r="D240">
        <v>43</v>
      </c>
      <c r="E240" t="s">
        <v>36</v>
      </c>
      <c r="F240" t="s">
        <v>32</v>
      </c>
      <c r="G240" t="s">
        <v>37</v>
      </c>
      <c r="H240">
        <v>210.09</v>
      </c>
      <c r="I240">
        <v>1</v>
      </c>
      <c r="J240">
        <v>41.67</v>
      </c>
      <c r="K240">
        <v>168.42</v>
      </c>
      <c r="L240" t="s">
        <v>327</v>
      </c>
      <c r="M240" t="s">
        <v>24</v>
      </c>
      <c r="N240">
        <v>25</v>
      </c>
      <c r="O240">
        <v>6</v>
      </c>
      <c r="P240" t="b">
        <v>1</v>
      </c>
      <c r="Q240">
        <v>5</v>
      </c>
      <c r="R240">
        <v>5</v>
      </c>
    </row>
    <row r="241" spans="1:18">
      <c r="A241" t="s">
        <v>522</v>
      </c>
      <c r="B241" t="s">
        <v>523</v>
      </c>
      <c r="C241" s="1">
        <v>45036</v>
      </c>
      <c r="D241">
        <v>35</v>
      </c>
      <c r="E241" t="s">
        <v>20</v>
      </c>
      <c r="F241" t="s">
        <v>52</v>
      </c>
      <c r="G241" t="s">
        <v>53</v>
      </c>
      <c r="H241">
        <v>141.97999999999999</v>
      </c>
      <c r="I241">
        <v>1</v>
      </c>
      <c r="J241">
        <v>19.47</v>
      </c>
      <c r="K241">
        <v>122.51</v>
      </c>
      <c r="L241" t="s">
        <v>327</v>
      </c>
      <c r="M241" t="s">
        <v>33</v>
      </c>
      <c r="N241">
        <v>20</v>
      </c>
      <c r="O241">
        <v>8</v>
      </c>
      <c r="P241" t="b">
        <v>0</v>
      </c>
      <c r="Q241">
        <v>4</v>
      </c>
      <c r="R241">
        <v>4</v>
      </c>
    </row>
    <row r="242" spans="1:18">
      <c r="A242" t="s">
        <v>524</v>
      </c>
      <c r="B242" t="s">
        <v>525</v>
      </c>
      <c r="C242" s="1">
        <v>45011</v>
      </c>
      <c r="D242">
        <v>40</v>
      </c>
      <c r="E242" t="s">
        <v>36</v>
      </c>
      <c r="F242" t="s">
        <v>83</v>
      </c>
      <c r="G242" t="s">
        <v>53</v>
      </c>
      <c r="H242">
        <v>29.66</v>
      </c>
      <c r="I242">
        <v>1</v>
      </c>
      <c r="J242">
        <v>0</v>
      </c>
      <c r="K242">
        <v>29.66</v>
      </c>
      <c r="L242" t="s">
        <v>327</v>
      </c>
      <c r="M242" t="s">
        <v>33</v>
      </c>
      <c r="N242">
        <v>20</v>
      </c>
      <c r="O242">
        <v>8</v>
      </c>
      <c r="P242" t="b">
        <v>0</v>
      </c>
      <c r="Q242">
        <v>3</v>
      </c>
      <c r="R242">
        <v>5</v>
      </c>
    </row>
    <row r="243" spans="1:18">
      <c r="A243" t="s">
        <v>526</v>
      </c>
      <c r="B243" t="s">
        <v>527</v>
      </c>
      <c r="C243" s="1">
        <v>44928</v>
      </c>
      <c r="D243">
        <v>46</v>
      </c>
      <c r="E243" t="s">
        <v>36</v>
      </c>
      <c r="F243" t="s">
        <v>73</v>
      </c>
      <c r="G243" t="s">
        <v>46</v>
      </c>
      <c r="H243">
        <v>431.85</v>
      </c>
      <c r="I243">
        <v>1</v>
      </c>
      <c r="J243">
        <v>0</v>
      </c>
      <c r="K243">
        <v>431.85</v>
      </c>
      <c r="L243" t="s">
        <v>327</v>
      </c>
      <c r="M243" t="s">
        <v>33</v>
      </c>
      <c r="N243">
        <v>27</v>
      </c>
      <c r="O243">
        <v>11</v>
      </c>
      <c r="P243" t="b">
        <v>1</v>
      </c>
      <c r="Q243">
        <v>6</v>
      </c>
      <c r="R243">
        <v>4</v>
      </c>
    </row>
    <row r="244" spans="1:18">
      <c r="A244" t="s">
        <v>528</v>
      </c>
      <c r="B244" t="s">
        <v>529</v>
      </c>
      <c r="C244" s="1">
        <v>45328</v>
      </c>
      <c r="D244">
        <v>45</v>
      </c>
      <c r="E244" t="s">
        <v>36</v>
      </c>
      <c r="F244" t="s">
        <v>49</v>
      </c>
      <c r="G244" t="s">
        <v>46</v>
      </c>
      <c r="H244">
        <v>801.16</v>
      </c>
      <c r="I244">
        <v>1</v>
      </c>
      <c r="J244">
        <v>0</v>
      </c>
      <c r="K244">
        <v>801.16</v>
      </c>
      <c r="L244" t="s">
        <v>327</v>
      </c>
      <c r="M244" t="s">
        <v>33</v>
      </c>
      <c r="N244">
        <v>10</v>
      </c>
      <c r="O244">
        <v>12</v>
      </c>
      <c r="P244" t="b">
        <v>1</v>
      </c>
      <c r="Q244">
        <v>5</v>
      </c>
      <c r="R244">
        <v>5</v>
      </c>
    </row>
    <row r="245" spans="1:18">
      <c r="A245" t="s">
        <v>530</v>
      </c>
      <c r="B245" t="s">
        <v>531</v>
      </c>
      <c r="C245" s="1">
        <v>45159</v>
      </c>
      <c r="D245">
        <v>61</v>
      </c>
      <c r="E245" t="s">
        <v>36</v>
      </c>
      <c r="F245" t="s">
        <v>32</v>
      </c>
      <c r="G245" t="s">
        <v>53</v>
      </c>
      <c r="H245">
        <v>74.709999999999994</v>
      </c>
      <c r="I245">
        <v>1</v>
      </c>
      <c r="J245">
        <v>3.75</v>
      </c>
      <c r="K245">
        <v>70.959999999999994</v>
      </c>
      <c r="L245" t="s">
        <v>327</v>
      </c>
      <c r="M245" t="s">
        <v>33</v>
      </c>
      <c r="N245">
        <v>20</v>
      </c>
      <c r="O245">
        <v>7</v>
      </c>
      <c r="P245" t="b">
        <v>1</v>
      </c>
      <c r="Q245">
        <v>2</v>
      </c>
      <c r="R245">
        <v>4</v>
      </c>
    </row>
    <row r="246" spans="1:18">
      <c r="A246" t="s">
        <v>532</v>
      </c>
      <c r="B246" t="s">
        <v>533</v>
      </c>
      <c r="C246" s="1">
        <v>45328</v>
      </c>
      <c r="D246">
        <v>28</v>
      </c>
      <c r="E246" t="s">
        <v>20</v>
      </c>
      <c r="F246" t="s">
        <v>52</v>
      </c>
      <c r="G246" t="s">
        <v>37</v>
      </c>
      <c r="H246">
        <v>27.22</v>
      </c>
      <c r="I246">
        <v>4</v>
      </c>
      <c r="J246">
        <v>5.68</v>
      </c>
      <c r="K246">
        <v>103.2</v>
      </c>
      <c r="L246" t="s">
        <v>327</v>
      </c>
      <c r="M246" t="s">
        <v>33</v>
      </c>
      <c r="N246">
        <v>17</v>
      </c>
      <c r="O246">
        <v>10</v>
      </c>
      <c r="P246" t="b">
        <v>1</v>
      </c>
      <c r="Q246">
        <v>7</v>
      </c>
      <c r="R246">
        <v>4</v>
      </c>
    </row>
    <row r="247" spans="1:18">
      <c r="A247" t="s">
        <v>534</v>
      </c>
      <c r="B247" t="s">
        <v>535</v>
      </c>
      <c r="C247" s="1">
        <v>45038</v>
      </c>
      <c r="D247">
        <v>40</v>
      </c>
      <c r="E247" t="s">
        <v>20</v>
      </c>
      <c r="F247" t="s">
        <v>27</v>
      </c>
      <c r="G247" t="s">
        <v>64</v>
      </c>
      <c r="H247">
        <v>1546.14</v>
      </c>
      <c r="I247">
        <v>1</v>
      </c>
      <c r="J247">
        <v>171.78</v>
      </c>
      <c r="K247">
        <v>1374.36</v>
      </c>
      <c r="L247" t="s">
        <v>327</v>
      </c>
      <c r="M247" t="s">
        <v>33</v>
      </c>
      <c r="N247">
        <v>7</v>
      </c>
      <c r="O247">
        <v>7</v>
      </c>
      <c r="P247" t="b">
        <v>1</v>
      </c>
      <c r="Q247">
        <v>3</v>
      </c>
      <c r="R247">
        <v>5</v>
      </c>
    </row>
    <row r="248" spans="1:18">
      <c r="A248" t="s">
        <v>536</v>
      </c>
      <c r="B248" t="s">
        <v>537</v>
      </c>
      <c r="C248" s="1">
        <v>44956</v>
      </c>
      <c r="D248">
        <v>19</v>
      </c>
      <c r="E248" t="s">
        <v>36</v>
      </c>
      <c r="F248" t="s">
        <v>32</v>
      </c>
      <c r="G248" t="s">
        <v>115</v>
      </c>
      <c r="H248">
        <v>17.809999999999999</v>
      </c>
      <c r="I248">
        <v>1</v>
      </c>
      <c r="J248">
        <v>1.41</v>
      </c>
      <c r="K248">
        <v>16.399999999999999</v>
      </c>
      <c r="L248" t="s">
        <v>327</v>
      </c>
      <c r="M248" t="s">
        <v>33</v>
      </c>
      <c r="N248">
        <v>17</v>
      </c>
      <c r="O248">
        <v>11</v>
      </c>
      <c r="P248" t="b">
        <v>1</v>
      </c>
      <c r="Q248">
        <v>6</v>
      </c>
      <c r="R248">
        <v>5</v>
      </c>
    </row>
    <row r="249" spans="1:18">
      <c r="A249" t="s">
        <v>538</v>
      </c>
      <c r="B249" t="s">
        <v>539</v>
      </c>
      <c r="C249" s="1">
        <v>44956</v>
      </c>
      <c r="D249">
        <v>49</v>
      </c>
      <c r="E249" t="s">
        <v>36</v>
      </c>
      <c r="F249" t="s">
        <v>27</v>
      </c>
      <c r="G249" t="s">
        <v>37</v>
      </c>
      <c r="H249">
        <v>178.19</v>
      </c>
      <c r="I249">
        <v>2</v>
      </c>
      <c r="J249">
        <v>0</v>
      </c>
      <c r="K249">
        <v>356.38</v>
      </c>
      <c r="L249" t="s">
        <v>327</v>
      </c>
      <c r="M249" t="s">
        <v>33</v>
      </c>
      <c r="N249">
        <v>16</v>
      </c>
      <c r="O249">
        <v>9</v>
      </c>
      <c r="P249" t="b">
        <v>1</v>
      </c>
      <c r="Q249">
        <v>4</v>
      </c>
      <c r="R249">
        <v>3</v>
      </c>
    </row>
    <row r="250" spans="1:18">
      <c r="A250" t="s">
        <v>540</v>
      </c>
      <c r="B250" t="s">
        <v>541</v>
      </c>
      <c r="C250" s="1">
        <v>45198</v>
      </c>
      <c r="D250">
        <v>42</v>
      </c>
      <c r="E250" t="s">
        <v>20</v>
      </c>
      <c r="F250" t="s">
        <v>21</v>
      </c>
      <c r="G250" t="s">
        <v>28</v>
      </c>
      <c r="H250">
        <v>83.61</v>
      </c>
      <c r="I250">
        <v>2</v>
      </c>
      <c r="J250">
        <v>0</v>
      </c>
      <c r="K250">
        <v>167.22</v>
      </c>
      <c r="L250" t="s">
        <v>327</v>
      </c>
      <c r="M250" t="s">
        <v>29</v>
      </c>
      <c r="N250">
        <v>9</v>
      </c>
      <c r="O250">
        <v>6</v>
      </c>
      <c r="P250" t="b">
        <v>0</v>
      </c>
      <c r="Q250">
        <v>8</v>
      </c>
      <c r="R250">
        <v>5</v>
      </c>
    </row>
    <row r="251" spans="1:18">
      <c r="A251" t="s">
        <v>542</v>
      </c>
      <c r="B251" t="s">
        <v>543</v>
      </c>
      <c r="C251" s="1">
        <v>44956</v>
      </c>
      <c r="D251">
        <v>33</v>
      </c>
      <c r="E251" t="s">
        <v>36</v>
      </c>
      <c r="F251" t="s">
        <v>83</v>
      </c>
      <c r="G251" t="s">
        <v>46</v>
      </c>
      <c r="H251">
        <v>235.02</v>
      </c>
      <c r="I251">
        <v>2</v>
      </c>
      <c r="J251">
        <v>0</v>
      </c>
      <c r="K251">
        <v>470.04</v>
      </c>
      <c r="L251" t="s">
        <v>327</v>
      </c>
      <c r="M251" t="s">
        <v>29</v>
      </c>
      <c r="N251">
        <v>11</v>
      </c>
      <c r="O251">
        <v>13</v>
      </c>
      <c r="P251" t="b">
        <v>1</v>
      </c>
      <c r="Q251">
        <v>12</v>
      </c>
      <c r="R251">
        <v>4</v>
      </c>
    </row>
    <row r="252" spans="1:18">
      <c r="A252" t="s">
        <v>544</v>
      </c>
      <c r="B252" t="s">
        <v>545</v>
      </c>
      <c r="C252" s="1">
        <v>45022</v>
      </c>
      <c r="D252">
        <v>21</v>
      </c>
      <c r="E252" t="s">
        <v>20</v>
      </c>
      <c r="F252" t="s">
        <v>32</v>
      </c>
      <c r="G252" t="s">
        <v>22</v>
      </c>
      <c r="H252">
        <v>218.37</v>
      </c>
      <c r="I252">
        <v>1</v>
      </c>
      <c r="J252">
        <v>25.68</v>
      </c>
      <c r="K252">
        <v>192.69</v>
      </c>
      <c r="L252" t="s">
        <v>327</v>
      </c>
      <c r="M252" t="s">
        <v>33</v>
      </c>
      <c r="N252">
        <v>13</v>
      </c>
      <c r="O252">
        <v>10</v>
      </c>
      <c r="P252" t="b">
        <v>0</v>
      </c>
      <c r="Q252">
        <v>6</v>
      </c>
      <c r="R252">
        <v>4</v>
      </c>
    </row>
    <row r="253" spans="1:18">
      <c r="A253" t="s">
        <v>546</v>
      </c>
      <c r="B253" t="s">
        <v>547</v>
      </c>
      <c r="C253" s="1">
        <v>44962</v>
      </c>
      <c r="D253">
        <v>18</v>
      </c>
      <c r="E253" t="s">
        <v>122</v>
      </c>
      <c r="F253" t="s">
        <v>32</v>
      </c>
      <c r="G253" t="s">
        <v>64</v>
      </c>
      <c r="H253">
        <v>1456.73</v>
      </c>
      <c r="I253">
        <v>1</v>
      </c>
      <c r="J253">
        <v>0</v>
      </c>
      <c r="K253">
        <v>1456.73</v>
      </c>
      <c r="L253" t="s">
        <v>327</v>
      </c>
      <c r="M253" t="s">
        <v>24</v>
      </c>
      <c r="N253">
        <v>13</v>
      </c>
      <c r="O253">
        <v>8</v>
      </c>
      <c r="P253" t="b">
        <v>1</v>
      </c>
      <c r="Q253">
        <v>3</v>
      </c>
      <c r="R253">
        <v>3</v>
      </c>
    </row>
    <row r="254" spans="1:18">
      <c r="A254" t="s">
        <v>548</v>
      </c>
      <c r="B254" t="s">
        <v>549</v>
      </c>
      <c r="C254" s="1">
        <v>45231</v>
      </c>
      <c r="D254">
        <v>50</v>
      </c>
      <c r="E254" t="s">
        <v>20</v>
      </c>
      <c r="F254" t="s">
        <v>32</v>
      </c>
      <c r="G254" t="s">
        <v>115</v>
      </c>
      <c r="H254">
        <v>47.29</v>
      </c>
      <c r="I254">
        <v>3</v>
      </c>
      <c r="J254">
        <v>10.89</v>
      </c>
      <c r="K254">
        <v>130.97999999999999</v>
      </c>
      <c r="L254" t="s">
        <v>327</v>
      </c>
      <c r="M254" t="s">
        <v>33</v>
      </c>
      <c r="N254">
        <v>21</v>
      </c>
      <c r="O254">
        <v>7</v>
      </c>
      <c r="P254" t="b">
        <v>0</v>
      </c>
      <c r="Q254">
        <v>3</v>
      </c>
      <c r="R254">
        <v>2</v>
      </c>
    </row>
    <row r="255" spans="1:18">
      <c r="A255" t="s">
        <v>550</v>
      </c>
      <c r="B255" t="s">
        <v>551</v>
      </c>
      <c r="C255" s="1">
        <v>45368</v>
      </c>
      <c r="D255">
        <v>53</v>
      </c>
      <c r="E255" t="s">
        <v>20</v>
      </c>
      <c r="F255" t="s">
        <v>27</v>
      </c>
      <c r="G255" t="s">
        <v>37</v>
      </c>
      <c r="H255">
        <v>66.02</v>
      </c>
      <c r="I255">
        <v>1</v>
      </c>
      <c r="J255">
        <v>0</v>
      </c>
      <c r="K255">
        <v>66.02</v>
      </c>
      <c r="L255" t="s">
        <v>327</v>
      </c>
      <c r="M255" t="s">
        <v>33</v>
      </c>
      <c r="N255">
        <v>23</v>
      </c>
      <c r="O255">
        <v>11</v>
      </c>
      <c r="P255" t="b">
        <v>1</v>
      </c>
      <c r="Q255">
        <v>7</v>
      </c>
      <c r="R255">
        <v>5</v>
      </c>
    </row>
    <row r="256" spans="1:18">
      <c r="A256" t="s">
        <v>552</v>
      </c>
      <c r="B256" t="s">
        <v>553</v>
      </c>
      <c r="C256" s="1">
        <v>44988</v>
      </c>
      <c r="D256">
        <v>35</v>
      </c>
      <c r="E256" t="s">
        <v>20</v>
      </c>
      <c r="F256" t="s">
        <v>21</v>
      </c>
      <c r="G256" t="s">
        <v>115</v>
      </c>
      <c r="H256">
        <v>30.6</v>
      </c>
      <c r="I256">
        <v>1</v>
      </c>
      <c r="J256">
        <v>2.2000000000000002</v>
      </c>
      <c r="K256">
        <v>28.4</v>
      </c>
      <c r="L256" t="s">
        <v>327</v>
      </c>
      <c r="M256" t="s">
        <v>33</v>
      </c>
      <c r="N256">
        <v>7</v>
      </c>
      <c r="O256">
        <v>6</v>
      </c>
      <c r="P256" t="b">
        <v>0</v>
      </c>
      <c r="Q256">
        <v>4</v>
      </c>
      <c r="R256">
        <v>5</v>
      </c>
    </row>
    <row r="257" spans="1:18">
      <c r="A257" t="s">
        <v>554</v>
      </c>
      <c r="B257" t="s">
        <v>555</v>
      </c>
      <c r="C257" s="1">
        <v>44947</v>
      </c>
      <c r="D257">
        <v>42</v>
      </c>
      <c r="E257" t="s">
        <v>20</v>
      </c>
      <c r="F257" t="s">
        <v>49</v>
      </c>
      <c r="G257" t="s">
        <v>53</v>
      </c>
      <c r="H257">
        <v>36.1</v>
      </c>
      <c r="I257">
        <v>3</v>
      </c>
      <c r="J257">
        <v>5.01</v>
      </c>
      <c r="K257">
        <v>103.29</v>
      </c>
      <c r="L257" t="s">
        <v>327</v>
      </c>
      <c r="M257" t="s">
        <v>29</v>
      </c>
      <c r="N257">
        <v>52</v>
      </c>
      <c r="O257">
        <v>7</v>
      </c>
      <c r="P257" t="b">
        <v>1</v>
      </c>
      <c r="Q257">
        <v>4</v>
      </c>
      <c r="R257">
        <v>4</v>
      </c>
    </row>
    <row r="258" spans="1:18">
      <c r="A258" t="s">
        <v>556</v>
      </c>
      <c r="B258" t="s">
        <v>557</v>
      </c>
      <c r="C258" s="1">
        <v>45088</v>
      </c>
      <c r="D258">
        <v>31</v>
      </c>
      <c r="E258" t="s">
        <v>36</v>
      </c>
      <c r="F258" t="s">
        <v>32</v>
      </c>
      <c r="G258" t="s">
        <v>64</v>
      </c>
      <c r="H258">
        <v>836.04</v>
      </c>
      <c r="I258">
        <v>5</v>
      </c>
      <c r="J258">
        <v>0</v>
      </c>
      <c r="K258">
        <v>4180.2</v>
      </c>
      <c r="L258" t="s">
        <v>327</v>
      </c>
      <c r="M258" t="s">
        <v>24</v>
      </c>
      <c r="N258">
        <v>8</v>
      </c>
      <c r="O258">
        <v>10</v>
      </c>
      <c r="P258" t="b">
        <v>0</v>
      </c>
      <c r="Q258">
        <v>8</v>
      </c>
      <c r="R258">
        <v>5</v>
      </c>
    </row>
    <row r="259" spans="1:18">
      <c r="A259" t="s">
        <v>558</v>
      </c>
      <c r="B259" t="s">
        <v>559</v>
      </c>
      <c r="C259" s="1">
        <v>45049</v>
      </c>
      <c r="D259">
        <v>18</v>
      </c>
      <c r="E259" t="s">
        <v>20</v>
      </c>
      <c r="F259" t="s">
        <v>83</v>
      </c>
      <c r="G259" t="s">
        <v>56</v>
      </c>
      <c r="H259">
        <v>1513.47</v>
      </c>
      <c r="I259">
        <v>1</v>
      </c>
      <c r="J259">
        <v>0</v>
      </c>
      <c r="K259">
        <v>1513.47</v>
      </c>
      <c r="L259" t="s">
        <v>327</v>
      </c>
      <c r="M259" t="s">
        <v>33</v>
      </c>
      <c r="N259">
        <v>8</v>
      </c>
      <c r="O259">
        <v>9</v>
      </c>
      <c r="P259" t="b">
        <v>1</v>
      </c>
      <c r="Q259">
        <v>6</v>
      </c>
      <c r="R259">
        <v>2</v>
      </c>
    </row>
    <row r="260" spans="1:18">
      <c r="A260" t="s">
        <v>560</v>
      </c>
      <c r="B260" t="s">
        <v>561</v>
      </c>
      <c r="C260" s="1">
        <v>45161</v>
      </c>
      <c r="D260">
        <v>43</v>
      </c>
      <c r="E260" t="s">
        <v>36</v>
      </c>
      <c r="F260" t="s">
        <v>73</v>
      </c>
      <c r="G260" t="s">
        <v>46</v>
      </c>
      <c r="H260">
        <v>905.87</v>
      </c>
      <c r="I260">
        <v>4</v>
      </c>
      <c r="J260">
        <v>0</v>
      </c>
      <c r="K260">
        <v>3623.48</v>
      </c>
      <c r="L260" t="s">
        <v>327</v>
      </c>
      <c r="M260" t="s">
        <v>24</v>
      </c>
      <c r="N260">
        <v>19</v>
      </c>
      <c r="O260">
        <v>10</v>
      </c>
      <c r="P260" t="b">
        <v>1</v>
      </c>
      <c r="Q260">
        <v>2</v>
      </c>
      <c r="R260">
        <v>4</v>
      </c>
    </row>
    <row r="261" spans="1:18">
      <c r="A261" t="s">
        <v>562</v>
      </c>
      <c r="B261" t="s">
        <v>563</v>
      </c>
      <c r="C261" s="1">
        <v>45215</v>
      </c>
      <c r="D261">
        <v>23</v>
      </c>
      <c r="E261" t="s">
        <v>36</v>
      </c>
      <c r="F261" t="s">
        <v>21</v>
      </c>
      <c r="G261" t="s">
        <v>115</v>
      </c>
      <c r="H261">
        <v>50.95</v>
      </c>
      <c r="I261">
        <v>1</v>
      </c>
      <c r="J261">
        <v>8.3800000000000008</v>
      </c>
      <c r="K261">
        <v>42.57</v>
      </c>
      <c r="L261" t="s">
        <v>327</v>
      </c>
      <c r="M261" t="s">
        <v>24</v>
      </c>
      <c r="N261">
        <v>23</v>
      </c>
      <c r="O261">
        <v>13</v>
      </c>
      <c r="P261" t="b">
        <v>0</v>
      </c>
      <c r="Q261">
        <v>13</v>
      </c>
      <c r="R261">
        <v>5</v>
      </c>
    </row>
    <row r="262" spans="1:18">
      <c r="A262" t="s">
        <v>564</v>
      </c>
      <c r="B262" t="s">
        <v>565</v>
      </c>
      <c r="C262" s="1">
        <v>45072</v>
      </c>
      <c r="D262">
        <v>32</v>
      </c>
      <c r="E262" t="s">
        <v>20</v>
      </c>
      <c r="F262" t="s">
        <v>52</v>
      </c>
      <c r="G262" t="s">
        <v>37</v>
      </c>
      <c r="H262">
        <v>163.89</v>
      </c>
      <c r="I262">
        <v>1</v>
      </c>
      <c r="J262">
        <v>0</v>
      </c>
      <c r="K262">
        <v>163.89</v>
      </c>
      <c r="L262" t="s">
        <v>327</v>
      </c>
      <c r="M262" t="s">
        <v>33</v>
      </c>
      <c r="N262">
        <v>7</v>
      </c>
      <c r="O262">
        <v>9</v>
      </c>
      <c r="P262" t="b">
        <v>0</v>
      </c>
      <c r="Q262">
        <v>4</v>
      </c>
      <c r="R262">
        <v>5</v>
      </c>
    </row>
    <row r="263" spans="1:18">
      <c r="A263" t="s">
        <v>566</v>
      </c>
      <c r="B263" t="s">
        <v>567</v>
      </c>
      <c r="C263" s="1">
        <v>45345</v>
      </c>
      <c r="D263">
        <v>71</v>
      </c>
      <c r="E263" t="s">
        <v>20</v>
      </c>
      <c r="F263" t="s">
        <v>32</v>
      </c>
      <c r="G263" t="s">
        <v>22</v>
      </c>
      <c r="H263">
        <v>254.01</v>
      </c>
      <c r="I263">
        <v>2</v>
      </c>
      <c r="J263">
        <v>0</v>
      </c>
      <c r="K263">
        <v>508.02</v>
      </c>
      <c r="L263" t="s">
        <v>327</v>
      </c>
      <c r="M263" t="s">
        <v>33</v>
      </c>
      <c r="N263">
        <v>11</v>
      </c>
      <c r="O263">
        <v>11</v>
      </c>
      <c r="P263" t="b">
        <v>0</v>
      </c>
      <c r="Q263">
        <v>13</v>
      </c>
      <c r="R263">
        <v>4</v>
      </c>
    </row>
    <row r="264" spans="1:18">
      <c r="A264" t="s">
        <v>568</v>
      </c>
      <c r="B264" t="s">
        <v>569</v>
      </c>
      <c r="C264" s="1">
        <v>45210</v>
      </c>
      <c r="D264">
        <v>48</v>
      </c>
      <c r="E264" t="s">
        <v>20</v>
      </c>
      <c r="F264" t="s">
        <v>21</v>
      </c>
      <c r="G264" t="s">
        <v>56</v>
      </c>
      <c r="H264">
        <v>279.39999999999998</v>
      </c>
      <c r="I264">
        <v>2</v>
      </c>
      <c r="J264">
        <v>0</v>
      </c>
      <c r="K264">
        <v>558.79999999999995</v>
      </c>
      <c r="L264" t="s">
        <v>327</v>
      </c>
      <c r="M264" t="s">
        <v>33</v>
      </c>
      <c r="N264">
        <v>34</v>
      </c>
      <c r="O264">
        <v>8</v>
      </c>
      <c r="P264" t="b">
        <v>0</v>
      </c>
      <c r="Q264">
        <v>4</v>
      </c>
      <c r="R264">
        <v>4</v>
      </c>
    </row>
    <row r="265" spans="1:18">
      <c r="A265" t="s">
        <v>570</v>
      </c>
      <c r="B265" t="s">
        <v>571</v>
      </c>
      <c r="C265" s="1">
        <v>45080</v>
      </c>
      <c r="D265">
        <v>33</v>
      </c>
      <c r="E265" t="s">
        <v>20</v>
      </c>
      <c r="F265" t="s">
        <v>73</v>
      </c>
      <c r="G265" t="s">
        <v>37</v>
      </c>
      <c r="H265">
        <v>166.69</v>
      </c>
      <c r="I265">
        <v>1</v>
      </c>
      <c r="J265">
        <v>0</v>
      </c>
      <c r="K265">
        <v>166.69</v>
      </c>
      <c r="L265" t="s">
        <v>327</v>
      </c>
      <c r="M265" t="s">
        <v>33</v>
      </c>
      <c r="N265">
        <v>4</v>
      </c>
      <c r="O265">
        <v>8</v>
      </c>
      <c r="P265" t="b">
        <v>0</v>
      </c>
      <c r="Q265">
        <v>7</v>
      </c>
      <c r="R265">
        <v>4</v>
      </c>
    </row>
    <row r="266" spans="1:18">
      <c r="A266" t="s">
        <v>572</v>
      </c>
      <c r="B266" t="s">
        <v>573</v>
      </c>
      <c r="C266" s="1">
        <v>44980</v>
      </c>
      <c r="D266">
        <v>18</v>
      </c>
      <c r="E266" t="s">
        <v>36</v>
      </c>
      <c r="F266" t="s">
        <v>27</v>
      </c>
      <c r="G266" t="s">
        <v>64</v>
      </c>
      <c r="H266">
        <v>911.25</v>
      </c>
      <c r="I266">
        <v>1</v>
      </c>
      <c r="J266">
        <v>0</v>
      </c>
      <c r="K266">
        <v>911.25</v>
      </c>
      <c r="L266" t="s">
        <v>327</v>
      </c>
      <c r="M266" t="s">
        <v>29</v>
      </c>
      <c r="N266">
        <v>7</v>
      </c>
      <c r="O266">
        <v>11</v>
      </c>
      <c r="P266" t="b">
        <v>0</v>
      </c>
      <c r="Q266">
        <v>10</v>
      </c>
      <c r="R266">
        <v>2</v>
      </c>
    </row>
    <row r="267" spans="1:18">
      <c r="A267" t="s">
        <v>574</v>
      </c>
      <c r="B267" t="s">
        <v>575</v>
      </c>
      <c r="C267" s="1">
        <v>45006</v>
      </c>
      <c r="D267">
        <v>34</v>
      </c>
      <c r="E267" t="s">
        <v>20</v>
      </c>
      <c r="F267" t="s">
        <v>52</v>
      </c>
      <c r="G267" t="s">
        <v>28</v>
      </c>
      <c r="H267">
        <v>111.96</v>
      </c>
      <c r="I267">
        <v>1</v>
      </c>
      <c r="J267">
        <v>8.74</v>
      </c>
      <c r="K267">
        <v>103.22</v>
      </c>
      <c r="L267" t="s">
        <v>327</v>
      </c>
      <c r="M267" t="s">
        <v>33</v>
      </c>
      <c r="N267">
        <v>9</v>
      </c>
      <c r="O267">
        <v>8</v>
      </c>
      <c r="P267" t="b">
        <v>0</v>
      </c>
      <c r="Q267">
        <v>4</v>
      </c>
      <c r="R267">
        <v>5</v>
      </c>
    </row>
    <row r="268" spans="1:18">
      <c r="A268" t="s">
        <v>576</v>
      </c>
      <c r="B268" t="s">
        <v>577</v>
      </c>
      <c r="C268" s="1">
        <v>45236</v>
      </c>
      <c r="D268">
        <v>24</v>
      </c>
      <c r="E268" t="s">
        <v>20</v>
      </c>
      <c r="F268" t="s">
        <v>32</v>
      </c>
      <c r="G268" t="s">
        <v>53</v>
      </c>
      <c r="H268">
        <v>46.29</v>
      </c>
      <c r="I268">
        <v>1</v>
      </c>
      <c r="J268">
        <v>0</v>
      </c>
      <c r="K268">
        <v>46.29</v>
      </c>
      <c r="L268" t="s">
        <v>327</v>
      </c>
      <c r="M268" t="s">
        <v>33</v>
      </c>
      <c r="N268">
        <v>5</v>
      </c>
      <c r="O268">
        <v>7</v>
      </c>
      <c r="P268" t="b">
        <v>0</v>
      </c>
      <c r="Q268">
        <v>4</v>
      </c>
      <c r="R268">
        <v>5</v>
      </c>
    </row>
    <row r="269" spans="1:18">
      <c r="A269" t="s">
        <v>578</v>
      </c>
      <c r="B269" t="s">
        <v>579</v>
      </c>
      <c r="C269" s="1">
        <v>45251</v>
      </c>
      <c r="D269">
        <v>18</v>
      </c>
      <c r="E269" t="s">
        <v>20</v>
      </c>
      <c r="F269" t="s">
        <v>32</v>
      </c>
      <c r="G269" t="s">
        <v>37</v>
      </c>
      <c r="H269">
        <v>48.17</v>
      </c>
      <c r="I269">
        <v>2</v>
      </c>
      <c r="J269">
        <v>0</v>
      </c>
      <c r="K269">
        <v>96.34</v>
      </c>
      <c r="L269" t="s">
        <v>327</v>
      </c>
      <c r="M269" t="s">
        <v>29</v>
      </c>
      <c r="N269">
        <v>9</v>
      </c>
      <c r="O269">
        <v>9</v>
      </c>
      <c r="P269" t="b">
        <v>0</v>
      </c>
      <c r="Q269">
        <v>7</v>
      </c>
      <c r="R269">
        <v>5</v>
      </c>
    </row>
    <row r="270" spans="1:18">
      <c r="A270" t="s">
        <v>580</v>
      </c>
      <c r="B270" t="s">
        <v>581</v>
      </c>
      <c r="C270" s="1">
        <v>45177</v>
      </c>
      <c r="D270">
        <v>41</v>
      </c>
      <c r="E270" t="s">
        <v>36</v>
      </c>
      <c r="F270" t="s">
        <v>32</v>
      </c>
      <c r="G270" t="s">
        <v>28</v>
      </c>
      <c r="H270">
        <v>43.88</v>
      </c>
      <c r="I270">
        <v>1</v>
      </c>
      <c r="J270">
        <v>0</v>
      </c>
      <c r="K270">
        <v>43.88</v>
      </c>
      <c r="L270" t="s">
        <v>327</v>
      </c>
      <c r="M270" t="s">
        <v>33</v>
      </c>
      <c r="N270">
        <v>18</v>
      </c>
      <c r="O270">
        <v>10</v>
      </c>
      <c r="P270" t="b">
        <v>1</v>
      </c>
      <c r="Q270">
        <v>3</v>
      </c>
      <c r="R270">
        <v>4</v>
      </c>
    </row>
    <row r="271" spans="1:18">
      <c r="A271" t="s">
        <v>582</v>
      </c>
      <c r="B271" t="s">
        <v>583</v>
      </c>
      <c r="C271" s="1">
        <v>45360</v>
      </c>
      <c r="D271">
        <v>29</v>
      </c>
      <c r="E271" t="s">
        <v>20</v>
      </c>
      <c r="F271" t="s">
        <v>73</v>
      </c>
      <c r="G271" t="s">
        <v>28</v>
      </c>
      <c r="H271">
        <v>314.54000000000002</v>
      </c>
      <c r="I271">
        <v>4</v>
      </c>
      <c r="J271">
        <v>0</v>
      </c>
      <c r="K271">
        <v>1258.1600000000001</v>
      </c>
      <c r="L271" t="s">
        <v>327</v>
      </c>
      <c r="M271" t="s">
        <v>24</v>
      </c>
      <c r="N271">
        <v>13</v>
      </c>
      <c r="O271">
        <v>8</v>
      </c>
      <c r="P271" t="b">
        <v>1</v>
      </c>
      <c r="Q271">
        <v>7</v>
      </c>
      <c r="R271">
        <v>4</v>
      </c>
    </row>
    <row r="272" spans="1:18">
      <c r="A272" t="s">
        <v>584</v>
      </c>
      <c r="B272" t="s">
        <v>585</v>
      </c>
      <c r="C272" s="1">
        <v>44974</v>
      </c>
      <c r="D272">
        <v>24</v>
      </c>
      <c r="E272" t="s">
        <v>20</v>
      </c>
      <c r="F272" t="s">
        <v>49</v>
      </c>
      <c r="G272" t="s">
        <v>53</v>
      </c>
      <c r="H272">
        <v>40.43</v>
      </c>
      <c r="I272">
        <v>1</v>
      </c>
      <c r="J272">
        <v>0</v>
      </c>
      <c r="K272">
        <v>40.43</v>
      </c>
      <c r="L272" t="s">
        <v>327</v>
      </c>
      <c r="M272" t="s">
        <v>33</v>
      </c>
      <c r="N272">
        <v>16</v>
      </c>
      <c r="O272">
        <v>7</v>
      </c>
      <c r="P272" t="b">
        <v>1</v>
      </c>
      <c r="Q272">
        <v>3</v>
      </c>
      <c r="R272">
        <v>5</v>
      </c>
    </row>
    <row r="273" spans="1:18">
      <c r="A273" t="s">
        <v>586</v>
      </c>
      <c r="B273" t="s">
        <v>587</v>
      </c>
      <c r="C273" s="1">
        <v>45321</v>
      </c>
      <c r="D273">
        <v>44</v>
      </c>
      <c r="E273" t="s">
        <v>36</v>
      </c>
      <c r="F273" t="s">
        <v>88</v>
      </c>
      <c r="G273" t="s">
        <v>46</v>
      </c>
      <c r="H273">
        <v>193.85</v>
      </c>
      <c r="I273">
        <v>4</v>
      </c>
      <c r="J273">
        <v>44.4</v>
      </c>
      <c r="K273">
        <v>731</v>
      </c>
      <c r="L273" t="s">
        <v>327</v>
      </c>
      <c r="M273" t="s">
        <v>24</v>
      </c>
      <c r="N273">
        <v>14</v>
      </c>
      <c r="O273">
        <v>11</v>
      </c>
      <c r="P273" t="b">
        <v>0</v>
      </c>
      <c r="Q273">
        <v>6</v>
      </c>
      <c r="R273">
        <v>3</v>
      </c>
    </row>
    <row r="274" spans="1:18">
      <c r="A274" t="s">
        <v>588</v>
      </c>
      <c r="B274" t="s">
        <v>589</v>
      </c>
      <c r="C274" s="1">
        <v>45009</v>
      </c>
      <c r="D274">
        <v>44</v>
      </c>
      <c r="E274" t="s">
        <v>20</v>
      </c>
      <c r="F274" t="s">
        <v>32</v>
      </c>
      <c r="G274" t="s">
        <v>115</v>
      </c>
      <c r="H274">
        <v>43.96</v>
      </c>
      <c r="I274">
        <v>1</v>
      </c>
      <c r="J274">
        <v>0</v>
      </c>
      <c r="K274">
        <v>43.96</v>
      </c>
      <c r="L274" t="s">
        <v>327</v>
      </c>
      <c r="M274" t="s">
        <v>33</v>
      </c>
      <c r="N274">
        <v>24</v>
      </c>
      <c r="O274">
        <v>5</v>
      </c>
      <c r="P274" t="b">
        <v>1</v>
      </c>
      <c r="Q274">
        <v>4</v>
      </c>
      <c r="R274">
        <v>3</v>
      </c>
    </row>
    <row r="275" spans="1:18">
      <c r="A275" t="s">
        <v>590</v>
      </c>
      <c r="B275" t="s">
        <v>591</v>
      </c>
      <c r="C275" s="1">
        <v>45306</v>
      </c>
      <c r="D275">
        <v>18</v>
      </c>
      <c r="E275" t="s">
        <v>36</v>
      </c>
      <c r="F275" t="s">
        <v>73</v>
      </c>
      <c r="G275" t="s">
        <v>56</v>
      </c>
      <c r="H275">
        <v>1900.45</v>
      </c>
      <c r="I275">
        <v>2</v>
      </c>
      <c r="J275">
        <v>0</v>
      </c>
      <c r="K275">
        <v>3800.9</v>
      </c>
      <c r="L275" t="s">
        <v>327</v>
      </c>
      <c r="M275" t="s">
        <v>33</v>
      </c>
      <c r="N275">
        <v>5</v>
      </c>
      <c r="O275">
        <v>9</v>
      </c>
      <c r="P275" t="b">
        <v>1</v>
      </c>
      <c r="Q275">
        <v>4</v>
      </c>
      <c r="R275">
        <v>5</v>
      </c>
    </row>
    <row r="276" spans="1:18">
      <c r="A276" t="s">
        <v>592</v>
      </c>
      <c r="B276" t="s">
        <v>593</v>
      </c>
      <c r="C276" s="1">
        <v>44965</v>
      </c>
      <c r="D276">
        <v>38</v>
      </c>
      <c r="E276" t="s">
        <v>36</v>
      </c>
      <c r="F276" t="s">
        <v>59</v>
      </c>
      <c r="G276" t="s">
        <v>28</v>
      </c>
      <c r="H276">
        <v>116.84</v>
      </c>
      <c r="I276">
        <v>1</v>
      </c>
      <c r="J276">
        <v>0</v>
      </c>
      <c r="K276">
        <v>116.84</v>
      </c>
      <c r="L276" t="s">
        <v>327</v>
      </c>
      <c r="M276" t="s">
        <v>29</v>
      </c>
      <c r="N276">
        <v>32</v>
      </c>
      <c r="O276">
        <v>6</v>
      </c>
      <c r="P276" t="b">
        <v>1</v>
      </c>
      <c r="Q276">
        <v>3</v>
      </c>
      <c r="R276">
        <v>5</v>
      </c>
    </row>
    <row r="277" spans="1:18">
      <c r="A277" t="s">
        <v>594</v>
      </c>
      <c r="B277" t="s">
        <v>595</v>
      </c>
      <c r="C277" s="1">
        <v>45003</v>
      </c>
      <c r="D277">
        <v>42</v>
      </c>
      <c r="E277" t="s">
        <v>20</v>
      </c>
      <c r="F277" t="s">
        <v>32</v>
      </c>
      <c r="G277" t="s">
        <v>28</v>
      </c>
      <c r="H277">
        <v>153.72</v>
      </c>
      <c r="I277">
        <v>1</v>
      </c>
      <c r="J277">
        <v>45.44</v>
      </c>
      <c r="K277">
        <v>108.28</v>
      </c>
      <c r="L277" t="s">
        <v>327</v>
      </c>
      <c r="M277" t="s">
        <v>33</v>
      </c>
      <c r="N277">
        <v>17</v>
      </c>
      <c r="O277">
        <v>8</v>
      </c>
      <c r="P277" t="b">
        <v>0</v>
      </c>
      <c r="Q277">
        <v>5</v>
      </c>
      <c r="R277">
        <v>3</v>
      </c>
    </row>
    <row r="278" spans="1:18">
      <c r="A278" t="s">
        <v>596</v>
      </c>
      <c r="B278" t="s">
        <v>597</v>
      </c>
      <c r="C278" s="1">
        <v>45206</v>
      </c>
      <c r="D278">
        <v>18</v>
      </c>
      <c r="E278" t="s">
        <v>20</v>
      </c>
      <c r="F278" t="s">
        <v>32</v>
      </c>
      <c r="G278" t="s">
        <v>37</v>
      </c>
      <c r="H278">
        <v>281.38</v>
      </c>
      <c r="I278">
        <v>3</v>
      </c>
      <c r="J278">
        <v>0</v>
      </c>
      <c r="K278">
        <v>844.14</v>
      </c>
      <c r="L278" t="s">
        <v>327</v>
      </c>
      <c r="M278" t="s">
        <v>24</v>
      </c>
      <c r="N278">
        <v>12</v>
      </c>
      <c r="O278">
        <v>6</v>
      </c>
      <c r="P278" t="b">
        <v>1</v>
      </c>
      <c r="Q278">
        <v>4</v>
      </c>
      <c r="R278">
        <v>4</v>
      </c>
    </row>
    <row r="279" spans="1:18">
      <c r="A279" t="s">
        <v>598</v>
      </c>
      <c r="B279" t="s">
        <v>599</v>
      </c>
      <c r="C279" s="1">
        <v>45084</v>
      </c>
      <c r="D279">
        <v>21</v>
      </c>
      <c r="E279" t="s">
        <v>20</v>
      </c>
      <c r="F279" t="s">
        <v>21</v>
      </c>
      <c r="G279" t="s">
        <v>28</v>
      </c>
      <c r="H279">
        <v>94.67</v>
      </c>
      <c r="I279">
        <v>3</v>
      </c>
      <c r="J279">
        <v>0</v>
      </c>
      <c r="K279">
        <v>284.01</v>
      </c>
      <c r="L279" t="s">
        <v>327</v>
      </c>
      <c r="M279" t="s">
        <v>24</v>
      </c>
      <c r="N279">
        <v>5</v>
      </c>
      <c r="O279">
        <v>9</v>
      </c>
      <c r="P279" t="b">
        <v>1</v>
      </c>
      <c r="Q279">
        <v>7</v>
      </c>
      <c r="R279">
        <v>3</v>
      </c>
    </row>
    <row r="280" spans="1:18">
      <c r="A280" t="s">
        <v>600</v>
      </c>
      <c r="B280" t="s">
        <v>601</v>
      </c>
      <c r="C280" s="1">
        <v>45034</v>
      </c>
      <c r="D280">
        <v>32</v>
      </c>
      <c r="E280" t="s">
        <v>20</v>
      </c>
      <c r="F280" t="s">
        <v>32</v>
      </c>
      <c r="G280" t="s">
        <v>115</v>
      </c>
      <c r="H280">
        <v>68.3</v>
      </c>
      <c r="I280">
        <v>1</v>
      </c>
      <c r="J280">
        <v>0</v>
      </c>
      <c r="K280">
        <v>68.3</v>
      </c>
      <c r="L280" t="s">
        <v>327</v>
      </c>
      <c r="M280" t="s">
        <v>33</v>
      </c>
      <c r="N280">
        <v>19</v>
      </c>
      <c r="O280">
        <v>11</v>
      </c>
      <c r="P280" t="b">
        <v>1</v>
      </c>
      <c r="Q280">
        <v>4</v>
      </c>
      <c r="R280">
        <v>5</v>
      </c>
    </row>
    <row r="281" spans="1:18">
      <c r="A281" t="s">
        <v>602</v>
      </c>
      <c r="B281" t="s">
        <v>603</v>
      </c>
      <c r="C281" s="1">
        <v>45054</v>
      </c>
      <c r="D281">
        <v>27</v>
      </c>
      <c r="E281" t="s">
        <v>36</v>
      </c>
      <c r="F281" t="s">
        <v>32</v>
      </c>
      <c r="G281" t="s">
        <v>115</v>
      </c>
      <c r="H281">
        <v>22.56</v>
      </c>
      <c r="I281">
        <v>1</v>
      </c>
      <c r="J281">
        <v>0</v>
      </c>
      <c r="K281">
        <v>22.56</v>
      </c>
      <c r="L281" t="s">
        <v>327</v>
      </c>
      <c r="M281" t="s">
        <v>33</v>
      </c>
      <c r="N281">
        <v>14</v>
      </c>
      <c r="O281">
        <v>5</v>
      </c>
      <c r="P281" t="b">
        <v>0</v>
      </c>
      <c r="Q281">
        <v>7</v>
      </c>
      <c r="R281">
        <v>5</v>
      </c>
    </row>
    <row r="282" spans="1:18">
      <c r="A282" t="s">
        <v>604</v>
      </c>
      <c r="B282" t="s">
        <v>605</v>
      </c>
      <c r="C282" s="1">
        <v>45213</v>
      </c>
      <c r="D282">
        <v>39</v>
      </c>
      <c r="E282" t="s">
        <v>20</v>
      </c>
      <c r="F282" t="s">
        <v>49</v>
      </c>
      <c r="G282" t="s">
        <v>46</v>
      </c>
      <c r="H282">
        <v>791.79</v>
      </c>
      <c r="I282">
        <v>4</v>
      </c>
      <c r="J282">
        <v>0</v>
      </c>
      <c r="K282">
        <v>3167.16</v>
      </c>
      <c r="L282" t="s">
        <v>327</v>
      </c>
      <c r="M282" t="s">
        <v>24</v>
      </c>
      <c r="N282">
        <v>7</v>
      </c>
      <c r="O282">
        <v>7</v>
      </c>
      <c r="P282" t="b">
        <v>1</v>
      </c>
      <c r="Q282">
        <v>5</v>
      </c>
      <c r="R282">
        <v>4</v>
      </c>
    </row>
    <row r="283" spans="1:18">
      <c r="A283" t="s">
        <v>606</v>
      </c>
      <c r="B283" t="s">
        <v>607</v>
      </c>
      <c r="C283" s="1">
        <v>45374</v>
      </c>
      <c r="D283">
        <v>30</v>
      </c>
      <c r="E283" t="s">
        <v>36</v>
      </c>
      <c r="F283" t="s">
        <v>32</v>
      </c>
      <c r="G283" t="s">
        <v>56</v>
      </c>
      <c r="H283">
        <v>325.14</v>
      </c>
      <c r="I283">
        <v>3</v>
      </c>
      <c r="J283">
        <v>0</v>
      </c>
      <c r="K283">
        <v>975.42</v>
      </c>
      <c r="L283" t="s">
        <v>327</v>
      </c>
      <c r="M283" t="s">
        <v>33</v>
      </c>
      <c r="N283">
        <v>6</v>
      </c>
      <c r="O283">
        <v>7</v>
      </c>
      <c r="P283" t="b">
        <v>0</v>
      </c>
      <c r="Q283">
        <v>4</v>
      </c>
      <c r="R283">
        <v>5</v>
      </c>
    </row>
    <row r="284" spans="1:18">
      <c r="A284" t="s">
        <v>608</v>
      </c>
      <c r="B284" t="s">
        <v>609</v>
      </c>
      <c r="C284" s="1">
        <v>45135</v>
      </c>
      <c r="D284">
        <v>29</v>
      </c>
      <c r="E284" t="s">
        <v>36</v>
      </c>
      <c r="F284" t="s">
        <v>32</v>
      </c>
      <c r="G284" t="s">
        <v>37</v>
      </c>
      <c r="H284">
        <v>64.760000000000005</v>
      </c>
      <c r="I284">
        <v>4</v>
      </c>
      <c r="J284">
        <v>0</v>
      </c>
      <c r="K284">
        <v>259.04000000000002</v>
      </c>
      <c r="L284" t="s">
        <v>327</v>
      </c>
      <c r="M284" t="s">
        <v>33</v>
      </c>
      <c r="N284">
        <v>8</v>
      </c>
      <c r="O284">
        <v>3</v>
      </c>
      <c r="P284" t="b">
        <v>0</v>
      </c>
      <c r="Q284">
        <v>11</v>
      </c>
      <c r="R284">
        <v>5</v>
      </c>
    </row>
    <row r="285" spans="1:18">
      <c r="A285" t="s">
        <v>610</v>
      </c>
      <c r="B285" t="s">
        <v>611</v>
      </c>
      <c r="C285" s="1">
        <v>45048</v>
      </c>
      <c r="D285">
        <v>38</v>
      </c>
      <c r="E285" t="s">
        <v>36</v>
      </c>
      <c r="F285" t="s">
        <v>32</v>
      </c>
      <c r="G285" t="s">
        <v>53</v>
      </c>
      <c r="H285">
        <v>124.09</v>
      </c>
      <c r="I285">
        <v>5</v>
      </c>
      <c r="J285">
        <v>13.36</v>
      </c>
      <c r="K285">
        <v>607.09</v>
      </c>
      <c r="L285" t="s">
        <v>327</v>
      </c>
      <c r="M285" t="s">
        <v>33</v>
      </c>
      <c r="N285">
        <v>18</v>
      </c>
      <c r="O285">
        <v>7</v>
      </c>
      <c r="P285" t="b">
        <v>0</v>
      </c>
      <c r="Q285">
        <v>11</v>
      </c>
      <c r="R285">
        <v>3</v>
      </c>
    </row>
    <row r="286" spans="1:18">
      <c r="A286" t="s">
        <v>612</v>
      </c>
      <c r="B286" t="s">
        <v>613</v>
      </c>
      <c r="C286" s="1">
        <v>45369</v>
      </c>
      <c r="D286">
        <v>59</v>
      </c>
      <c r="E286" t="s">
        <v>20</v>
      </c>
      <c r="F286" t="s">
        <v>88</v>
      </c>
      <c r="G286" t="s">
        <v>46</v>
      </c>
      <c r="H286">
        <v>854.83</v>
      </c>
      <c r="I286">
        <v>3</v>
      </c>
      <c r="J286">
        <v>0</v>
      </c>
      <c r="K286">
        <v>2564.4899999999998</v>
      </c>
      <c r="L286" t="s">
        <v>327</v>
      </c>
      <c r="M286" t="s">
        <v>33</v>
      </c>
      <c r="N286">
        <v>3</v>
      </c>
      <c r="O286">
        <v>8</v>
      </c>
      <c r="P286" t="b">
        <v>1</v>
      </c>
      <c r="Q286">
        <v>8</v>
      </c>
      <c r="R286">
        <v>4</v>
      </c>
    </row>
    <row r="287" spans="1:18">
      <c r="A287" t="s">
        <v>614</v>
      </c>
      <c r="B287" t="s">
        <v>615</v>
      </c>
      <c r="C287" s="1">
        <v>45342</v>
      </c>
      <c r="D287">
        <v>49</v>
      </c>
      <c r="E287" t="s">
        <v>20</v>
      </c>
      <c r="F287" t="s">
        <v>32</v>
      </c>
      <c r="G287" t="s">
        <v>22</v>
      </c>
      <c r="H287">
        <v>84.47</v>
      </c>
      <c r="I287">
        <v>1</v>
      </c>
      <c r="J287">
        <v>15.05</v>
      </c>
      <c r="K287">
        <v>69.42</v>
      </c>
      <c r="L287" t="s">
        <v>327</v>
      </c>
      <c r="M287" t="s">
        <v>33</v>
      </c>
      <c r="N287">
        <v>32</v>
      </c>
      <c r="O287">
        <v>7</v>
      </c>
      <c r="P287" t="b">
        <v>0</v>
      </c>
      <c r="Q287">
        <v>13</v>
      </c>
      <c r="R287">
        <v>4</v>
      </c>
    </row>
    <row r="288" spans="1:18">
      <c r="A288" t="s">
        <v>616</v>
      </c>
      <c r="B288" t="s">
        <v>617</v>
      </c>
      <c r="C288" s="1">
        <v>45017</v>
      </c>
      <c r="D288">
        <v>30</v>
      </c>
      <c r="E288" t="s">
        <v>20</v>
      </c>
      <c r="F288" t="s">
        <v>83</v>
      </c>
      <c r="G288" t="s">
        <v>56</v>
      </c>
      <c r="H288">
        <v>2182.37</v>
      </c>
      <c r="I288">
        <v>2</v>
      </c>
      <c r="J288">
        <v>0</v>
      </c>
      <c r="K288">
        <v>4364.74</v>
      </c>
      <c r="L288" t="s">
        <v>327</v>
      </c>
      <c r="M288" t="s">
        <v>29</v>
      </c>
      <c r="N288">
        <v>13</v>
      </c>
      <c r="O288">
        <v>9</v>
      </c>
      <c r="P288" t="b">
        <v>1</v>
      </c>
      <c r="Q288">
        <v>5</v>
      </c>
      <c r="R288">
        <v>5</v>
      </c>
    </row>
    <row r="289" spans="1:18">
      <c r="A289" t="s">
        <v>618</v>
      </c>
      <c r="B289" t="s">
        <v>619</v>
      </c>
      <c r="C289" s="1">
        <v>45138</v>
      </c>
      <c r="D289">
        <v>18</v>
      </c>
      <c r="E289" t="s">
        <v>20</v>
      </c>
      <c r="F289" t="s">
        <v>49</v>
      </c>
      <c r="G289" t="s">
        <v>46</v>
      </c>
      <c r="H289">
        <v>227.16</v>
      </c>
      <c r="I289">
        <v>1</v>
      </c>
      <c r="J289">
        <v>0</v>
      </c>
      <c r="K289">
        <v>227.16</v>
      </c>
      <c r="L289" t="s">
        <v>327</v>
      </c>
      <c r="M289" t="s">
        <v>33</v>
      </c>
      <c r="N289">
        <v>9</v>
      </c>
      <c r="O289">
        <v>6</v>
      </c>
      <c r="P289" t="b">
        <v>0</v>
      </c>
      <c r="Q289">
        <v>3</v>
      </c>
      <c r="R289">
        <v>4</v>
      </c>
    </row>
    <row r="290" spans="1:18">
      <c r="A290" t="s">
        <v>620</v>
      </c>
      <c r="B290" t="s">
        <v>621</v>
      </c>
      <c r="C290" s="1">
        <v>45269</v>
      </c>
      <c r="D290">
        <v>44</v>
      </c>
      <c r="E290" t="s">
        <v>20</v>
      </c>
      <c r="F290" t="s">
        <v>76</v>
      </c>
      <c r="G290" t="s">
        <v>46</v>
      </c>
      <c r="H290">
        <v>345.82</v>
      </c>
      <c r="I290">
        <v>2</v>
      </c>
      <c r="J290">
        <v>0</v>
      </c>
      <c r="K290">
        <v>691.64</v>
      </c>
      <c r="L290" t="s">
        <v>327</v>
      </c>
      <c r="M290" t="s">
        <v>33</v>
      </c>
      <c r="N290">
        <v>15</v>
      </c>
      <c r="O290">
        <v>5</v>
      </c>
      <c r="P290" t="b">
        <v>1</v>
      </c>
      <c r="Q290">
        <v>11</v>
      </c>
      <c r="R290">
        <v>4</v>
      </c>
    </row>
    <row r="291" spans="1:18">
      <c r="A291" t="s">
        <v>622</v>
      </c>
      <c r="B291" t="s">
        <v>623</v>
      </c>
      <c r="C291" s="1">
        <v>45342</v>
      </c>
      <c r="D291">
        <v>44</v>
      </c>
      <c r="E291" t="s">
        <v>20</v>
      </c>
      <c r="F291" t="s">
        <v>76</v>
      </c>
      <c r="G291" t="s">
        <v>37</v>
      </c>
      <c r="H291">
        <v>31.21</v>
      </c>
      <c r="I291">
        <v>4</v>
      </c>
      <c r="J291">
        <v>0</v>
      </c>
      <c r="K291">
        <v>124.84</v>
      </c>
      <c r="L291" t="s">
        <v>327</v>
      </c>
      <c r="M291" t="s">
        <v>33</v>
      </c>
      <c r="N291">
        <v>7</v>
      </c>
      <c r="O291">
        <v>13</v>
      </c>
      <c r="P291" t="b">
        <v>1</v>
      </c>
      <c r="Q291">
        <v>4</v>
      </c>
      <c r="R291">
        <v>4</v>
      </c>
    </row>
    <row r="292" spans="1:18">
      <c r="A292" t="s">
        <v>624</v>
      </c>
      <c r="B292" t="s">
        <v>625</v>
      </c>
      <c r="C292" s="1">
        <v>45008</v>
      </c>
      <c r="D292">
        <v>39</v>
      </c>
      <c r="E292" t="s">
        <v>20</v>
      </c>
      <c r="F292" t="s">
        <v>88</v>
      </c>
      <c r="G292" t="s">
        <v>64</v>
      </c>
      <c r="H292">
        <v>918.11</v>
      </c>
      <c r="I292">
        <v>4</v>
      </c>
      <c r="J292">
        <v>144.07</v>
      </c>
      <c r="K292">
        <v>3528.37</v>
      </c>
      <c r="L292" t="s">
        <v>327</v>
      </c>
      <c r="M292" t="s">
        <v>33</v>
      </c>
      <c r="N292">
        <v>30</v>
      </c>
      <c r="O292">
        <v>9</v>
      </c>
      <c r="P292" t="b">
        <v>1</v>
      </c>
      <c r="Q292">
        <v>8</v>
      </c>
      <c r="R292">
        <v>3</v>
      </c>
    </row>
    <row r="293" spans="1:18">
      <c r="A293" t="s">
        <v>626</v>
      </c>
      <c r="B293" t="s">
        <v>627</v>
      </c>
      <c r="C293" s="1">
        <v>45040</v>
      </c>
      <c r="D293">
        <v>24</v>
      </c>
      <c r="E293" t="s">
        <v>20</v>
      </c>
      <c r="F293" t="s">
        <v>88</v>
      </c>
      <c r="G293" t="s">
        <v>22</v>
      </c>
      <c r="H293">
        <v>136.07</v>
      </c>
      <c r="I293">
        <v>5</v>
      </c>
      <c r="J293">
        <v>0</v>
      </c>
      <c r="K293">
        <v>680.35</v>
      </c>
      <c r="L293" t="s">
        <v>327</v>
      </c>
      <c r="M293" t="s">
        <v>33</v>
      </c>
      <c r="N293">
        <v>10</v>
      </c>
      <c r="O293">
        <v>9</v>
      </c>
      <c r="P293" t="b">
        <v>0</v>
      </c>
      <c r="Q293">
        <v>3</v>
      </c>
      <c r="R293">
        <v>5</v>
      </c>
    </row>
    <row r="294" spans="1:18">
      <c r="A294" t="s">
        <v>628</v>
      </c>
      <c r="B294" t="s">
        <v>629</v>
      </c>
      <c r="C294" s="1">
        <v>45345</v>
      </c>
      <c r="D294">
        <v>29</v>
      </c>
      <c r="E294" t="s">
        <v>36</v>
      </c>
      <c r="F294" t="s">
        <v>32</v>
      </c>
      <c r="G294" t="s">
        <v>37</v>
      </c>
      <c r="H294">
        <v>73.459999999999994</v>
      </c>
      <c r="I294">
        <v>2</v>
      </c>
      <c r="J294">
        <v>0</v>
      </c>
      <c r="K294">
        <v>146.91999999999999</v>
      </c>
      <c r="L294" t="s">
        <v>327</v>
      </c>
      <c r="M294" t="s">
        <v>29</v>
      </c>
      <c r="N294">
        <v>10</v>
      </c>
      <c r="O294">
        <v>9</v>
      </c>
      <c r="P294" t="b">
        <v>1</v>
      </c>
      <c r="Q294">
        <v>4</v>
      </c>
      <c r="R294">
        <v>5</v>
      </c>
    </row>
    <row r="295" spans="1:18">
      <c r="A295" t="s">
        <v>630</v>
      </c>
      <c r="B295" t="s">
        <v>631</v>
      </c>
      <c r="C295" s="1">
        <v>45347</v>
      </c>
      <c r="D295">
        <v>28</v>
      </c>
      <c r="E295" t="s">
        <v>20</v>
      </c>
      <c r="F295" t="s">
        <v>73</v>
      </c>
      <c r="G295" t="s">
        <v>53</v>
      </c>
      <c r="H295">
        <v>136.05000000000001</v>
      </c>
      <c r="I295">
        <v>2</v>
      </c>
      <c r="J295">
        <v>0</v>
      </c>
      <c r="K295">
        <v>272.10000000000002</v>
      </c>
      <c r="L295" t="s">
        <v>327</v>
      </c>
      <c r="M295" t="s">
        <v>24</v>
      </c>
      <c r="N295">
        <v>6</v>
      </c>
      <c r="O295">
        <v>16</v>
      </c>
      <c r="P295" t="b">
        <v>1</v>
      </c>
      <c r="Q295">
        <v>6</v>
      </c>
      <c r="R295">
        <v>2</v>
      </c>
    </row>
    <row r="296" spans="1:18">
      <c r="A296" t="s">
        <v>632</v>
      </c>
      <c r="B296" t="s">
        <v>633</v>
      </c>
      <c r="C296" s="1">
        <v>45334</v>
      </c>
      <c r="D296">
        <v>31</v>
      </c>
      <c r="E296" t="s">
        <v>20</v>
      </c>
      <c r="F296" t="s">
        <v>32</v>
      </c>
      <c r="G296" t="s">
        <v>28</v>
      </c>
      <c r="H296">
        <v>175.34</v>
      </c>
      <c r="I296">
        <v>1</v>
      </c>
      <c r="J296">
        <v>27.85</v>
      </c>
      <c r="K296">
        <v>147.49</v>
      </c>
      <c r="L296" t="s">
        <v>327</v>
      </c>
      <c r="M296" t="s">
        <v>33</v>
      </c>
      <c r="N296">
        <v>18</v>
      </c>
      <c r="O296">
        <v>15</v>
      </c>
      <c r="P296" t="b">
        <v>0</v>
      </c>
      <c r="Q296">
        <v>10</v>
      </c>
      <c r="R296">
        <v>1</v>
      </c>
    </row>
    <row r="297" spans="1:18">
      <c r="A297" t="s">
        <v>634</v>
      </c>
      <c r="B297" t="s">
        <v>635</v>
      </c>
      <c r="C297" s="1">
        <v>45041</v>
      </c>
      <c r="D297">
        <v>39</v>
      </c>
      <c r="E297" t="s">
        <v>20</v>
      </c>
      <c r="F297" t="s">
        <v>32</v>
      </c>
      <c r="G297" t="s">
        <v>37</v>
      </c>
      <c r="H297">
        <v>139.36000000000001</v>
      </c>
      <c r="I297">
        <v>1</v>
      </c>
      <c r="J297">
        <v>0</v>
      </c>
      <c r="K297">
        <v>139.36000000000001</v>
      </c>
      <c r="L297" t="s">
        <v>327</v>
      </c>
      <c r="M297" t="s">
        <v>33</v>
      </c>
      <c r="N297">
        <v>4</v>
      </c>
      <c r="O297">
        <v>14</v>
      </c>
      <c r="P297" t="b">
        <v>1</v>
      </c>
      <c r="Q297">
        <v>3</v>
      </c>
      <c r="R297">
        <v>5</v>
      </c>
    </row>
    <row r="298" spans="1:18">
      <c r="A298" t="s">
        <v>636</v>
      </c>
      <c r="B298" t="s">
        <v>637</v>
      </c>
      <c r="C298" s="1">
        <v>44939</v>
      </c>
      <c r="D298">
        <v>44</v>
      </c>
      <c r="E298" t="s">
        <v>20</v>
      </c>
      <c r="F298" t="s">
        <v>59</v>
      </c>
      <c r="G298" t="s">
        <v>64</v>
      </c>
      <c r="H298">
        <v>952.19</v>
      </c>
      <c r="I298">
        <v>1</v>
      </c>
      <c r="J298">
        <v>0</v>
      </c>
      <c r="K298">
        <v>952.19</v>
      </c>
      <c r="L298" t="s">
        <v>327</v>
      </c>
      <c r="M298" t="s">
        <v>33</v>
      </c>
      <c r="N298">
        <v>33</v>
      </c>
      <c r="O298">
        <v>8</v>
      </c>
      <c r="P298" t="b">
        <v>1</v>
      </c>
      <c r="Q298">
        <v>3</v>
      </c>
      <c r="R298">
        <v>2</v>
      </c>
    </row>
    <row r="299" spans="1:18">
      <c r="A299" t="s">
        <v>638</v>
      </c>
      <c r="B299" t="s">
        <v>639</v>
      </c>
      <c r="C299" s="1">
        <v>45095</v>
      </c>
      <c r="D299">
        <v>39</v>
      </c>
      <c r="E299" t="s">
        <v>36</v>
      </c>
      <c r="F299" t="s">
        <v>32</v>
      </c>
      <c r="G299" t="s">
        <v>28</v>
      </c>
      <c r="H299">
        <v>104.19</v>
      </c>
      <c r="I299">
        <v>4</v>
      </c>
      <c r="J299">
        <v>0</v>
      </c>
      <c r="K299">
        <v>416.76</v>
      </c>
      <c r="L299" t="s">
        <v>327</v>
      </c>
      <c r="M299" t="s">
        <v>24</v>
      </c>
      <c r="N299">
        <v>10</v>
      </c>
      <c r="O299">
        <v>11</v>
      </c>
      <c r="P299" t="b">
        <v>0</v>
      </c>
      <c r="Q299">
        <v>7</v>
      </c>
      <c r="R299">
        <v>3</v>
      </c>
    </row>
    <row r="300" spans="1:18">
      <c r="A300" t="s">
        <v>640</v>
      </c>
      <c r="B300" t="s">
        <v>641</v>
      </c>
      <c r="C300" s="1">
        <v>45322</v>
      </c>
      <c r="D300">
        <v>18</v>
      </c>
      <c r="E300" t="s">
        <v>36</v>
      </c>
      <c r="F300" t="s">
        <v>76</v>
      </c>
      <c r="G300" t="s">
        <v>64</v>
      </c>
      <c r="H300">
        <v>1760.08</v>
      </c>
      <c r="I300">
        <v>1</v>
      </c>
      <c r="J300">
        <v>0</v>
      </c>
      <c r="K300">
        <v>1760.08</v>
      </c>
      <c r="L300" t="s">
        <v>327</v>
      </c>
      <c r="M300" t="s">
        <v>33</v>
      </c>
      <c r="N300">
        <v>18</v>
      </c>
      <c r="O300">
        <v>5</v>
      </c>
      <c r="P300" t="b">
        <v>0</v>
      </c>
      <c r="Q300">
        <v>5</v>
      </c>
      <c r="R300">
        <v>5</v>
      </c>
    </row>
    <row r="301" spans="1:18">
      <c r="A301" t="s">
        <v>642</v>
      </c>
      <c r="B301" t="s">
        <v>643</v>
      </c>
      <c r="C301" s="1">
        <v>45069</v>
      </c>
      <c r="D301">
        <v>52</v>
      </c>
      <c r="E301" t="s">
        <v>36</v>
      </c>
      <c r="F301" t="s">
        <v>59</v>
      </c>
      <c r="G301" t="s">
        <v>115</v>
      </c>
      <c r="H301">
        <v>99.44</v>
      </c>
      <c r="I301">
        <v>1</v>
      </c>
      <c r="J301">
        <v>0</v>
      </c>
      <c r="K301">
        <v>99.44</v>
      </c>
      <c r="L301" t="s">
        <v>327</v>
      </c>
      <c r="M301" t="s">
        <v>24</v>
      </c>
      <c r="N301">
        <v>7</v>
      </c>
      <c r="O301">
        <v>10</v>
      </c>
      <c r="P301" t="b">
        <v>0</v>
      </c>
      <c r="Q301">
        <v>2</v>
      </c>
      <c r="R301">
        <v>4</v>
      </c>
    </row>
    <row r="302" spans="1:18">
      <c r="A302" t="s">
        <v>644</v>
      </c>
      <c r="B302" t="s">
        <v>645</v>
      </c>
      <c r="C302" s="1">
        <v>45187</v>
      </c>
      <c r="D302">
        <v>38</v>
      </c>
      <c r="E302" t="s">
        <v>36</v>
      </c>
      <c r="F302" t="s">
        <v>73</v>
      </c>
      <c r="G302" t="s">
        <v>53</v>
      </c>
      <c r="H302">
        <v>93.94</v>
      </c>
      <c r="I302">
        <v>5</v>
      </c>
      <c r="J302">
        <v>0</v>
      </c>
      <c r="K302">
        <v>469.7</v>
      </c>
      <c r="L302" t="s">
        <v>327</v>
      </c>
      <c r="M302" t="s">
        <v>33</v>
      </c>
      <c r="N302">
        <v>10</v>
      </c>
      <c r="O302">
        <v>10</v>
      </c>
      <c r="P302" t="b">
        <v>0</v>
      </c>
      <c r="Q302">
        <v>2</v>
      </c>
      <c r="R302">
        <v>5</v>
      </c>
    </row>
    <row r="303" spans="1:18">
      <c r="A303" t="s">
        <v>646</v>
      </c>
      <c r="B303" t="s">
        <v>647</v>
      </c>
      <c r="C303" s="1">
        <v>45274</v>
      </c>
      <c r="D303">
        <v>64</v>
      </c>
      <c r="E303" t="s">
        <v>36</v>
      </c>
      <c r="F303" t="s">
        <v>83</v>
      </c>
      <c r="G303" t="s">
        <v>22</v>
      </c>
      <c r="H303">
        <v>182.17</v>
      </c>
      <c r="I303">
        <v>2</v>
      </c>
      <c r="J303">
        <v>0</v>
      </c>
      <c r="K303">
        <v>364.34</v>
      </c>
      <c r="L303" t="s">
        <v>327</v>
      </c>
      <c r="M303" t="s">
        <v>33</v>
      </c>
      <c r="N303">
        <v>4</v>
      </c>
      <c r="O303">
        <v>5</v>
      </c>
      <c r="P303" t="b">
        <v>1</v>
      </c>
      <c r="Q303">
        <v>3</v>
      </c>
      <c r="R303">
        <v>5</v>
      </c>
    </row>
    <row r="304" spans="1:18">
      <c r="A304" t="s">
        <v>648</v>
      </c>
      <c r="B304" t="s">
        <v>649</v>
      </c>
      <c r="C304" s="1">
        <v>44946</v>
      </c>
      <c r="D304">
        <v>28</v>
      </c>
      <c r="E304" t="s">
        <v>20</v>
      </c>
      <c r="F304" t="s">
        <v>59</v>
      </c>
      <c r="G304" t="s">
        <v>53</v>
      </c>
      <c r="H304">
        <v>60.16</v>
      </c>
      <c r="I304">
        <v>1</v>
      </c>
      <c r="J304">
        <v>13.38</v>
      </c>
      <c r="K304">
        <v>46.78</v>
      </c>
      <c r="L304" t="s">
        <v>327</v>
      </c>
      <c r="M304" t="s">
        <v>24</v>
      </c>
      <c r="N304">
        <v>10</v>
      </c>
      <c r="O304">
        <v>3</v>
      </c>
      <c r="P304" t="b">
        <v>1</v>
      </c>
      <c r="Q304">
        <v>16</v>
      </c>
      <c r="R304">
        <v>4</v>
      </c>
    </row>
    <row r="305" spans="1:18">
      <c r="A305" t="s">
        <v>650</v>
      </c>
      <c r="B305" t="s">
        <v>651</v>
      </c>
      <c r="C305" s="1">
        <v>44986</v>
      </c>
      <c r="D305">
        <v>44</v>
      </c>
      <c r="E305" t="s">
        <v>20</v>
      </c>
      <c r="F305" t="s">
        <v>52</v>
      </c>
      <c r="G305" t="s">
        <v>22</v>
      </c>
      <c r="H305">
        <v>126.58</v>
      </c>
      <c r="I305">
        <v>4</v>
      </c>
      <c r="J305">
        <v>0</v>
      </c>
      <c r="K305">
        <v>506.32</v>
      </c>
      <c r="L305" t="s">
        <v>327</v>
      </c>
      <c r="M305" t="s">
        <v>29</v>
      </c>
      <c r="N305">
        <v>10</v>
      </c>
      <c r="O305">
        <v>12</v>
      </c>
      <c r="P305" t="b">
        <v>1</v>
      </c>
      <c r="Q305">
        <v>7</v>
      </c>
      <c r="R305">
        <v>2</v>
      </c>
    </row>
    <row r="306" spans="1:18">
      <c r="A306" t="s">
        <v>652</v>
      </c>
      <c r="B306" t="s">
        <v>653</v>
      </c>
      <c r="C306" s="1">
        <v>45124</v>
      </c>
      <c r="D306">
        <v>35</v>
      </c>
      <c r="E306" t="s">
        <v>20</v>
      </c>
      <c r="F306" t="s">
        <v>49</v>
      </c>
      <c r="G306" t="s">
        <v>115</v>
      </c>
      <c r="H306">
        <v>27.7</v>
      </c>
      <c r="I306">
        <v>1</v>
      </c>
      <c r="J306">
        <v>0</v>
      </c>
      <c r="K306">
        <v>27.7</v>
      </c>
      <c r="L306" t="s">
        <v>327</v>
      </c>
      <c r="M306" t="s">
        <v>33</v>
      </c>
      <c r="N306">
        <v>9</v>
      </c>
      <c r="O306">
        <v>9</v>
      </c>
      <c r="P306" t="b">
        <v>0</v>
      </c>
      <c r="Q306">
        <v>6</v>
      </c>
      <c r="R306">
        <v>4</v>
      </c>
    </row>
    <row r="307" spans="1:18">
      <c r="A307" t="s">
        <v>654</v>
      </c>
      <c r="B307" t="s">
        <v>655</v>
      </c>
      <c r="C307" s="1">
        <v>45024</v>
      </c>
      <c r="D307">
        <v>19</v>
      </c>
      <c r="E307" t="s">
        <v>20</v>
      </c>
      <c r="F307" t="s">
        <v>88</v>
      </c>
      <c r="G307" t="s">
        <v>28</v>
      </c>
      <c r="H307">
        <v>366.62</v>
      </c>
      <c r="I307">
        <v>3</v>
      </c>
      <c r="J307">
        <v>33.82</v>
      </c>
      <c r="K307">
        <v>1066.04</v>
      </c>
      <c r="L307" t="s">
        <v>327</v>
      </c>
      <c r="M307" t="s">
        <v>33</v>
      </c>
      <c r="N307">
        <v>19</v>
      </c>
      <c r="O307">
        <v>9</v>
      </c>
      <c r="P307" t="b">
        <v>1</v>
      </c>
      <c r="Q307">
        <v>7</v>
      </c>
      <c r="R307">
        <v>5</v>
      </c>
    </row>
    <row r="308" spans="1:18">
      <c r="A308" t="s">
        <v>656</v>
      </c>
      <c r="B308" t="s">
        <v>657</v>
      </c>
      <c r="C308" s="1">
        <v>45057</v>
      </c>
      <c r="D308">
        <v>30</v>
      </c>
      <c r="E308" t="s">
        <v>36</v>
      </c>
      <c r="F308" t="s">
        <v>21</v>
      </c>
      <c r="G308" t="s">
        <v>22</v>
      </c>
      <c r="H308">
        <v>142.30000000000001</v>
      </c>
      <c r="I308">
        <v>4</v>
      </c>
      <c r="J308">
        <v>0</v>
      </c>
      <c r="K308">
        <v>569.20000000000005</v>
      </c>
      <c r="L308" t="s">
        <v>327</v>
      </c>
      <c r="M308" t="s">
        <v>33</v>
      </c>
      <c r="N308">
        <v>17</v>
      </c>
      <c r="O308">
        <v>9</v>
      </c>
      <c r="P308" t="b">
        <v>1</v>
      </c>
      <c r="Q308">
        <v>5</v>
      </c>
      <c r="R308">
        <v>5</v>
      </c>
    </row>
    <row r="309" spans="1:18">
      <c r="A309" t="s">
        <v>658</v>
      </c>
      <c r="B309" t="s">
        <v>659</v>
      </c>
      <c r="C309" s="1">
        <v>45289</v>
      </c>
      <c r="D309">
        <v>31</v>
      </c>
      <c r="E309" t="s">
        <v>36</v>
      </c>
      <c r="F309" t="s">
        <v>21</v>
      </c>
      <c r="G309" t="s">
        <v>46</v>
      </c>
      <c r="H309">
        <v>604.55999999999995</v>
      </c>
      <c r="I309">
        <v>2</v>
      </c>
      <c r="J309">
        <v>0</v>
      </c>
      <c r="K309">
        <v>1209.1199999999999</v>
      </c>
      <c r="L309" t="s">
        <v>327</v>
      </c>
      <c r="M309" t="s">
        <v>24</v>
      </c>
      <c r="N309">
        <v>31</v>
      </c>
      <c r="O309">
        <v>5</v>
      </c>
      <c r="P309" t="b">
        <v>1</v>
      </c>
      <c r="Q309">
        <v>5</v>
      </c>
      <c r="R309">
        <v>4</v>
      </c>
    </row>
    <row r="310" spans="1:18">
      <c r="A310" t="s">
        <v>660</v>
      </c>
      <c r="B310" t="s">
        <v>661</v>
      </c>
      <c r="C310" s="1">
        <v>45147</v>
      </c>
      <c r="D310">
        <v>35</v>
      </c>
      <c r="E310" t="s">
        <v>20</v>
      </c>
      <c r="F310" t="s">
        <v>32</v>
      </c>
      <c r="G310" t="s">
        <v>115</v>
      </c>
      <c r="H310">
        <v>28.6</v>
      </c>
      <c r="I310">
        <v>1</v>
      </c>
      <c r="J310">
        <v>0</v>
      </c>
      <c r="K310">
        <v>28.6</v>
      </c>
      <c r="L310" t="s">
        <v>327</v>
      </c>
      <c r="M310" t="s">
        <v>33</v>
      </c>
      <c r="N310">
        <v>15</v>
      </c>
      <c r="O310">
        <v>8</v>
      </c>
      <c r="P310" t="b">
        <v>1</v>
      </c>
      <c r="Q310">
        <v>7</v>
      </c>
      <c r="R310">
        <v>4</v>
      </c>
    </row>
    <row r="311" spans="1:18">
      <c r="A311" t="s">
        <v>662</v>
      </c>
      <c r="B311" t="s">
        <v>663</v>
      </c>
      <c r="C311" s="1">
        <v>45267</v>
      </c>
      <c r="D311">
        <v>34</v>
      </c>
      <c r="E311" t="s">
        <v>20</v>
      </c>
      <c r="F311" t="s">
        <v>32</v>
      </c>
      <c r="G311" t="s">
        <v>115</v>
      </c>
      <c r="H311">
        <v>107.92</v>
      </c>
      <c r="I311">
        <v>1</v>
      </c>
      <c r="J311">
        <v>0</v>
      </c>
      <c r="K311">
        <v>107.92</v>
      </c>
      <c r="L311" t="s">
        <v>327</v>
      </c>
      <c r="M311" t="s">
        <v>33</v>
      </c>
      <c r="N311">
        <v>22</v>
      </c>
      <c r="O311">
        <v>10</v>
      </c>
      <c r="P311" t="b">
        <v>1</v>
      </c>
      <c r="Q311">
        <v>7</v>
      </c>
      <c r="R311">
        <v>4</v>
      </c>
    </row>
    <row r="312" spans="1:18">
      <c r="A312" t="s">
        <v>664</v>
      </c>
      <c r="B312" t="s">
        <v>665</v>
      </c>
      <c r="C312" s="1">
        <v>45246</v>
      </c>
      <c r="D312">
        <v>33</v>
      </c>
      <c r="E312" t="s">
        <v>36</v>
      </c>
      <c r="F312" t="s">
        <v>32</v>
      </c>
      <c r="G312" t="s">
        <v>22</v>
      </c>
      <c r="H312">
        <v>114</v>
      </c>
      <c r="I312">
        <v>1</v>
      </c>
      <c r="J312">
        <v>0</v>
      </c>
      <c r="K312">
        <v>114</v>
      </c>
      <c r="L312" t="s">
        <v>327</v>
      </c>
      <c r="M312" t="s">
        <v>33</v>
      </c>
      <c r="N312">
        <v>13</v>
      </c>
      <c r="O312">
        <v>4</v>
      </c>
      <c r="P312" t="b">
        <v>1</v>
      </c>
      <c r="Q312">
        <v>9</v>
      </c>
      <c r="R312">
        <v>5</v>
      </c>
    </row>
    <row r="313" spans="1:18">
      <c r="A313" t="s">
        <v>666</v>
      </c>
      <c r="B313" t="s">
        <v>667</v>
      </c>
      <c r="C313" s="1">
        <v>45266</v>
      </c>
      <c r="D313">
        <v>28</v>
      </c>
      <c r="E313" t="s">
        <v>36</v>
      </c>
      <c r="F313" t="s">
        <v>52</v>
      </c>
      <c r="G313" t="s">
        <v>22</v>
      </c>
      <c r="H313">
        <v>260.92</v>
      </c>
      <c r="I313">
        <v>4</v>
      </c>
      <c r="J313">
        <v>0</v>
      </c>
      <c r="K313">
        <v>1043.68</v>
      </c>
      <c r="L313" t="s">
        <v>327</v>
      </c>
      <c r="M313" t="s">
        <v>33</v>
      </c>
      <c r="N313">
        <v>33</v>
      </c>
      <c r="O313">
        <v>9</v>
      </c>
      <c r="P313" t="b">
        <v>0</v>
      </c>
      <c r="Q313">
        <v>21</v>
      </c>
      <c r="R313">
        <v>5</v>
      </c>
    </row>
    <row r="314" spans="1:18">
      <c r="A314" t="s">
        <v>668</v>
      </c>
      <c r="B314" t="s">
        <v>669</v>
      </c>
      <c r="C314" s="1">
        <v>44990</v>
      </c>
      <c r="D314">
        <v>28</v>
      </c>
      <c r="E314" t="s">
        <v>36</v>
      </c>
      <c r="F314" t="s">
        <v>52</v>
      </c>
      <c r="G314" t="s">
        <v>22</v>
      </c>
      <c r="H314">
        <v>369.47</v>
      </c>
      <c r="I314">
        <v>1</v>
      </c>
      <c r="J314">
        <v>0</v>
      </c>
      <c r="K314">
        <v>369.47</v>
      </c>
      <c r="L314" t="s">
        <v>327</v>
      </c>
      <c r="M314" t="s">
        <v>33</v>
      </c>
      <c r="N314">
        <v>9</v>
      </c>
      <c r="O314">
        <v>8</v>
      </c>
      <c r="P314" t="b">
        <v>0</v>
      </c>
      <c r="Q314">
        <v>5</v>
      </c>
      <c r="R314">
        <v>4</v>
      </c>
    </row>
    <row r="315" spans="1:18">
      <c r="A315" t="s">
        <v>670</v>
      </c>
      <c r="B315" t="s">
        <v>671</v>
      </c>
      <c r="C315" s="1">
        <v>45295</v>
      </c>
      <c r="D315">
        <v>26</v>
      </c>
      <c r="E315" t="s">
        <v>20</v>
      </c>
      <c r="F315" t="s">
        <v>49</v>
      </c>
      <c r="G315" t="s">
        <v>28</v>
      </c>
      <c r="H315">
        <v>106.38</v>
      </c>
      <c r="I315">
        <v>2</v>
      </c>
      <c r="J315">
        <v>0</v>
      </c>
      <c r="K315">
        <v>212.76</v>
      </c>
      <c r="L315" t="s">
        <v>327</v>
      </c>
      <c r="M315" t="s">
        <v>33</v>
      </c>
      <c r="N315">
        <v>15</v>
      </c>
      <c r="O315">
        <v>7</v>
      </c>
      <c r="P315" t="b">
        <v>1</v>
      </c>
      <c r="Q315">
        <v>6</v>
      </c>
      <c r="R315">
        <v>4</v>
      </c>
    </row>
    <row r="316" spans="1:18">
      <c r="A316" t="s">
        <v>672</v>
      </c>
      <c r="B316" t="s">
        <v>673</v>
      </c>
      <c r="C316" s="1">
        <v>45085</v>
      </c>
      <c r="D316">
        <v>53</v>
      </c>
      <c r="E316" t="s">
        <v>36</v>
      </c>
      <c r="F316" t="s">
        <v>27</v>
      </c>
      <c r="G316" t="s">
        <v>46</v>
      </c>
      <c r="H316">
        <v>226.36</v>
      </c>
      <c r="I316">
        <v>1</v>
      </c>
      <c r="J316">
        <v>0</v>
      </c>
      <c r="K316">
        <v>226.36</v>
      </c>
      <c r="L316" t="s">
        <v>327</v>
      </c>
      <c r="M316" t="s">
        <v>33</v>
      </c>
      <c r="N316">
        <v>14</v>
      </c>
      <c r="O316">
        <v>11</v>
      </c>
      <c r="P316" t="b">
        <v>0</v>
      </c>
      <c r="Q316">
        <v>7</v>
      </c>
      <c r="R316">
        <v>4</v>
      </c>
    </row>
    <row r="317" spans="1:18">
      <c r="A317" t="s">
        <v>674</v>
      </c>
      <c r="B317" t="s">
        <v>675</v>
      </c>
      <c r="C317" s="1">
        <v>45094</v>
      </c>
      <c r="D317">
        <v>49</v>
      </c>
      <c r="E317" t="s">
        <v>36</v>
      </c>
      <c r="F317" t="s">
        <v>21</v>
      </c>
      <c r="G317" t="s">
        <v>64</v>
      </c>
      <c r="H317">
        <v>258.63</v>
      </c>
      <c r="I317">
        <v>5</v>
      </c>
      <c r="J317">
        <v>0</v>
      </c>
      <c r="K317">
        <v>1293.1500000000001</v>
      </c>
      <c r="L317" t="s">
        <v>327</v>
      </c>
      <c r="M317" t="s">
        <v>33</v>
      </c>
      <c r="N317">
        <v>16</v>
      </c>
      <c r="O317">
        <v>7</v>
      </c>
      <c r="P317" t="b">
        <v>1</v>
      </c>
      <c r="Q317">
        <v>5</v>
      </c>
      <c r="R317">
        <v>4</v>
      </c>
    </row>
    <row r="318" spans="1:18">
      <c r="A318" t="s">
        <v>676</v>
      </c>
      <c r="B318" t="s">
        <v>677</v>
      </c>
      <c r="C318" s="1">
        <v>45133</v>
      </c>
      <c r="D318">
        <v>18</v>
      </c>
      <c r="E318" t="s">
        <v>20</v>
      </c>
      <c r="F318" t="s">
        <v>88</v>
      </c>
      <c r="G318" t="s">
        <v>22</v>
      </c>
      <c r="H318">
        <v>142.38999999999999</v>
      </c>
      <c r="I318">
        <v>1</v>
      </c>
      <c r="J318">
        <v>0</v>
      </c>
      <c r="K318">
        <v>142.38999999999999</v>
      </c>
      <c r="L318" t="s">
        <v>327</v>
      </c>
      <c r="M318" t="s">
        <v>33</v>
      </c>
      <c r="N318">
        <v>19</v>
      </c>
      <c r="O318">
        <v>10</v>
      </c>
      <c r="P318" t="b">
        <v>0</v>
      </c>
      <c r="Q318">
        <v>7</v>
      </c>
      <c r="R318">
        <v>3</v>
      </c>
    </row>
    <row r="319" spans="1:18">
      <c r="A319" t="s">
        <v>678</v>
      </c>
      <c r="B319" t="s">
        <v>679</v>
      </c>
      <c r="C319" s="1">
        <v>45207</v>
      </c>
      <c r="D319">
        <v>30</v>
      </c>
      <c r="E319" t="s">
        <v>36</v>
      </c>
      <c r="F319" t="s">
        <v>83</v>
      </c>
      <c r="G319" t="s">
        <v>28</v>
      </c>
      <c r="H319">
        <v>230.67</v>
      </c>
      <c r="I319">
        <v>1</v>
      </c>
      <c r="J319">
        <v>0</v>
      </c>
      <c r="K319">
        <v>230.67</v>
      </c>
      <c r="L319" t="s">
        <v>327</v>
      </c>
      <c r="M319" t="s">
        <v>29</v>
      </c>
      <c r="N319">
        <v>20</v>
      </c>
      <c r="O319">
        <v>7</v>
      </c>
      <c r="P319" t="b">
        <v>0</v>
      </c>
      <c r="Q319">
        <v>8</v>
      </c>
      <c r="R319">
        <v>4</v>
      </c>
    </row>
    <row r="320" spans="1:18">
      <c r="A320" t="s">
        <v>680</v>
      </c>
      <c r="B320" t="s">
        <v>681</v>
      </c>
      <c r="C320" s="1">
        <v>45353</v>
      </c>
      <c r="D320">
        <v>43</v>
      </c>
      <c r="E320" t="s">
        <v>36</v>
      </c>
      <c r="F320" t="s">
        <v>21</v>
      </c>
      <c r="G320" t="s">
        <v>64</v>
      </c>
      <c r="H320">
        <v>565.04999999999995</v>
      </c>
      <c r="I320">
        <v>1</v>
      </c>
      <c r="J320">
        <v>155.21</v>
      </c>
      <c r="K320">
        <v>409.84</v>
      </c>
      <c r="L320" t="s">
        <v>327</v>
      </c>
      <c r="M320" t="s">
        <v>33</v>
      </c>
      <c r="N320">
        <v>38</v>
      </c>
      <c r="O320">
        <v>8</v>
      </c>
      <c r="P320" t="b">
        <v>0</v>
      </c>
      <c r="Q320">
        <v>5</v>
      </c>
      <c r="R320">
        <v>2</v>
      </c>
    </row>
    <row r="321" spans="1:18">
      <c r="A321" t="s">
        <v>682</v>
      </c>
      <c r="B321" t="s">
        <v>683</v>
      </c>
      <c r="C321" s="1">
        <v>45082</v>
      </c>
      <c r="D321">
        <v>30</v>
      </c>
      <c r="E321" t="s">
        <v>20</v>
      </c>
      <c r="F321" t="s">
        <v>27</v>
      </c>
      <c r="G321" t="s">
        <v>56</v>
      </c>
      <c r="H321">
        <v>584.54999999999995</v>
      </c>
      <c r="I321">
        <v>1</v>
      </c>
      <c r="J321">
        <v>0</v>
      </c>
      <c r="K321">
        <v>584.54999999999995</v>
      </c>
      <c r="L321" t="s">
        <v>327</v>
      </c>
      <c r="M321" t="s">
        <v>29</v>
      </c>
      <c r="N321">
        <v>6</v>
      </c>
      <c r="O321">
        <v>12</v>
      </c>
      <c r="P321" t="b">
        <v>0</v>
      </c>
      <c r="Q321">
        <v>5</v>
      </c>
      <c r="R321">
        <v>5</v>
      </c>
    </row>
    <row r="322" spans="1:18">
      <c r="A322" t="s">
        <v>684</v>
      </c>
      <c r="B322" t="s">
        <v>685</v>
      </c>
      <c r="C322" s="1">
        <v>45147</v>
      </c>
      <c r="D322">
        <v>42</v>
      </c>
      <c r="E322" t="s">
        <v>20</v>
      </c>
      <c r="F322" t="s">
        <v>52</v>
      </c>
      <c r="G322" t="s">
        <v>28</v>
      </c>
      <c r="H322">
        <v>161.82</v>
      </c>
      <c r="I322">
        <v>1</v>
      </c>
      <c r="J322">
        <v>0</v>
      </c>
      <c r="K322">
        <v>161.82</v>
      </c>
      <c r="L322" t="s">
        <v>327</v>
      </c>
      <c r="M322" t="s">
        <v>24</v>
      </c>
      <c r="N322">
        <v>6</v>
      </c>
      <c r="O322">
        <v>9</v>
      </c>
      <c r="P322" t="b">
        <v>1</v>
      </c>
      <c r="Q322">
        <v>8</v>
      </c>
      <c r="R322">
        <v>3</v>
      </c>
    </row>
    <row r="323" spans="1:18">
      <c r="A323" t="s">
        <v>686</v>
      </c>
      <c r="B323" t="s">
        <v>687</v>
      </c>
      <c r="C323" s="1">
        <v>45223</v>
      </c>
      <c r="D323">
        <v>31</v>
      </c>
      <c r="E323" t="s">
        <v>20</v>
      </c>
      <c r="F323" t="s">
        <v>52</v>
      </c>
      <c r="G323" t="s">
        <v>46</v>
      </c>
      <c r="H323">
        <v>178.05</v>
      </c>
      <c r="I323">
        <v>1</v>
      </c>
      <c r="J323">
        <v>0</v>
      </c>
      <c r="K323">
        <v>178.05</v>
      </c>
      <c r="L323" t="s">
        <v>327</v>
      </c>
      <c r="M323" t="s">
        <v>24</v>
      </c>
      <c r="N323">
        <v>5</v>
      </c>
      <c r="O323">
        <v>7</v>
      </c>
      <c r="P323" t="b">
        <v>0</v>
      </c>
      <c r="Q323">
        <v>11</v>
      </c>
      <c r="R323">
        <v>4</v>
      </c>
    </row>
    <row r="324" spans="1:18">
      <c r="A324" t="s">
        <v>688</v>
      </c>
      <c r="B324" t="s">
        <v>689</v>
      </c>
      <c r="C324" s="1">
        <v>45237</v>
      </c>
      <c r="D324">
        <v>38</v>
      </c>
      <c r="E324" t="s">
        <v>36</v>
      </c>
      <c r="F324" t="s">
        <v>27</v>
      </c>
      <c r="G324" t="s">
        <v>64</v>
      </c>
      <c r="H324">
        <v>1499.61</v>
      </c>
      <c r="I324">
        <v>1</v>
      </c>
      <c r="J324">
        <v>0</v>
      </c>
      <c r="K324">
        <v>1499.61</v>
      </c>
      <c r="L324" t="s">
        <v>327</v>
      </c>
      <c r="M324" t="s">
        <v>33</v>
      </c>
      <c r="N324">
        <v>9</v>
      </c>
      <c r="O324">
        <v>8</v>
      </c>
      <c r="P324" t="b">
        <v>0</v>
      </c>
      <c r="Q324">
        <v>6</v>
      </c>
      <c r="R324">
        <v>4</v>
      </c>
    </row>
    <row r="325" spans="1:18">
      <c r="A325" t="s">
        <v>690</v>
      </c>
      <c r="B325" t="s">
        <v>691</v>
      </c>
      <c r="C325" s="1">
        <v>45052</v>
      </c>
      <c r="D325">
        <v>32</v>
      </c>
      <c r="E325" t="s">
        <v>36</v>
      </c>
      <c r="F325" t="s">
        <v>32</v>
      </c>
      <c r="G325" t="s">
        <v>115</v>
      </c>
      <c r="H325">
        <v>131.96</v>
      </c>
      <c r="I325">
        <v>1</v>
      </c>
      <c r="J325">
        <v>0</v>
      </c>
      <c r="K325">
        <v>131.96</v>
      </c>
      <c r="L325" t="s">
        <v>692</v>
      </c>
      <c r="M325" t="s">
        <v>24</v>
      </c>
      <c r="N325">
        <v>17</v>
      </c>
      <c r="O325">
        <v>9</v>
      </c>
      <c r="P325" t="b">
        <v>1</v>
      </c>
      <c r="Q325">
        <v>4</v>
      </c>
      <c r="R325">
        <v>5</v>
      </c>
    </row>
    <row r="326" spans="1:18">
      <c r="A326" t="s">
        <v>693</v>
      </c>
      <c r="B326" t="s">
        <v>694</v>
      </c>
      <c r="C326" s="1">
        <v>45041</v>
      </c>
      <c r="D326">
        <v>53</v>
      </c>
      <c r="E326" t="s">
        <v>36</v>
      </c>
      <c r="F326" t="s">
        <v>52</v>
      </c>
      <c r="G326" t="s">
        <v>115</v>
      </c>
      <c r="H326">
        <v>53.11</v>
      </c>
      <c r="I326">
        <v>3</v>
      </c>
      <c r="J326">
        <v>8.92</v>
      </c>
      <c r="K326">
        <v>150.41</v>
      </c>
      <c r="L326" t="s">
        <v>692</v>
      </c>
      <c r="M326" t="s">
        <v>24</v>
      </c>
      <c r="N326">
        <v>19</v>
      </c>
      <c r="O326">
        <v>13</v>
      </c>
      <c r="P326" t="b">
        <v>1</v>
      </c>
      <c r="Q326">
        <v>2</v>
      </c>
      <c r="R326">
        <v>3</v>
      </c>
    </row>
    <row r="327" spans="1:18">
      <c r="A327" t="s">
        <v>695</v>
      </c>
      <c r="B327" t="s">
        <v>696</v>
      </c>
      <c r="C327" s="1">
        <v>45304</v>
      </c>
      <c r="D327">
        <v>29</v>
      </c>
      <c r="E327" t="s">
        <v>20</v>
      </c>
      <c r="F327" t="s">
        <v>52</v>
      </c>
      <c r="G327" t="s">
        <v>37</v>
      </c>
      <c r="H327">
        <v>58.93</v>
      </c>
      <c r="I327">
        <v>1</v>
      </c>
      <c r="J327">
        <v>3.04</v>
      </c>
      <c r="K327">
        <v>55.89</v>
      </c>
      <c r="L327" t="s">
        <v>692</v>
      </c>
      <c r="M327" t="s">
        <v>24</v>
      </c>
      <c r="N327">
        <v>13</v>
      </c>
      <c r="O327">
        <v>3</v>
      </c>
      <c r="P327" t="b">
        <v>0</v>
      </c>
      <c r="Q327">
        <v>14</v>
      </c>
      <c r="R327">
        <v>3</v>
      </c>
    </row>
    <row r="328" spans="1:18">
      <c r="A328" t="s">
        <v>697</v>
      </c>
      <c r="B328" t="s">
        <v>698</v>
      </c>
      <c r="C328" s="1">
        <v>44979</v>
      </c>
      <c r="D328">
        <v>41</v>
      </c>
      <c r="E328" t="s">
        <v>20</v>
      </c>
      <c r="F328" t="s">
        <v>76</v>
      </c>
      <c r="G328" t="s">
        <v>56</v>
      </c>
      <c r="H328">
        <v>114.37</v>
      </c>
      <c r="I328">
        <v>2</v>
      </c>
      <c r="J328">
        <v>13.61</v>
      </c>
      <c r="K328">
        <v>215.13</v>
      </c>
      <c r="L328" t="s">
        <v>692</v>
      </c>
      <c r="M328" t="s">
        <v>24</v>
      </c>
      <c r="N328">
        <v>22</v>
      </c>
      <c r="O328">
        <v>9</v>
      </c>
      <c r="P328" t="b">
        <v>1</v>
      </c>
      <c r="Q328">
        <v>5</v>
      </c>
      <c r="R328">
        <v>5</v>
      </c>
    </row>
    <row r="329" spans="1:18">
      <c r="A329" t="s">
        <v>699</v>
      </c>
      <c r="B329" t="s">
        <v>700</v>
      </c>
      <c r="C329" s="1">
        <v>45273</v>
      </c>
      <c r="D329">
        <v>29</v>
      </c>
      <c r="E329" t="s">
        <v>20</v>
      </c>
      <c r="F329" t="s">
        <v>76</v>
      </c>
      <c r="G329" t="s">
        <v>64</v>
      </c>
      <c r="H329">
        <v>770.72</v>
      </c>
      <c r="I329">
        <v>1</v>
      </c>
      <c r="J329">
        <v>0</v>
      </c>
      <c r="K329">
        <v>770.72</v>
      </c>
      <c r="L329" t="s">
        <v>692</v>
      </c>
      <c r="M329" t="s">
        <v>33</v>
      </c>
      <c r="N329">
        <v>11</v>
      </c>
      <c r="O329">
        <v>8</v>
      </c>
      <c r="P329" t="b">
        <v>1</v>
      </c>
      <c r="Q329">
        <v>11</v>
      </c>
      <c r="R329">
        <v>4</v>
      </c>
    </row>
    <row r="330" spans="1:18">
      <c r="A330" t="s">
        <v>701</v>
      </c>
      <c r="B330" t="s">
        <v>702</v>
      </c>
      <c r="C330" s="1">
        <v>45306</v>
      </c>
      <c r="D330">
        <v>29</v>
      </c>
      <c r="E330" t="s">
        <v>122</v>
      </c>
      <c r="F330" t="s">
        <v>32</v>
      </c>
      <c r="G330" t="s">
        <v>28</v>
      </c>
      <c r="H330">
        <v>218.03</v>
      </c>
      <c r="I330">
        <v>5</v>
      </c>
      <c r="J330">
        <v>0</v>
      </c>
      <c r="K330">
        <v>1090.1500000000001</v>
      </c>
      <c r="L330" t="s">
        <v>692</v>
      </c>
      <c r="M330" t="s">
        <v>33</v>
      </c>
      <c r="N330">
        <v>3</v>
      </c>
      <c r="O330">
        <v>8</v>
      </c>
      <c r="P330" t="b">
        <v>0</v>
      </c>
      <c r="Q330">
        <v>4</v>
      </c>
      <c r="R330">
        <v>3</v>
      </c>
    </row>
    <row r="331" spans="1:18">
      <c r="A331" t="s">
        <v>703</v>
      </c>
      <c r="B331" t="s">
        <v>704</v>
      </c>
      <c r="C331" s="1">
        <v>44971</v>
      </c>
      <c r="D331">
        <v>18</v>
      </c>
      <c r="E331" t="s">
        <v>36</v>
      </c>
      <c r="F331" t="s">
        <v>88</v>
      </c>
      <c r="G331" t="s">
        <v>115</v>
      </c>
      <c r="H331">
        <v>30.18</v>
      </c>
      <c r="I331">
        <v>1</v>
      </c>
      <c r="J331">
        <v>0</v>
      </c>
      <c r="K331">
        <v>30.18</v>
      </c>
      <c r="L331" t="s">
        <v>692</v>
      </c>
      <c r="M331" t="s">
        <v>24</v>
      </c>
      <c r="N331">
        <v>9</v>
      </c>
      <c r="O331">
        <v>9</v>
      </c>
      <c r="P331" t="b">
        <v>1</v>
      </c>
      <c r="Q331">
        <v>14</v>
      </c>
      <c r="R331">
        <v>3</v>
      </c>
    </row>
    <row r="332" spans="1:18">
      <c r="A332" t="s">
        <v>705</v>
      </c>
      <c r="B332" t="s">
        <v>706</v>
      </c>
      <c r="C332" s="1">
        <v>45229</v>
      </c>
      <c r="D332">
        <v>18</v>
      </c>
      <c r="E332" t="s">
        <v>20</v>
      </c>
      <c r="F332" t="s">
        <v>52</v>
      </c>
      <c r="G332" t="s">
        <v>46</v>
      </c>
      <c r="H332">
        <v>284.16000000000003</v>
      </c>
      <c r="I332">
        <v>1</v>
      </c>
      <c r="J332">
        <v>0</v>
      </c>
      <c r="K332">
        <v>284.16000000000003</v>
      </c>
      <c r="L332" t="s">
        <v>692</v>
      </c>
      <c r="M332" t="s">
        <v>33</v>
      </c>
      <c r="N332">
        <v>12</v>
      </c>
      <c r="O332">
        <v>16</v>
      </c>
      <c r="P332" t="b">
        <v>0</v>
      </c>
      <c r="Q332">
        <v>2</v>
      </c>
      <c r="R332">
        <v>3</v>
      </c>
    </row>
    <row r="333" spans="1:18">
      <c r="A333" t="s">
        <v>707</v>
      </c>
      <c r="B333" t="s">
        <v>708</v>
      </c>
      <c r="C333" s="1">
        <v>44974</v>
      </c>
      <c r="D333">
        <v>24</v>
      </c>
      <c r="E333" t="s">
        <v>36</v>
      </c>
      <c r="F333" t="s">
        <v>59</v>
      </c>
      <c r="G333" t="s">
        <v>64</v>
      </c>
      <c r="H333">
        <v>380.59</v>
      </c>
      <c r="I333">
        <v>1</v>
      </c>
      <c r="J333">
        <v>59.02</v>
      </c>
      <c r="K333">
        <v>321.57</v>
      </c>
      <c r="L333" t="s">
        <v>692</v>
      </c>
      <c r="M333" t="s">
        <v>24</v>
      </c>
      <c r="N333">
        <v>8</v>
      </c>
      <c r="O333">
        <v>10</v>
      </c>
      <c r="P333" t="b">
        <v>1</v>
      </c>
      <c r="Q333">
        <v>4</v>
      </c>
      <c r="R333">
        <v>5</v>
      </c>
    </row>
    <row r="334" spans="1:18">
      <c r="A334" t="s">
        <v>709</v>
      </c>
      <c r="B334" t="s">
        <v>710</v>
      </c>
      <c r="C334" s="1">
        <v>45038</v>
      </c>
      <c r="D334">
        <v>18</v>
      </c>
      <c r="E334" t="s">
        <v>36</v>
      </c>
      <c r="F334" t="s">
        <v>32</v>
      </c>
      <c r="G334" t="s">
        <v>28</v>
      </c>
      <c r="H334">
        <v>303.91000000000003</v>
      </c>
      <c r="I334">
        <v>1</v>
      </c>
      <c r="J334">
        <v>0</v>
      </c>
      <c r="K334">
        <v>303.91000000000003</v>
      </c>
      <c r="L334" t="s">
        <v>692</v>
      </c>
      <c r="M334" t="s">
        <v>24</v>
      </c>
      <c r="N334">
        <v>9</v>
      </c>
      <c r="O334">
        <v>4</v>
      </c>
      <c r="P334" t="b">
        <v>1</v>
      </c>
      <c r="Q334">
        <v>6</v>
      </c>
      <c r="R334">
        <v>1</v>
      </c>
    </row>
    <row r="335" spans="1:18">
      <c r="A335" t="s">
        <v>711</v>
      </c>
      <c r="B335" t="s">
        <v>712</v>
      </c>
      <c r="C335" s="1">
        <v>45046</v>
      </c>
      <c r="D335">
        <v>52</v>
      </c>
      <c r="E335" t="s">
        <v>36</v>
      </c>
      <c r="F335" t="s">
        <v>32</v>
      </c>
      <c r="G335" t="s">
        <v>22</v>
      </c>
      <c r="H335">
        <v>533.41</v>
      </c>
      <c r="I335">
        <v>1</v>
      </c>
      <c r="J335">
        <v>84.22</v>
      </c>
      <c r="K335">
        <v>449.19</v>
      </c>
      <c r="L335" t="s">
        <v>692</v>
      </c>
      <c r="M335" t="s">
        <v>33</v>
      </c>
      <c r="N335">
        <v>14</v>
      </c>
      <c r="O335">
        <v>6</v>
      </c>
      <c r="P335" t="b">
        <v>0</v>
      </c>
      <c r="Q335">
        <v>2</v>
      </c>
      <c r="R335">
        <v>5</v>
      </c>
    </row>
    <row r="336" spans="1:18">
      <c r="A336" t="s">
        <v>713</v>
      </c>
      <c r="B336" t="s">
        <v>714</v>
      </c>
      <c r="C336" s="1">
        <v>45185</v>
      </c>
      <c r="D336">
        <v>32</v>
      </c>
      <c r="E336" t="s">
        <v>20</v>
      </c>
      <c r="F336" t="s">
        <v>76</v>
      </c>
      <c r="G336" t="s">
        <v>53</v>
      </c>
      <c r="H336">
        <v>28.95</v>
      </c>
      <c r="I336">
        <v>1</v>
      </c>
      <c r="J336">
        <v>2.72</v>
      </c>
      <c r="K336">
        <v>26.23</v>
      </c>
      <c r="L336" t="s">
        <v>692</v>
      </c>
      <c r="M336" t="s">
        <v>33</v>
      </c>
      <c r="N336">
        <v>15</v>
      </c>
      <c r="O336">
        <v>10</v>
      </c>
      <c r="P336" t="b">
        <v>0</v>
      </c>
      <c r="Q336">
        <v>2</v>
      </c>
      <c r="R336">
        <v>5</v>
      </c>
    </row>
    <row r="337" spans="1:18">
      <c r="A337" t="s">
        <v>715</v>
      </c>
      <c r="B337" t="s">
        <v>716</v>
      </c>
      <c r="C337" s="1">
        <v>45235</v>
      </c>
      <c r="D337">
        <v>35</v>
      </c>
      <c r="E337" t="s">
        <v>36</v>
      </c>
      <c r="F337" t="s">
        <v>27</v>
      </c>
      <c r="G337" t="s">
        <v>46</v>
      </c>
      <c r="H337">
        <v>331.18</v>
      </c>
      <c r="I337">
        <v>1</v>
      </c>
      <c r="J337">
        <v>85.23</v>
      </c>
      <c r="K337">
        <v>245.95</v>
      </c>
      <c r="L337" t="s">
        <v>692</v>
      </c>
      <c r="M337" t="s">
        <v>33</v>
      </c>
      <c r="N337">
        <v>7</v>
      </c>
      <c r="O337">
        <v>9</v>
      </c>
      <c r="P337" t="b">
        <v>1</v>
      </c>
      <c r="Q337">
        <v>3</v>
      </c>
      <c r="R337">
        <v>5</v>
      </c>
    </row>
    <row r="338" spans="1:18">
      <c r="A338" t="s">
        <v>717</v>
      </c>
      <c r="B338" t="s">
        <v>718</v>
      </c>
      <c r="C338" s="1">
        <v>45039</v>
      </c>
      <c r="D338">
        <v>57</v>
      </c>
      <c r="E338" t="s">
        <v>20</v>
      </c>
      <c r="F338" t="s">
        <v>83</v>
      </c>
      <c r="G338" t="s">
        <v>115</v>
      </c>
      <c r="H338">
        <v>88.67</v>
      </c>
      <c r="I338">
        <v>1</v>
      </c>
      <c r="J338">
        <v>0</v>
      </c>
      <c r="K338">
        <v>88.67</v>
      </c>
      <c r="L338" t="s">
        <v>692</v>
      </c>
      <c r="M338" t="s">
        <v>24</v>
      </c>
      <c r="N338">
        <v>11</v>
      </c>
      <c r="O338">
        <v>8</v>
      </c>
      <c r="P338" t="b">
        <v>1</v>
      </c>
      <c r="Q338">
        <v>7</v>
      </c>
      <c r="R338">
        <v>2</v>
      </c>
    </row>
    <row r="339" spans="1:18">
      <c r="A339" t="s">
        <v>719</v>
      </c>
      <c r="B339" t="s">
        <v>720</v>
      </c>
      <c r="C339" s="1">
        <v>45156</v>
      </c>
      <c r="D339">
        <v>34</v>
      </c>
      <c r="E339" t="s">
        <v>36</v>
      </c>
      <c r="F339" t="s">
        <v>52</v>
      </c>
      <c r="G339" t="s">
        <v>53</v>
      </c>
      <c r="H339">
        <v>20.94</v>
      </c>
      <c r="I339">
        <v>2</v>
      </c>
      <c r="J339">
        <v>0</v>
      </c>
      <c r="K339">
        <v>41.88</v>
      </c>
      <c r="L339" t="s">
        <v>692</v>
      </c>
      <c r="M339" t="s">
        <v>24</v>
      </c>
      <c r="N339">
        <v>12</v>
      </c>
      <c r="O339">
        <v>10</v>
      </c>
      <c r="P339" t="b">
        <v>0</v>
      </c>
      <c r="Q339">
        <v>7</v>
      </c>
      <c r="R339">
        <v>2</v>
      </c>
    </row>
    <row r="340" spans="1:18">
      <c r="A340" t="s">
        <v>721</v>
      </c>
      <c r="B340" t="s">
        <v>722</v>
      </c>
      <c r="C340" s="1">
        <v>45069</v>
      </c>
      <c r="D340">
        <v>44</v>
      </c>
      <c r="E340" t="s">
        <v>36</v>
      </c>
      <c r="F340" t="s">
        <v>76</v>
      </c>
      <c r="G340" t="s">
        <v>64</v>
      </c>
      <c r="H340">
        <v>4703.2299999999996</v>
      </c>
      <c r="I340">
        <v>2</v>
      </c>
      <c r="J340">
        <v>0</v>
      </c>
      <c r="K340">
        <v>9406.4599999999991</v>
      </c>
      <c r="L340" t="s">
        <v>692</v>
      </c>
      <c r="M340" t="s">
        <v>33</v>
      </c>
      <c r="N340">
        <v>6</v>
      </c>
      <c r="O340">
        <v>9</v>
      </c>
      <c r="P340" t="b">
        <v>1</v>
      </c>
      <c r="Q340">
        <v>10</v>
      </c>
      <c r="R340">
        <v>1</v>
      </c>
    </row>
    <row r="341" spans="1:18">
      <c r="A341" t="s">
        <v>723</v>
      </c>
      <c r="B341" t="s">
        <v>724</v>
      </c>
      <c r="C341" s="1">
        <v>45315</v>
      </c>
      <c r="D341">
        <v>19</v>
      </c>
      <c r="E341" t="s">
        <v>20</v>
      </c>
      <c r="F341" t="s">
        <v>76</v>
      </c>
      <c r="G341" t="s">
        <v>46</v>
      </c>
      <c r="H341">
        <v>471.56</v>
      </c>
      <c r="I341">
        <v>1</v>
      </c>
      <c r="J341">
        <v>0</v>
      </c>
      <c r="K341">
        <v>471.56</v>
      </c>
      <c r="L341" t="s">
        <v>692</v>
      </c>
      <c r="M341" t="s">
        <v>29</v>
      </c>
      <c r="N341">
        <v>5</v>
      </c>
      <c r="O341">
        <v>10</v>
      </c>
      <c r="P341" t="b">
        <v>0</v>
      </c>
      <c r="Q341">
        <v>7</v>
      </c>
      <c r="R341">
        <v>5</v>
      </c>
    </row>
    <row r="342" spans="1:18">
      <c r="A342" t="s">
        <v>725</v>
      </c>
      <c r="B342" t="s">
        <v>726</v>
      </c>
      <c r="C342" s="1">
        <v>45143</v>
      </c>
      <c r="D342">
        <v>33</v>
      </c>
      <c r="E342" t="s">
        <v>36</v>
      </c>
      <c r="F342" t="s">
        <v>32</v>
      </c>
      <c r="G342" t="s">
        <v>28</v>
      </c>
      <c r="H342">
        <v>130.09</v>
      </c>
      <c r="I342">
        <v>5</v>
      </c>
      <c r="J342">
        <v>0</v>
      </c>
      <c r="K342">
        <v>650.45000000000005</v>
      </c>
      <c r="L342" t="s">
        <v>692</v>
      </c>
      <c r="M342" t="s">
        <v>29</v>
      </c>
      <c r="N342">
        <v>4</v>
      </c>
      <c r="O342">
        <v>12</v>
      </c>
      <c r="P342" t="b">
        <v>1</v>
      </c>
      <c r="Q342">
        <v>3</v>
      </c>
      <c r="R342">
        <v>5</v>
      </c>
    </row>
    <row r="343" spans="1:18">
      <c r="A343" t="s">
        <v>727</v>
      </c>
      <c r="B343" t="s">
        <v>728</v>
      </c>
      <c r="C343" s="1">
        <v>45099</v>
      </c>
      <c r="D343">
        <v>39</v>
      </c>
      <c r="E343" t="s">
        <v>20</v>
      </c>
      <c r="F343" t="s">
        <v>52</v>
      </c>
      <c r="G343" t="s">
        <v>28</v>
      </c>
      <c r="H343">
        <v>133.13999999999999</v>
      </c>
      <c r="I343">
        <v>2</v>
      </c>
      <c r="J343">
        <v>0</v>
      </c>
      <c r="K343">
        <v>266.27999999999997</v>
      </c>
      <c r="L343" t="s">
        <v>692</v>
      </c>
      <c r="M343" t="s">
        <v>33</v>
      </c>
      <c r="N343">
        <v>7</v>
      </c>
      <c r="O343">
        <v>11</v>
      </c>
      <c r="P343" t="b">
        <v>1</v>
      </c>
      <c r="Q343">
        <v>2</v>
      </c>
      <c r="R343">
        <v>5</v>
      </c>
    </row>
    <row r="344" spans="1:18">
      <c r="A344" t="s">
        <v>729</v>
      </c>
      <c r="B344" t="s">
        <v>730</v>
      </c>
      <c r="C344" s="1">
        <v>44974</v>
      </c>
      <c r="D344">
        <v>38</v>
      </c>
      <c r="E344" t="s">
        <v>36</v>
      </c>
      <c r="F344" t="s">
        <v>32</v>
      </c>
      <c r="G344" t="s">
        <v>64</v>
      </c>
      <c r="H344">
        <v>1222.3699999999999</v>
      </c>
      <c r="I344">
        <v>1</v>
      </c>
      <c r="J344">
        <v>0</v>
      </c>
      <c r="K344">
        <v>1222.3699999999999</v>
      </c>
      <c r="L344" t="s">
        <v>692</v>
      </c>
      <c r="M344" t="s">
        <v>33</v>
      </c>
      <c r="N344">
        <v>10</v>
      </c>
      <c r="O344">
        <v>10</v>
      </c>
      <c r="P344" t="b">
        <v>0</v>
      </c>
      <c r="Q344">
        <v>4</v>
      </c>
      <c r="R344">
        <v>4</v>
      </c>
    </row>
    <row r="345" spans="1:18">
      <c r="A345" t="s">
        <v>731</v>
      </c>
      <c r="B345" t="s">
        <v>732</v>
      </c>
      <c r="C345" s="1">
        <v>44976</v>
      </c>
      <c r="D345">
        <v>26</v>
      </c>
      <c r="E345" t="s">
        <v>20</v>
      </c>
      <c r="F345" t="s">
        <v>83</v>
      </c>
      <c r="G345" t="s">
        <v>46</v>
      </c>
      <c r="H345">
        <v>675.54</v>
      </c>
      <c r="I345">
        <v>2</v>
      </c>
      <c r="J345">
        <v>0</v>
      </c>
      <c r="K345">
        <v>1351.08</v>
      </c>
      <c r="L345" t="s">
        <v>692</v>
      </c>
      <c r="M345" t="s">
        <v>33</v>
      </c>
      <c r="N345">
        <v>16</v>
      </c>
      <c r="O345">
        <v>8</v>
      </c>
      <c r="P345" t="b">
        <v>1</v>
      </c>
      <c r="Q345">
        <v>11</v>
      </c>
      <c r="R345">
        <v>1</v>
      </c>
    </row>
    <row r="346" spans="1:18">
      <c r="A346" t="s">
        <v>733</v>
      </c>
      <c r="B346" t="s">
        <v>734</v>
      </c>
      <c r="C346" s="1">
        <v>45340</v>
      </c>
      <c r="D346">
        <v>38</v>
      </c>
      <c r="E346" t="s">
        <v>122</v>
      </c>
      <c r="F346" t="s">
        <v>59</v>
      </c>
      <c r="G346" t="s">
        <v>22</v>
      </c>
      <c r="H346">
        <v>187.42</v>
      </c>
      <c r="I346">
        <v>1</v>
      </c>
      <c r="J346">
        <v>0</v>
      </c>
      <c r="K346">
        <v>187.42</v>
      </c>
      <c r="L346" t="s">
        <v>692</v>
      </c>
      <c r="M346" t="s">
        <v>24</v>
      </c>
      <c r="N346">
        <v>9</v>
      </c>
      <c r="O346">
        <v>9</v>
      </c>
      <c r="P346" t="b">
        <v>0</v>
      </c>
      <c r="Q346">
        <v>6</v>
      </c>
      <c r="R346">
        <v>1</v>
      </c>
    </row>
    <row r="347" spans="1:18">
      <c r="A347" t="s">
        <v>735</v>
      </c>
      <c r="B347" t="s">
        <v>736</v>
      </c>
      <c r="C347" s="1">
        <v>44990</v>
      </c>
      <c r="D347">
        <v>20</v>
      </c>
      <c r="E347" t="s">
        <v>36</v>
      </c>
      <c r="F347" t="s">
        <v>73</v>
      </c>
      <c r="G347" t="s">
        <v>115</v>
      </c>
      <c r="H347">
        <v>137.93</v>
      </c>
      <c r="I347">
        <v>3</v>
      </c>
      <c r="J347">
        <v>36.19</v>
      </c>
      <c r="K347">
        <v>377.6</v>
      </c>
      <c r="L347" t="s">
        <v>692</v>
      </c>
      <c r="M347" t="s">
        <v>33</v>
      </c>
      <c r="N347">
        <v>11</v>
      </c>
      <c r="O347">
        <v>14</v>
      </c>
      <c r="P347" t="b">
        <v>1</v>
      </c>
      <c r="Q347">
        <v>11</v>
      </c>
      <c r="R347">
        <v>4</v>
      </c>
    </row>
    <row r="348" spans="1:18">
      <c r="A348" t="s">
        <v>737</v>
      </c>
      <c r="B348" t="s">
        <v>738</v>
      </c>
      <c r="C348" s="1">
        <v>45209</v>
      </c>
      <c r="D348">
        <v>34</v>
      </c>
      <c r="E348" t="s">
        <v>20</v>
      </c>
      <c r="F348" t="s">
        <v>88</v>
      </c>
      <c r="G348" t="s">
        <v>46</v>
      </c>
      <c r="H348">
        <v>515.91999999999996</v>
      </c>
      <c r="I348">
        <v>3</v>
      </c>
      <c r="J348">
        <v>0</v>
      </c>
      <c r="K348">
        <v>1547.76</v>
      </c>
      <c r="L348" t="s">
        <v>692</v>
      </c>
      <c r="M348" t="s">
        <v>33</v>
      </c>
      <c r="N348">
        <v>14</v>
      </c>
      <c r="O348">
        <v>7</v>
      </c>
      <c r="P348" t="b">
        <v>1</v>
      </c>
      <c r="Q348">
        <v>3</v>
      </c>
      <c r="R348">
        <v>1</v>
      </c>
    </row>
    <row r="349" spans="1:18">
      <c r="A349" t="s">
        <v>739</v>
      </c>
      <c r="B349" t="s">
        <v>740</v>
      </c>
      <c r="C349" s="1">
        <v>45077</v>
      </c>
      <c r="D349">
        <v>47</v>
      </c>
      <c r="E349" t="s">
        <v>36</v>
      </c>
      <c r="F349" t="s">
        <v>21</v>
      </c>
      <c r="G349" t="s">
        <v>64</v>
      </c>
      <c r="H349">
        <v>3208.37</v>
      </c>
      <c r="I349">
        <v>1</v>
      </c>
      <c r="J349">
        <v>595.11</v>
      </c>
      <c r="K349">
        <v>2613.2600000000002</v>
      </c>
      <c r="L349" t="s">
        <v>692</v>
      </c>
      <c r="M349" t="s">
        <v>29</v>
      </c>
      <c r="N349">
        <v>14</v>
      </c>
      <c r="O349">
        <v>13</v>
      </c>
      <c r="P349" t="b">
        <v>1</v>
      </c>
      <c r="Q349">
        <v>5</v>
      </c>
      <c r="R349">
        <v>3</v>
      </c>
    </row>
    <row r="350" spans="1:18">
      <c r="A350" t="s">
        <v>741</v>
      </c>
      <c r="B350" t="s">
        <v>742</v>
      </c>
      <c r="C350" s="1">
        <v>45248</v>
      </c>
      <c r="D350">
        <v>27</v>
      </c>
      <c r="E350" t="s">
        <v>36</v>
      </c>
      <c r="F350" t="s">
        <v>73</v>
      </c>
      <c r="G350" t="s">
        <v>46</v>
      </c>
      <c r="H350">
        <v>213.31</v>
      </c>
      <c r="I350">
        <v>1</v>
      </c>
      <c r="J350">
        <v>19.59</v>
      </c>
      <c r="K350">
        <v>193.72</v>
      </c>
      <c r="L350" t="s">
        <v>692</v>
      </c>
      <c r="M350" t="s">
        <v>33</v>
      </c>
      <c r="N350">
        <v>27</v>
      </c>
      <c r="O350">
        <v>8</v>
      </c>
      <c r="P350" t="b">
        <v>1</v>
      </c>
      <c r="Q350">
        <v>7</v>
      </c>
      <c r="R350">
        <v>5</v>
      </c>
    </row>
    <row r="351" spans="1:18">
      <c r="A351" t="s">
        <v>743</v>
      </c>
      <c r="B351" t="s">
        <v>744</v>
      </c>
      <c r="C351" s="1">
        <v>45287</v>
      </c>
      <c r="D351">
        <v>44</v>
      </c>
      <c r="E351" t="s">
        <v>20</v>
      </c>
      <c r="F351" t="s">
        <v>21</v>
      </c>
      <c r="G351" t="s">
        <v>53</v>
      </c>
      <c r="H351">
        <v>21.9</v>
      </c>
      <c r="I351">
        <v>4</v>
      </c>
      <c r="J351">
        <v>4.97</v>
      </c>
      <c r="K351">
        <v>82.63</v>
      </c>
      <c r="L351" t="s">
        <v>692</v>
      </c>
      <c r="M351" t="s">
        <v>29</v>
      </c>
      <c r="N351">
        <v>34</v>
      </c>
      <c r="O351">
        <v>14</v>
      </c>
      <c r="P351" t="b">
        <v>1</v>
      </c>
      <c r="Q351">
        <v>6</v>
      </c>
      <c r="R351">
        <v>5</v>
      </c>
    </row>
    <row r="352" spans="1:18">
      <c r="A352" t="s">
        <v>745</v>
      </c>
      <c r="B352" t="s">
        <v>746</v>
      </c>
      <c r="C352" s="1">
        <v>45265</v>
      </c>
      <c r="D352">
        <v>36</v>
      </c>
      <c r="E352" t="s">
        <v>20</v>
      </c>
      <c r="F352" t="s">
        <v>21</v>
      </c>
      <c r="G352" t="s">
        <v>37</v>
      </c>
      <c r="H352">
        <v>232.93</v>
      </c>
      <c r="I352">
        <v>2</v>
      </c>
      <c r="J352">
        <v>0</v>
      </c>
      <c r="K352">
        <v>465.86</v>
      </c>
      <c r="L352" t="s">
        <v>692</v>
      </c>
      <c r="M352" t="s">
        <v>33</v>
      </c>
      <c r="N352">
        <v>11</v>
      </c>
      <c r="O352">
        <v>6</v>
      </c>
      <c r="P352" t="b">
        <v>1</v>
      </c>
      <c r="Q352">
        <v>4</v>
      </c>
      <c r="R352">
        <v>4</v>
      </c>
    </row>
    <row r="353" spans="1:18">
      <c r="A353" t="s">
        <v>747</v>
      </c>
      <c r="B353" t="s">
        <v>748</v>
      </c>
      <c r="C353" s="1">
        <v>45075</v>
      </c>
      <c r="D353">
        <v>39</v>
      </c>
      <c r="E353" t="s">
        <v>36</v>
      </c>
      <c r="F353" t="s">
        <v>52</v>
      </c>
      <c r="G353" t="s">
        <v>56</v>
      </c>
      <c r="H353">
        <v>255.73</v>
      </c>
      <c r="I353">
        <v>5</v>
      </c>
      <c r="J353">
        <v>0</v>
      </c>
      <c r="K353">
        <v>1278.6500000000001</v>
      </c>
      <c r="L353" t="s">
        <v>692</v>
      </c>
      <c r="M353" t="s">
        <v>33</v>
      </c>
      <c r="N353">
        <v>12</v>
      </c>
      <c r="O353">
        <v>6</v>
      </c>
      <c r="P353" t="b">
        <v>0</v>
      </c>
      <c r="Q353">
        <v>6</v>
      </c>
      <c r="R353">
        <v>3</v>
      </c>
    </row>
    <row r="354" spans="1:18">
      <c r="A354" t="s">
        <v>749</v>
      </c>
      <c r="B354" t="s">
        <v>750</v>
      </c>
      <c r="C354" s="1">
        <v>45069</v>
      </c>
      <c r="D354">
        <v>28</v>
      </c>
      <c r="E354" t="s">
        <v>20</v>
      </c>
      <c r="F354" t="s">
        <v>59</v>
      </c>
      <c r="G354" t="s">
        <v>22</v>
      </c>
      <c r="H354">
        <v>386.18</v>
      </c>
      <c r="I354">
        <v>2</v>
      </c>
      <c r="J354">
        <v>83.42</v>
      </c>
      <c r="K354">
        <v>688.94</v>
      </c>
      <c r="L354" t="s">
        <v>692</v>
      </c>
      <c r="M354" t="s">
        <v>33</v>
      </c>
      <c r="N354">
        <v>7</v>
      </c>
      <c r="O354">
        <v>10</v>
      </c>
      <c r="P354" t="b">
        <v>1</v>
      </c>
      <c r="Q354">
        <v>3</v>
      </c>
      <c r="R354">
        <v>4</v>
      </c>
    </row>
    <row r="355" spans="1:18">
      <c r="A355" t="s">
        <v>751</v>
      </c>
      <c r="B355" t="s">
        <v>752</v>
      </c>
      <c r="C355" s="1">
        <v>45010</v>
      </c>
      <c r="D355">
        <v>31</v>
      </c>
      <c r="E355" t="s">
        <v>36</v>
      </c>
      <c r="F355" t="s">
        <v>21</v>
      </c>
      <c r="G355" t="s">
        <v>53</v>
      </c>
      <c r="H355">
        <v>23.79</v>
      </c>
      <c r="I355">
        <v>4</v>
      </c>
      <c r="J355">
        <v>6.27</v>
      </c>
      <c r="K355">
        <v>88.89</v>
      </c>
      <c r="L355" t="s">
        <v>692</v>
      </c>
      <c r="M355" t="s">
        <v>33</v>
      </c>
      <c r="N355">
        <v>15</v>
      </c>
      <c r="O355">
        <v>9</v>
      </c>
      <c r="P355" t="b">
        <v>0</v>
      </c>
      <c r="Q355">
        <v>11</v>
      </c>
      <c r="R355">
        <v>5</v>
      </c>
    </row>
    <row r="356" spans="1:18">
      <c r="A356" t="s">
        <v>753</v>
      </c>
      <c r="B356" t="s">
        <v>754</v>
      </c>
      <c r="C356" s="1">
        <v>45116</v>
      </c>
      <c r="D356">
        <v>30</v>
      </c>
      <c r="E356" t="s">
        <v>36</v>
      </c>
      <c r="F356" t="s">
        <v>32</v>
      </c>
      <c r="G356" t="s">
        <v>56</v>
      </c>
      <c r="H356">
        <v>583.94000000000005</v>
      </c>
      <c r="I356">
        <v>2</v>
      </c>
      <c r="J356">
        <v>0</v>
      </c>
      <c r="K356">
        <v>1167.8800000000001</v>
      </c>
      <c r="L356" t="s">
        <v>692</v>
      </c>
      <c r="M356" t="s">
        <v>24</v>
      </c>
      <c r="N356">
        <v>4</v>
      </c>
      <c r="O356">
        <v>8</v>
      </c>
      <c r="P356" t="b">
        <v>0</v>
      </c>
      <c r="Q356">
        <v>7</v>
      </c>
      <c r="R356">
        <v>5</v>
      </c>
    </row>
    <row r="357" spans="1:18">
      <c r="A357" t="s">
        <v>755</v>
      </c>
      <c r="B357" t="s">
        <v>756</v>
      </c>
      <c r="C357" s="1">
        <v>45286</v>
      </c>
      <c r="D357">
        <v>32</v>
      </c>
      <c r="E357" t="s">
        <v>36</v>
      </c>
      <c r="F357" t="s">
        <v>21</v>
      </c>
      <c r="G357" t="s">
        <v>46</v>
      </c>
      <c r="H357">
        <v>861.36</v>
      </c>
      <c r="I357">
        <v>2</v>
      </c>
      <c r="J357">
        <v>0</v>
      </c>
      <c r="K357">
        <v>1722.72</v>
      </c>
      <c r="L357" t="s">
        <v>692</v>
      </c>
      <c r="M357" t="s">
        <v>33</v>
      </c>
      <c r="N357">
        <v>21</v>
      </c>
      <c r="O357">
        <v>6</v>
      </c>
      <c r="P357" t="b">
        <v>0</v>
      </c>
      <c r="Q357">
        <v>14</v>
      </c>
      <c r="R357">
        <v>5</v>
      </c>
    </row>
    <row r="358" spans="1:18">
      <c r="A358" t="s">
        <v>757</v>
      </c>
      <c r="B358" t="s">
        <v>758</v>
      </c>
      <c r="C358" s="1">
        <v>45276</v>
      </c>
      <c r="D358">
        <v>18</v>
      </c>
      <c r="E358" t="s">
        <v>36</v>
      </c>
      <c r="F358" t="s">
        <v>21</v>
      </c>
      <c r="G358" t="s">
        <v>46</v>
      </c>
      <c r="H358">
        <v>572.97</v>
      </c>
      <c r="I358">
        <v>4</v>
      </c>
      <c r="J358">
        <v>0</v>
      </c>
      <c r="K358">
        <v>2291.88</v>
      </c>
      <c r="L358" t="s">
        <v>692</v>
      </c>
      <c r="M358" t="s">
        <v>33</v>
      </c>
      <c r="N358">
        <v>64</v>
      </c>
      <c r="O358">
        <v>6</v>
      </c>
      <c r="P358" t="b">
        <v>1</v>
      </c>
      <c r="Q358">
        <v>7</v>
      </c>
      <c r="R358">
        <v>3</v>
      </c>
    </row>
    <row r="359" spans="1:18">
      <c r="A359" t="s">
        <v>759</v>
      </c>
      <c r="B359" t="s">
        <v>760</v>
      </c>
      <c r="C359" s="1">
        <v>45258</v>
      </c>
      <c r="D359">
        <v>29</v>
      </c>
      <c r="E359" t="s">
        <v>20</v>
      </c>
      <c r="F359" t="s">
        <v>76</v>
      </c>
      <c r="G359" t="s">
        <v>56</v>
      </c>
      <c r="H359">
        <v>262.87</v>
      </c>
      <c r="I359">
        <v>1</v>
      </c>
      <c r="J359">
        <v>42.7</v>
      </c>
      <c r="K359">
        <v>220.17</v>
      </c>
      <c r="L359" t="s">
        <v>692</v>
      </c>
      <c r="M359" t="s">
        <v>33</v>
      </c>
      <c r="N359">
        <v>17</v>
      </c>
      <c r="O359">
        <v>8</v>
      </c>
      <c r="P359" t="b">
        <v>1</v>
      </c>
      <c r="Q359">
        <v>7</v>
      </c>
      <c r="R359">
        <v>4</v>
      </c>
    </row>
    <row r="360" spans="1:18">
      <c r="A360" t="s">
        <v>761</v>
      </c>
      <c r="B360" t="s">
        <v>762</v>
      </c>
      <c r="C360" s="1">
        <v>45238</v>
      </c>
      <c r="D360">
        <v>25</v>
      </c>
      <c r="E360" t="s">
        <v>36</v>
      </c>
      <c r="F360" t="s">
        <v>59</v>
      </c>
      <c r="G360" t="s">
        <v>56</v>
      </c>
      <c r="H360">
        <v>417.84</v>
      </c>
      <c r="I360">
        <v>5</v>
      </c>
      <c r="J360">
        <v>52.71</v>
      </c>
      <c r="K360">
        <v>2036.49</v>
      </c>
      <c r="L360" t="s">
        <v>692</v>
      </c>
      <c r="M360" t="s">
        <v>24</v>
      </c>
      <c r="N360">
        <v>6</v>
      </c>
      <c r="O360">
        <v>14</v>
      </c>
      <c r="P360" t="b">
        <v>1</v>
      </c>
      <c r="Q360">
        <v>6</v>
      </c>
      <c r="R360">
        <v>2</v>
      </c>
    </row>
    <row r="361" spans="1:18">
      <c r="A361" t="s">
        <v>763</v>
      </c>
      <c r="B361" t="s">
        <v>764</v>
      </c>
      <c r="C361" s="1">
        <v>45324</v>
      </c>
      <c r="D361">
        <v>24</v>
      </c>
      <c r="E361" t="s">
        <v>20</v>
      </c>
      <c r="F361" t="s">
        <v>52</v>
      </c>
      <c r="G361" t="s">
        <v>37</v>
      </c>
      <c r="H361">
        <v>64.77</v>
      </c>
      <c r="I361">
        <v>5</v>
      </c>
      <c r="J361">
        <v>0</v>
      </c>
      <c r="K361">
        <v>323.85000000000002</v>
      </c>
      <c r="L361" t="s">
        <v>692</v>
      </c>
      <c r="M361" t="s">
        <v>33</v>
      </c>
      <c r="N361">
        <v>27</v>
      </c>
      <c r="O361">
        <v>8</v>
      </c>
      <c r="P361" t="b">
        <v>0</v>
      </c>
      <c r="Q361">
        <v>2</v>
      </c>
      <c r="R361">
        <v>5</v>
      </c>
    </row>
    <row r="362" spans="1:18">
      <c r="A362" t="s">
        <v>765</v>
      </c>
      <c r="B362" t="s">
        <v>766</v>
      </c>
      <c r="C362" s="1">
        <v>45044</v>
      </c>
      <c r="D362">
        <v>18</v>
      </c>
      <c r="E362" t="s">
        <v>20</v>
      </c>
      <c r="F362" t="s">
        <v>88</v>
      </c>
      <c r="G362" t="s">
        <v>115</v>
      </c>
      <c r="H362">
        <v>126.06</v>
      </c>
      <c r="I362">
        <v>2</v>
      </c>
      <c r="J362">
        <v>0</v>
      </c>
      <c r="K362">
        <v>252.12</v>
      </c>
      <c r="L362" t="s">
        <v>692</v>
      </c>
      <c r="M362" t="s">
        <v>24</v>
      </c>
      <c r="N362">
        <v>28</v>
      </c>
      <c r="O362">
        <v>11</v>
      </c>
      <c r="P362" t="b">
        <v>1</v>
      </c>
      <c r="Q362">
        <v>8</v>
      </c>
      <c r="R362">
        <v>4</v>
      </c>
    </row>
    <row r="363" spans="1:18">
      <c r="A363" t="s">
        <v>767</v>
      </c>
      <c r="B363" t="s">
        <v>768</v>
      </c>
      <c r="C363" s="1">
        <v>45347</v>
      </c>
      <c r="D363">
        <v>42</v>
      </c>
      <c r="E363" t="s">
        <v>20</v>
      </c>
      <c r="F363" t="s">
        <v>32</v>
      </c>
      <c r="G363" t="s">
        <v>46</v>
      </c>
      <c r="H363">
        <v>500.35</v>
      </c>
      <c r="I363">
        <v>3</v>
      </c>
      <c r="J363">
        <v>0</v>
      </c>
      <c r="K363">
        <v>1501.05</v>
      </c>
      <c r="L363" t="s">
        <v>692</v>
      </c>
      <c r="M363" t="s">
        <v>24</v>
      </c>
      <c r="N363">
        <v>20</v>
      </c>
      <c r="O363">
        <v>7</v>
      </c>
      <c r="P363" t="b">
        <v>1</v>
      </c>
      <c r="Q363">
        <v>4</v>
      </c>
      <c r="R363">
        <v>2</v>
      </c>
    </row>
    <row r="364" spans="1:18">
      <c r="A364" t="s">
        <v>769</v>
      </c>
      <c r="B364" t="s">
        <v>770</v>
      </c>
      <c r="C364" s="1">
        <v>45339</v>
      </c>
      <c r="D364">
        <v>23</v>
      </c>
      <c r="E364" t="s">
        <v>36</v>
      </c>
      <c r="F364" t="s">
        <v>49</v>
      </c>
      <c r="G364" t="s">
        <v>22</v>
      </c>
      <c r="H364">
        <v>501.52</v>
      </c>
      <c r="I364">
        <v>2</v>
      </c>
      <c r="J364">
        <v>0</v>
      </c>
      <c r="K364">
        <v>1003.04</v>
      </c>
      <c r="L364" t="s">
        <v>692</v>
      </c>
      <c r="M364" t="s">
        <v>33</v>
      </c>
      <c r="N364">
        <v>1</v>
      </c>
      <c r="O364">
        <v>8</v>
      </c>
      <c r="P364" t="b">
        <v>1</v>
      </c>
      <c r="Q364">
        <v>10</v>
      </c>
      <c r="R364">
        <v>1</v>
      </c>
    </row>
    <row r="365" spans="1:18">
      <c r="A365" t="s">
        <v>771</v>
      </c>
      <c r="B365" t="s">
        <v>772</v>
      </c>
      <c r="C365" s="1">
        <v>45088</v>
      </c>
      <c r="D365">
        <v>28</v>
      </c>
      <c r="E365" t="s">
        <v>20</v>
      </c>
      <c r="F365" t="s">
        <v>52</v>
      </c>
      <c r="G365" t="s">
        <v>115</v>
      </c>
      <c r="H365">
        <v>93.22</v>
      </c>
      <c r="I365">
        <v>5</v>
      </c>
      <c r="J365">
        <v>0</v>
      </c>
      <c r="K365">
        <v>466.1</v>
      </c>
      <c r="L365" t="s">
        <v>692</v>
      </c>
      <c r="M365" t="s">
        <v>33</v>
      </c>
      <c r="N365">
        <v>13</v>
      </c>
      <c r="O365">
        <v>6</v>
      </c>
      <c r="P365" t="b">
        <v>1</v>
      </c>
      <c r="Q365">
        <v>2</v>
      </c>
      <c r="R365">
        <v>1</v>
      </c>
    </row>
    <row r="366" spans="1:18">
      <c r="A366" t="s">
        <v>773</v>
      </c>
      <c r="B366" t="s">
        <v>774</v>
      </c>
      <c r="C366" s="1">
        <v>45132</v>
      </c>
      <c r="D366">
        <v>36</v>
      </c>
      <c r="E366" t="s">
        <v>36</v>
      </c>
      <c r="F366" t="s">
        <v>49</v>
      </c>
      <c r="G366" t="s">
        <v>37</v>
      </c>
      <c r="H366">
        <v>38.58</v>
      </c>
      <c r="I366">
        <v>2</v>
      </c>
      <c r="J366">
        <v>0</v>
      </c>
      <c r="K366">
        <v>77.16</v>
      </c>
      <c r="L366" t="s">
        <v>692</v>
      </c>
      <c r="M366" t="s">
        <v>24</v>
      </c>
      <c r="N366">
        <v>11</v>
      </c>
      <c r="O366">
        <v>14</v>
      </c>
      <c r="P366" t="b">
        <v>0</v>
      </c>
      <c r="Q366">
        <v>2</v>
      </c>
      <c r="R366">
        <v>5</v>
      </c>
    </row>
    <row r="367" spans="1:18">
      <c r="A367" t="s">
        <v>775</v>
      </c>
      <c r="B367" t="s">
        <v>776</v>
      </c>
      <c r="C367" s="1">
        <v>45064</v>
      </c>
      <c r="D367">
        <v>28</v>
      </c>
      <c r="E367" t="s">
        <v>20</v>
      </c>
      <c r="F367" t="s">
        <v>32</v>
      </c>
      <c r="G367" t="s">
        <v>37</v>
      </c>
      <c r="H367">
        <v>164.8</v>
      </c>
      <c r="I367">
        <v>3</v>
      </c>
      <c r="J367">
        <v>30.29</v>
      </c>
      <c r="K367">
        <v>464.11</v>
      </c>
      <c r="L367" t="s">
        <v>692</v>
      </c>
      <c r="M367" t="s">
        <v>33</v>
      </c>
      <c r="N367">
        <v>10</v>
      </c>
      <c r="O367">
        <v>9</v>
      </c>
      <c r="P367" t="b">
        <v>0</v>
      </c>
      <c r="Q367">
        <v>11</v>
      </c>
      <c r="R367">
        <v>2</v>
      </c>
    </row>
    <row r="368" spans="1:18">
      <c r="A368" t="s">
        <v>777</v>
      </c>
      <c r="B368" t="s">
        <v>778</v>
      </c>
      <c r="C368" s="1">
        <v>45035</v>
      </c>
      <c r="D368">
        <v>35</v>
      </c>
      <c r="E368" t="s">
        <v>20</v>
      </c>
      <c r="F368" t="s">
        <v>49</v>
      </c>
      <c r="G368" t="s">
        <v>37</v>
      </c>
      <c r="H368">
        <v>137.06</v>
      </c>
      <c r="I368">
        <v>3</v>
      </c>
      <c r="J368">
        <v>28.04</v>
      </c>
      <c r="K368">
        <v>383.14</v>
      </c>
      <c r="L368" t="s">
        <v>692</v>
      </c>
      <c r="M368" t="s">
        <v>33</v>
      </c>
      <c r="N368">
        <v>14</v>
      </c>
      <c r="O368">
        <v>13</v>
      </c>
      <c r="P368" t="b">
        <v>1</v>
      </c>
      <c r="Q368">
        <v>4</v>
      </c>
      <c r="R368">
        <v>5</v>
      </c>
    </row>
    <row r="369" spans="1:18">
      <c r="A369" t="s">
        <v>779</v>
      </c>
      <c r="B369" t="s">
        <v>780</v>
      </c>
      <c r="C369" s="1">
        <v>45375</v>
      </c>
      <c r="D369">
        <v>40</v>
      </c>
      <c r="E369" t="s">
        <v>36</v>
      </c>
      <c r="F369" t="s">
        <v>88</v>
      </c>
      <c r="G369" t="s">
        <v>46</v>
      </c>
      <c r="H369">
        <v>660.6</v>
      </c>
      <c r="I369">
        <v>2</v>
      </c>
      <c r="J369">
        <v>0</v>
      </c>
      <c r="K369">
        <v>1321.2</v>
      </c>
      <c r="L369" t="s">
        <v>692</v>
      </c>
      <c r="M369" t="s">
        <v>33</v>
      </c>
      <c r="N369">
        <v>24</v>
      </c>
      <c r="O369">
        <v>7</v>
      </c>
      <c r="P369" t="b">
        <v>1</v>
      </c>
      <c r="Q369">
        <v>4</v>
      </c>
      <c r="R369">
        <v>3</v>
      </c>
    </row>
    <row r="370" spans="1:18">
      <c r="A370" t="s">
        <v>781</v>
      </c>
      <c r="B370" t="s">
        <v>782</v>
      </c>
      <c r="C370" s="1">
        <v>45088</v>
      </c>
      <c r="D370">
        <v>53</v>
      </c>
      <c r="E370" t="s">
        <v>36</v>
      </c>
      <c r="F370" t="s">
        <v>32</v>
      </c>
      <c r="G370" t="s">
        <v>115</v>
      </c>
      <c r="H370">
        <v>176.88</v>
      </c>
      <c r="I370">
        <v>1</v>
      </c>
      <c r="J370">
        <v>0</v>
      </c>
      <c r="K370">
        <v>176.88</v>
      </c>
      <c r="L370" t="s">
        <v>692</v>
      </c>
      <c r="M370" t="s">
        <v>24</v>
      </c>
      <c r="N370">
        <v>9</v>
      </c>
      <c r="O370">
        <v>5</v>
      </c>
      <c r="P370" t="b">
        <v>1</v>
      </c>
      <c r="Q370">
        <v>4</v>
      </c>
      <c r="R370">
        <v>4</v>
      </c>
    </row>
    <row r="371" spans="1:18">
      <c r="A371" t="s">
        <v>783</v>
      </c>
      <c r="B371" t="s">
        <v>784</v>
      </c>
      <c r="C371" s="1">
        <v>45035</v>
      </c>
      <c r="D371">
        <v>25</v>
      </c>
      <c r="E371" t="s">
        <v>36</v>
      </c>
      <c r="F371" t="s">
        <v>83</v>
      </c>
      <c r="G371" t="s">
        <v>56</v>
      </c>
      <c r="H371">
        <v>662.8</v>
      </c>
      <c r="I371">
        <v>2</v>
      </c>
      <c r="J371">
        <v>0</v>
      </c>
      <c r="K371">
        <v>1325.6</v>
      </c>
      <c r="L371" t="s">
        <v>692</v>
      </c>
      <c r="M371" t="s">
        <v>24</v>
      </c>
      <c r="N371">
        <v>6</v>
      </c>
      <c r="O371">
        <v>9</v>
      </c>
      <c r="P371" t="b">
        <v>1</v>
      </c>
      <c r="Q371">
        <v>12</v>
      </c>
      <c r="R371">
        <v>4</v>
      </c>
    </row>
    <row r="372" spans="1:18">
      <c r="A372" t="s">
        <v>785</v>
      </c>
      <c r="B372" t="s">
        <v>786</v>
      </c>
      <c r="C372" s="1">
        <v>45262</v>
      </c>
      <c r="D372">
        <v>31</v>
      </c>
      <c r="E372" t="s">
        <v>36</v>
      </c>
      <c r="F372" t="s">
        <v>21</v>
      </c>
      <c r="G372" t="s">
        <v>28</v>
      </c>
      <c r="H372">
        <v>69.540000000000006</v>
      </c>
      <c r="I372">
        <v>1</v>
      </c>
      <c r="J372">
        <v>6.55</v>
      </c>
      <c r="K372">
        <v>62.99</v>
      </c>
      <c r="L372" t="s">
        <v>692</v>
      </c>
      <c r="M372" t="s">
        <v>33</v>
      </c>
      <c r="N372">
        <v>23</v>
      </c>
      <c r="O372">
        <v>6</v>
      </c>
      <c r="P372" t="b">
        <v>1</v>
      </c>
      <c r="Q372">
        <v>11</v>
      </c>
      <c r="R372">
        <v>5</v>
      </c>
    </row>
    <row r="373" spans="1:18">
      <c r="A373" t="s">
        <v>787</v>
      </c>
      <c r="B373" t="s">
        <v>788</v>
      </c>
      <c r="C373" s="1">
        <v>44998</v>
      </c>
      <c r="D373">
        <v>38</v>
      </c>
      <c r="E373" t="s">
        <v>36</v>
      </c>
      <c r="F373" t="s">
        <v>73</v>
      </c>
      <c r="G373" t="s">
        <v>115</v>
      </c>
      <c r="H373">
        <v>71.14</v>
      </c>
      <c r="I373">
        <v>4</v>
      </c>
      <c r="J373">
        <v>9.1300000000000008</v>
      </c>
      <c r="K373">
        <v>275.43</v>
      </c>
      <c r="L373" t="s">
        <v>692</v>
      </c>
      <c r="M373" t="s">
        <v>24</v>
      </c>
      <c r="N373">
        <v>15</v>
      </c>
      <c r="O373">
        <v>9</v>
      </c>
      <c r="P373" t="b">
        <v>1</v>
      </c>
      <c r="Q373">
        <v>1</v>
      </c>
      <c r="R373">
        <v>2</v>
      </c>
    </row>
    <row r="374" spans="1:18">
      <c r="A374" t="s">
        <v>789</v>
      </c>
      <c r="B374" t="s">
        <v>790</v>
      </c>
      <c r="C374" s="1">
        <v>45308</v>
      </c>
      <c r="D374">
        <v>20</v>
      </c>
      <c r="E374" t="s">
        <v>36</v>
      </c>
      <c r="F374" t="s">
        <v>73</v>
      </c>
      <c r="G374" t="s">
        <v>37</v>
      </c>
      <c r="H374">
        <v>42.62</v>
      </c>
      <c r="I374">
        <v>2</v>
      </c>
      <c r="J374">
        <v>0</v>
      </c>
      <c r="K374">
        <v>85.24</v>
      </c>
      <c r="L374" t="s">
        <v>692</v>
      </c>
      <c r="M374" t="s">
        <v>33</v>
      </c>
      <c r="N374">
        <v>38</v>
      </c>
      <c r="O374">
        <v>9</v>
      </c>
      <c r="P374" t="b">
        <v>0</v>
      </c>
      <c r="Q374">
        <v>4</v>
      </c>
      <c r="R374">
        <v>3</v>
      </c>
    </row>
    <row r="375" spans="1:18">
      <c r="A375" t="s">
        <v>791</v>
      </c>
      <c r="B375" t="s">
        <v>792</v>
      </c>
      <c r="C375" s="1">
        <v>45202</v>
      </c>
      <c r="D375">
        <v>41</v>
      </c>
      <c r="E375" t="s">
        <v>20</v>
      </c>
      <c r="F375" t="s">
        <v>32</v>
      </c>
      <c r="G375" t="s">
        <v>115</v>
      </c>
      <c r="H375">
        <v>173.47</v>
      </c>
      <c r="I375">
        <v>2</v>
      </c>
      <c r="J375">
        <v>0</v>
      </c>
      <c r="K375">
        <v>346.94</v>
      </c>
      <c r="L375" t="s">
        <v>692</v>
      </c>
      <c r="M375" t="s">
        <v>33</v>
      </c>
      <c r="N375">
        <v>1</v>
      </c>
      <c r="O375">
        <v>13</v>
      </c>
      <c r="P375" t="b">
        <v>1</v>
      </c>
      <c r="Q375">
        <v>17</v>
      </c>
      <c r="R375">
        <v>3</v>
      </c>
    </row>
    <row r="376" spans="1:18">
      <c r="A376" t="s">
        <v>793</v>
      </c>
      <c r="B376" t="s">
        <v>794</v>
      </c>
      <c r="C376" s="1">
        <v>45131</v>
      </c>
      <c r="D376">
        <v>38</v>
      </c>
      <c r="E376" t="s">
        <v>36</v>
      </c>
      <c r="F376" t="s">
        <v>76</v>
      </c>
      <c r="G376" t="s">
        <v>56</v>
      </c>
      <c r="H376">
        <v>257.99</v>
      </c>
      <c r="I376">
        <v>1</v>
      </c>
      <c r="J376">
        <v>0</v>
      </c>
      <c r="K376">
        <v>257.99</v>
      </c>
      <c r="L376" t="s">
        <v>692</v>
      </c>
      <c r="M376" t="s">
        <v>29</v>
      </c>
      <c r="N376">
        <v>14</v>
      </c>
      <c r="O376">
        <v>6</v>
      </c>
      <c r="P376" t="b">
        <v>0</v>
      </c>
      <c r="Q376">
        <v>7</v>
      </c>
      <c r="R376">
        <v>4</v>
      </c>
    </row>
    <row r="377" spans="1:18">
      <c r="A377" t="s">
        <v>795</v>
      </c>
      <c r="B377" t="s">
        <v>796</v>
      </c>
      <c r="C377" s="1">
        <v>44997</v>
      </c>
      <c r="D377">
        <v>40</v>
      </c>
      <c r="E377" t="s">
        <v>20</v>
      </c>
      <c r="F377" t="s">
        <v>59</v>
      </c>
      <c r="G377" t="s">
        <v>22</v>
      </c>
      <c r="H377">
        <v>351.6</v>
      </c>
      <c r="I377">
        <v>4</v>
      </c>
      <c r="J377">
        <v>0</v>
      </c>
      <c r="K377">
        <v>1406.4</v>
      </c>
      <c r="L377" t="s">
        <v>692</v>
      </c>
      <c r="M377" t="s">
        <v>33</v>
      </c>
      <c r="N377">
        <v>3</v>
      </c>
      <c r="O377">
        <v>8</v>
      </c>
      <c r="P377" t="b">
        <v>0</v>
      </c>
      <c r="Q377">
        <v>19</v>
      </c>
      <c r="R377">
        <v>3</v>
      </c>
    </row>
    <row r="378" spans="1:18">
      <c r="A378" t="s">
        <v>797</v>
      </c>
      <c r="B378" t="s">
        <v>798</v>
      </c>
      <c r="C378" s="1">
        <v>45179</v>
      </c>
      <c r="D378">
        <v>42</v>
      </c>
      <c r="E378" t="s">
        <v>20</v>
      </c>
      <c r="F378" t="s">
        <v>73</v>
      </c>
      <c r="G378" t="s">
        <v>37</v>
      </c>
      <c r="H378">
        <v>38.5</v>
      </c>
      <c r="I378">
        <v>1</v>
      </c>
      <c r="J378">
        <v>7.72</v>
      </c>
      <c r="K378">
        <v>30.78</v>
      </c>
      <c r="L378" t="s">
        <v>692</v>
      </c>
      <c r="M378" t="s">
        <v>24</v>
      </c>
      <c r="N378">
        <v>14</v>
      </c>
      <c r="O378">
        <v>6</v>
      </c>
      <c r="P378" t="b">
        <v>1</v>
      </c>
      <c r="Q378">
        <v>9</v>
      </c>
      <c r="R378">
        <v>4</v>
      </c>
    </row>
    <row r="379" spans="1:18">
      <c r="A379" t="s">
        <v>799</v>
      </c>
      <c r="B379" t="s">
        <v>800</v>
      </c>
      <c r="C379" s="1">
        <v>44973</v>
      </c>
      <c r="D379">
        <v>23</v>
      </c>
      <c r="E379" t="s">
        <v>20</v>
      </c>
      <c r="F379" t="s">
        <v>32</v>
      </c>
      <c r="G379" t="s">
        <v>64</v>
      </c>
      <c r="H379">
        <v>2365.5</v>
      </c>
      <c r="I379">
        <v>2</v>
      </c>
      <c r="J379">
        <v>0</v>
      </c>
      <c r="K379">
        <v>4731</v>
      </c>
      <c r="L379" t="s">
        <v>692</v>
      </c>
      <c r="M379" t="s">
        <v>24</v>
      </c>
      <c r="N379">
        <v>16</v>
      </c>
      <c r="O379">
        <v>8</v>
      </c>
      <c r="P379" t="b">
        <v>1</v>
      </c>
      <c r="Q379">
        <v>3</v>
      </c>
      <c r="R379">
        <v>4</v>
      </c>
    </row>
    <row r="380" spans="1:18">
      <c r="A380" t="s">
        <v>801</v>
      </c>
      <c r="B380" t="s">
        <v>802</v>
      </c>
      <c r="C380" s="1">
        <v>45005</v>
      </c>
      <c r="D380">
        <v>39</v>
      </c>
      <c r="E380" t="s">
        <v>20</v>
      </c>
      <c r="F380" t="s">
        <v>88</v>
      </c>
      <c r="G380" t="s">
        <v>115</v>
      </c>
      <c r="H380">
        <v>85.71</v>
      </c>
      <c r="I380">
        <v>1</v>
      </c>
      <c r="J380">
        <v>0</v>
      </c>
      <c r="K380">
        <v>85.71</v>
      </c>
      <c r="L380" t="s">
        <v>692</v>
      </c>
      <c r="M380" t="s">
        <v>33</v>
      </c>
      <c r="N380">
        <v>16</v>
      </c>
      <c r="O380">
        <v>12</v>
      </c>
      <c r="P380" t="b">
        <v>1</v>
      </c>
      <c r="Q380">
        <v>8</v>
      </c>
      <c r="R380">
        <v>5</v>
      </c>
    </row>
    <row r="381" spans="1:18">
      <c r="A381" t="s">
        <v>803</v>
      </c>
      <c r="B381" t="s">
        <v>804</v>
      </c>
      <c r="C381" s="1">
        <v>45008</v>
      </c>
      <c r="D381">
        <v>57</v>
      </c>
      <c r="E381" t="s">
        <v>20</v>
      </c>
      <c r="F381" t="s">
        <v>52</v>
      </c>
      <c r="G381" t="s">
        <v>28</v>
      </c>
      <c r="H381">
        <v>236.55</v>
      </c>
      <c r="I381">
        <v>3</v>
      </c>
      <c r="J381">
        <v>0</v>
      </c>
      <c r="K381">
        <v>709.65</v>
      </c>
      <c r="L381" t="s">
        <v>692</v>
      </c>
      <c r="M381" t="s">
        <v>24</v>
      </c>
      <c r="N381">
        <v>11</v>
      </c>
      <c r="O381">
        <v>10</v>
      </c>
      <c r="P381" t="b">
        <v>0</v>
      </c>
      <c r="Q381">
        <v>6</v>
      </c>
      <c r="R381">
        <v>3</v>
      </c>
    </row>
    <row r="382" spans="1:18">
      <c r="A382" t="s">
        <v>805</v>
      </c>
      <c r="B382" t="s">
        <v>806</v>
      </c>
      <c r="C382" s="1">
        <v>45275</v>
      </c>
      <c r="D382">
        <v>25</v>
      </c>
      <c r="E382" t="s">
        <v>36</v>
      </c>
      <c r="F382" t="s">
        <v>59</v>
      </c>
      <c r="G382" t="s">
        <v>28</v>
      </c>
      <c r="H382">
        <v>58.14</v>
      </c>
      <c r="I382">
        <v>1</v>
      </c>
      <c r="J382">
        <v>0</v>
      </c>
      <c r="K382">
        <v>58.14</v>
      </c>
      <c r="L382" t="s">
        <v>692</v>
      </c>
      <c r="M382" t="s">
        <v>24</v>
      </c>
      <c r="N382">
        <v>12</v>
      </c>
      <c r="O382">
        <v>5</v>
      </c>
      <c r="P382" t="b">
        <v>1</v>
      </c>
      <c r="Q382">
        <v>7</v>
      </c>
      <c r="R382">
        <v>3</v>
      </c>
    </row>
    <row r="383" spans="1:18">
      <c r="A383" t="s">
        <v>807</v>
      </c>
      <c r="B383" t="s">
        <v>808</v>
      </c>
      <c r="C383" s="1">
        <v>45143</v>
      </c>
      <c r="D383">
        <v>24</v>
      </c>
      <c r="E383" t="s">
        <v>36</v>
      </c>
      <c r="F383" t="s">
        <v>88</v>
      </c>
      <c r="G383" t="s">
        <v>37</v>
      </c>
      <c r="H383">
        <v>99.2</v>
      </c>
      <c r="I383">
        <v>1</v>
      </c>
      <c r="J383">
        <v>0</v>
      </c>
      <c r="K383">
        <v>99.2</v>
      </c>
      <c r="L383" t="s">
        <v>692</v>
      </c>
      <c r="M383" t="s">
        <v>24</v>
      </c>
      <c r="N383">
        <v>13</v>
      </c>
      <c r="O383">
        <v>10</v>
      </c>
      <c r="P383" t="b">
        <v>1</v>
      </c>
      <c r="Q383">
        <v>3</v>
      </c>
      <c r="R383">
        <v>3</v>
      </c>
    </row>
    <row r="384" spans="1:18">
      <c r="A384" t="s">
        <v>809</v>
      </c>
      <c r="B384" t="s">
        <v>810</v>
      </c>
      <c r="C384" s="1">
        <v>45122</v>
      </c>
      <c r="D384">
        <v>38</v>
      </c>
      <c r="E384" t="s">
        <v>20</v>
      </c>
      <c r="F384" t="s">
        <v>32</v>
      </c>
      <c r="G384" t="s">
        <v>22</v>
      </c>
      <c r="H384">
        <v>176.32</v>
      </c>
      <c r="I384">
        <v>1</v>
      </c>
      <c r="J384">
        <v>0</v>
      </c>
      <c r="K384">
        <v>176.32</v>
      </c>
      <c r="L384" t="s">
        <v>692</v>
      </c>
      <c r="M384" t="s">
        <v>24</v>
      </c>
      <c r="N384">
        <v>19</v>
      </c>
      <c r="O384">
        <v>14</v>
      </c>
      <c r="P384" t="b">
        <v>0</v>
      </c>
      <c r="Q384">
        <v>5</v>
      </c>
      <c r="R384">
        <v>5</v>
      </c>
    </row>
    <row r="385" spans="1:18">
      <c r="A385" t="s">
        <v>811</v>
      </c>
      <c r="B385" t="s">
        <v>812</v>
      </c>
      <c r="C385" s="1">
        <v>45055</v>
      </c>
      <c r="D385">
        <v>31</v>
      </c>
      <c r="E385" t="s">
        <v>36</v>
      </c>
      <c r="F385" t="s">
        <v>27</v>
      </c>
      <c r="G385" t="s">
        <v>64</v>
      </c>
      <c r="H385">
        <v>3135.28</v>
      </c>
      <c r="I385">
        <v>1</v>
      </c>
      <c r="J385">
        <v>286.99</v>
      </c>
      <c r="K385">
        <v>2848.29</v>
      </c>
      <c r="L385" t="s">
        <v>692</v>
      </c>
      <c r="M385" t="s">
        <v>33</v>
      </c>
      <c r="N385">
        <v>28</v>
      </c>
      <c r="O385">
        <v>13</v>
      </c>
      <c r="P385" t="b">
        <v>0</v>
      </c>
      <c r="Q385">
        <v>3</v>
      </c>
      <c r="R385">
        <v>4</v>
      </c>
    </row>
    <row r="386" spans="1:18">
      <c r="A386" t="s">
        <v>813</v>
      </c>
      <c r="B386" t="s">
        <v>814</v>
      </c>
      <c r="C386" s="1">
        <v>45210</v>
      </c>
      <c r="D386">
        <v>67</v>
      </c>
      <c r="E386" t="s">
        <v>20</v>
      </c>
      <c r="F386" t="s">
        <v>49</v>
      </c>
      <c r="G386" t="s">
        <v>37</v>
      </c>
      <c r="H386">
        <v>144.91999999999999</v>
      </c>
      <c r="I386">
        <v>5</v>
      </c>
      <c r="J386">
        <v>18.88</v>
      </c>
      <c r="K386">
        <v>705.72</v>
      </c>
      <c r="L386" t="s">
        <v>692</v>
      </c>
      <c r="M386" t="s">
        <v>24</v>
      </c>
      <c r="N386">
        <v>4</v>
      </c>
      <c r="O386">
        <v>7</v>
      </c>
      <c r="P386" t="b">
        <v>1</v>
      </c>
      <c r="Q386">
        <v>6</v>
      </c>
      <c r="R386">
        <v>5</v>
      </c>
    </row>
    <row r="387" spans="1:18">
      <c r="A387" t="s">
        <v>815</v>
      </c>
      <c r="B387" t="s">
        <v>816</v>
      </c>
      <c r="C387" s="1">
        <v>44932</v>
      </c>
      <c r="D387">
        <v>24</v>
      </c>
      <c r="E387" t="s">
        <v>36</v>
      </c>
      <c r="F387" t="s">
        <v>32</v>
      </c>
      <c r="G387" t="s">
        <v>64</v>
      </c>
      <c r="H387">
        <v>164.61</v>
      </c>
      <c r="I387">
        <v>1</v>
      </c>
      <c r="J387">
        <v>28.42</v>
      </c>
      <c r="K387">
        <v>136.19</v>
      </c>
      <c r="L387" t="s">
        <v>692</v>
      </c>
      <c r="M387" t="s">
        <v>33</v>
      </c>
      <c r="N387">
        <v>15</v>
      </c>
      <c r="O387">
        <v>12</v>
      </c>
      <c r="P387" t="b">
        <v>1</v>
      </c>
      <c r="Q387">
        <v>7</v>
      </c>
      <c r="R387">
        <v>4</v>
      </c>
    </row>
    <row r="388" spans="1:18">
      <c r="A388" t="s">
        <v>817</v>
      </c>
      <c r="B388" t="s">
        <v>818</v>
      </c>
      <c r="C388" s="1">
        <v>45311</v>
      </c>
      <c r="D388">
        <v>34</v>
      </c>
      <c r="E388" t="s">
        <v>20</v>
      </c>
      <c r="F388" t="s">
        <v>32</v>
      </c>
      <c r="G388" t="s">
        <v>64</v>
      </c>
      <c r="H388">
        <v>2258.91</v>
      </c>
      <c r="I388">
        <v>3</v>
      </c>
      <c r="J388">
        <v>0</v>
      </c>
      <c r="K388">
        <v>6776.73</v>
      </c>
      <c r="L388" t="s">
        <v>692</v>
      </c>
      <c r="M388" t="s">
        <v>24</v>
      </c>
      <c r="N388">
        <v>10</v>
      </c>
      <c r="O388">
        <v>14</v>
      </c>
      <c r="P388" t="b">
        <v>1</v>
      </c>
      <c r="Q388">
        <v>9</v>
      </c>
      <c r="R388">
        <v>2</v>
      </c>
    </row>
    <row r="389" spans="1:18">
      <c r="A389" t="s">
        <v>819</v>
      </c>
      <c r="B389" t="s">
        <v>820</v>
      </c>
      <c r="C389" s="1">
        <v>45063</v>
      </c>
      <c r="D389">
        <v>24</v>
      </c>
      <c r="E389" t="s">
        <v>20</v>
      </c>
      <c r="F389" t="s">
        <v>73</v>
      </c>
      <c r="G389" t="s">
        <v>64</v>
      </c>
      <c r="H389">
        <v>2019.23</v>
      </c>
      <c r="I389">
        <v>3</v>
      </c>
      <c r="J389">
        <v>0</v>
      </c>
      <c r="K389">
        <v>6057.69</v>
      </c>
      <c r="L389" t="s">
        <v>692</v>
      </c>
      <c r="M389" t="s">
        <v>24</v>
      </c>
      <c r="N389">
        <v>6</v>
      </c>
      <c r="O389">
        <v>8</v>
      </c>
      <c r="P389" t="b">
        <v>1</v>
      </c>
      <c r="Q389">
        <v>9</v>
      </c>
      <c r="R389">
        <v>5</v>
      </c>
    </row>
    <row r="390" spans="1:18">
      <c r="A390" t="s">
        <v>821</v>
      </c>
      <c r="B390" t="s">
        <v>822</v>
      </c>
      <c r="C390" s="1">
        <v>45255</v>
      </c>
      <c r="D390">
        <v>29</v>
      </c>
      <c r="E390" t="s">
        <v>20</v>
      </c>
      <c r="F390" t="s">
        <v>32</v>
      </c>
      <c r="G390" t="s">
        <v>28</v>
      </c>
      <c r="H390">
        <v>675.6</v>
      </c>
      <c r="I390">
        <v>1</v>
      </c>
      <c r="J390">
        <v>0</v>
      </c>
      <c r="K390">
        <v>675.6</v>
      </c>
      <c r="L390" t="s">
        <v>692</v>
      </c>
      <c r="M390" t="s">
        <v>24</v>
      </c>
      <c r="N390">
        <v>4</v>
      </c>
      <c r="O390">
        <v>10</v>
      </c>
      <c r="P390" t="b">
        <v>0</v>
      </c>
      <c r="Q390">
        <v>2</v>
      </c>
      <c r="R390">
        <v>5</v>
      </c>
    </row>
    <row r="391" spans="1:18">
      <c r="A391" t="s">
        <v>823</v>
      </c>
      <c r="B391" t="s">
        <v>824</v>
      </c>
      <c r="C391" s="1">
        <v>45101</v>
      </c>
      <c r="D391">
        <v>45</v>
      </c>
      <c r="E391" t="s">
        <v>36</v>
      </c>
      <c r="F391" t="s">
        <v>59</v>
      </c>
      <c r="G391" t="s">
        <v>22</v>
      </c>
      <c r="H391">
        <v>224.13</v>
      </c>
      <c r="I391">
        <v>1</v>
      </c>
      <c r="J391">
        <v>47.75</v>
      </c>
      <c r="K391">
        <v>176.38</v>
      </c>
      <c r="L391" t="s">
        <v>692</v>
      </c>
      <c r="M391" t="s">
        <v>33</v>
      </c>
      <c r="N391">
        <v>12</v>
      </c>
      <c r="O391">
        <v>7</v>
      </c>
      <c r="P391" t="b">
        <v>1</v>
      </c>
      <c r="Q391">
        <v>5</v>
      </c>
      <c r="R391">
        <v>5</v>
      </c>
    </row>
    <row r="392" spans="1:18">
      <c r="A392" t="s">
        <v>825</v>
      </c>
      <c r="B392" t="s">
        <v>826</v>
      </c>
      <c r="C392" s="1">
        <v>44984</v>
      </c>
      <c r="D392">
        <v>37</v>
      </c>
      <c r="E392" t="s">
        <v>20</v>
      </c>
      <c r="F392" t="s">
        <v>73</v>
      </c>
      <c r="G392" t="s">
        <v>64</v>
      </c>
      <c r="H392">
        <v>2450.69</v>
      </c>
      <c r="I392">
        <v>1</v>
      </c>
      <c r="J392">
        <v>0</v>
      </c>
      <c r="K392">
        <v>2450.69</v>
      </c>
      <c r="L392" t="s">
        <v>692</v>
      </c>
      <c r="M392" t="s">
        <v>24</v>
      </c>
      <c r="N392">
        <v>31</v>
      </c>
      <c r="O392">
        <v>8</v>
      </c>
      <c r="P392" t="b">
        <v>1</v>
      </c>
      <c r="Q392">
        <v>6</v>
      </c>
      <c r="R392">
        <v>4</v>
      </c>
    </row>
    <row r="393" spans="1:18">
      <c r="A393" t="s">
        <v>827</v>
      </c>
      <c r="B393" t="s">
        <v>828</v>
      </c>
      <c r="C393" s="1">
        <v>45159</v>
      </c>
      <c r="D393">
        <v>24</v>
      </c>
      <c r="E393" t="s">
        <v>36</v>
      </c>
      <c r="F393" t="s">
        <v>88</v>
      </c>
      <c r="G393" t="s">
        <v>115</v>
      </c>
      <c r="H393">
        <v>68.58</v>
      </c>
      <c r="I393">
        <v>4</v>
      </c>
      <c r="J393">
        <v>0</v>
      </c>
      <c r="K393">
        <v>274.32</v>
      </c>
      <c r="L393" t="s">
        <v>692</v>
      </c>
      <c r="M393" t="s">
        <v>33</v>
      </c>
      <c r="N393">
        <v>22</v>
      </c>
      <c r="O393">
        <v>14</v>
      </c>
      <c r="P393" t="b">
        <v>1</v>
      </c>
      <c r="Q393">
        <v>3</v>
      </c>
      <c r="R393">
        <v>2</v>
      </c>
    </row>
    <row r="394" spans="1:18">
      <c r="A394" t="s">
        <v>829</v>
      </c>
      <c r="B394" t="s">
        <v>830</v>
      </c>
      <c r="C394" s="1">
        <v>44928</v>
      </c>
      <c r="D394">
        <v>36</v>
      </c>
      <c r="E394" t="s">
        <v>20</v>
      </c>
      <c r="F394" t="s">
        <v>32</v>
      </c>
      <c r="G394" t="s">
        <v>53</v>
      </c>
      <c r="H394">
        <v>81.91</v>
      </c>
      <c r="I394">
        <v>1</v>
      </c>
      <c r="J394">
        <v>0</v>
      </c>
      <c r="K394">
        <v>81.91</v>
      </c>
      <c r="L394" t="s">
        <v>692</v>
      </c>
      <c r="M394" t="s">
        <v>33</v>
      </c>
      <c r="N394">
        <v>8</v>
      </c>
      <c r="O394">
        <v>14</v>
      </c>
      <c r="P394" t="b">
        <v>1</v>
      </c>
      <c r="Q394">
        <v>6</v>
      </c>
      <c r="R394">
        <v>4</v>
      </c>
    </row>
    <row r="395" spans="1:18">
      <c r="A395" t="s">
        <v>831</v>
      </c>
      <c r="B395" t="s">
        <v>832</v>
      </c>
      <c r="C395" s="1">
        <v>45296</v>
      </c>
      <c r="D395">
        <v>35</v>
      </c>
      <c r="E395" t="s">
        <v>20</v>
      </c>
      <c r="F395" t="s">
        <v>52</v>
      </c>
      <c r="G395" t="s">
        <v>56</v>
      </c>
      <c r="H395">
        <v>341.94</v>
      </c>
      <c r="I395">
        <v>2</v>
      </c>
      <c r="J395">
        <v>84.41</v>
      </c>
      <c r="K395">
        <v>599.47</v>
      </c>
      <c r="L395" t="s">
        <v>692</v>
      </c>
      <c r="M395" t="s">
        <v>33</v>
      </c>
      <c r="N395">
        <v>18</v>
      </c>
      <c r="O395">
        <v>9</v>
      </c>
      <c r="P395" t="b">
        <v>1</v>
      </c>
      <c r="Q395">
        <v>6</v>
      </c>
      <c r="R395">
        <v>4</v>
      </c>
    </row>
    <row r="396" spans="1:18">
      <c r="A396" t="s">
        <v>833</v>
      </c>
      <c r="B396" t="s">
        <v>834</v>
      </c>
      <c r="C396" s="1">
        <v>45375</v>
      </c>
      <c r="D396">
        <v>21</v>
      </c>
      <c r="E396" t="s">
        <v>20</v>
      </c>
      <c r="F396" t="s">
        <v>88</v>
      </c>
      <c r="G396" t="s">
        <v>22</v>
      </c>
      <c r="H396">
        <v>96.08</v>
      </c>
      <c r="I396">
        <v>2</v>
      </c>
      <c r="J396">
        <v>0</v>
      </c>
      <c r="K396">
        <v>192.16</v>
      </c>
      <c r="L396" t="s">
        <v>692</v>
      </c>
      <c r="M396" t="s">
        <v>24</v>
      </c>
      <c r="N396">
        <v>24</v>
      </c>
      <c r="O396">
        <v>6</v>
      </c>
      <c r="P396" t="b">
        <v>1</v>
      </c>
      <c r="Q396">
        <v>4</v>
      </c>
      <c r="R396">
        <v>5</v>
      </c>
    </row>
    <row r="397" spans="1:18">
      <c r="A397" t="s">
        <v>835</v>
      </c>
      <c r="B397" t="s">
        <v>836</v>
      </c>
      <c r="C397" s="1">
        <v>45295</v>
      </c>
      <c r="D397">
        <v>39</v>
      </c>
      <c r="E397" t="s">
        <v>36</v>
      </c>
      <c r="F397" t="s">
        <v>88</v>
      </c>
      <c r="G397" t="s">
        <v>22</v>
      </c>
      <c r="H397">
        <v>341.14</v>
      </c>
      <c r="I397">
        <v>4</v>
      </c>
      <c r="J397">
        <v>0</v>
      </c>
      <c r="K397">
        <v>1364.56</v>
      </c>
      <c r="L397" t="s">
        <v>692</v>
      </c>
      <c r="M397" t="s">
        <v>33</v>
      </c>
      <c r="N397">
        <v>8</v>
      </c>
      <c r="O397">
        <v>9</v>
      </c>
      <c r="P397" t="b">
        <v>1</v>
      </c>
      <c r="Q397">
        <v>9</v>
      </c>
      <c r="R397">
        <v>2</v>
      </c>
    </row>
    <row r="398" spans="1:18">
      <c r="A398" t="s">
        <v>837</v>
      </c>
      <c r="B398" t="s">
        <v>838</v>
      </c>
      <c r="C398" s="1">
        <v>45317</v>
      </c>
      <c r="D398">
        <v>47</v>
      </c>
      <c r="E398" t="s">
        <v>36</v>
      </c>
      <c r="F398" t="s">
        <v>27</v>
      </c>
      <c r="G398" t="s">
        <v>46</v>
      </c>
      <c r="H398">
        <v>345.35</v>
      </c>
      <c r="I398">
        <v>1</v>
      </c>
      <c r="J398">
        <v>0</v>
      </c>
      <c r="K398">
        <v>345.35</v>
      </c>
      <c r="L398" t="s">
        <v>692</v>
      </c>
      <c r="M398" t="s">
        <v>24</v>
      </c>
      <c r="N398">
        <v>19</v>
      </c>
      <c r="O398">
        <v>5</v>
      </c>
      <c r="P398" t="b">
        <v>0</v>
      </c>
      <c r="Q398">
        <v>12</v>
      </c>
      <c r="R398">
        <v>4</v>
      </c>
    </row>
    <row r="399" spans="1:18">
      <c r="A399" t="s">
        <v>839</v>
      </c>
      <c r="B399" t="s">
        <v>840</v>
      </c>
      <c r="C399" s="1">
        <v>45372</v>
      </c>
      <c r="D399">
        <v>41</v>
      </c>
      <c r="E399" t="s">
        <v>20</v>
      </c>
      <c r="F399" t="s">
        <v>21</v>
      </c>
      <c r="G399" t="s">
        <v>53</v>
      </c>
      <c r="H399">
        <v>53.93</v>
      </c>
      <c r="I399">
        <v>2</v>
      </c>
      <c r="J399">
        <v>0</v>
      </c>
      <c r="K399">
        <v>107.86</v>
      </c>
      <c r="L399" t="s">
        <v>692</v>
      </c>
      <c r="M399" t="s">
        <v>33</v>
      </c>
      <c r="N399">
        <v>25</v>
      </c>
      <c r="O399">
        <v>11</v>
      </c>
      <c r="P399" t="b">
        <v>1</v>
      </c>
      <c r="Q399">
        <v>6</v>
      </c>
      <c r="R399">
        <v>5</v>
      </c>
    </row>
    <row r="400" spans="1:18">
      <c r="A400" t="s">
        <v>841</v>
      </c>
      <c r="B400" t="s">
        <v>842</v>
      </c>
      <c r="C400" s="1">
        <v>45357</v>
      </c>
      <c r="D400">
        <v>41</v>
      </c>
      <c r="E400" t="s">
        <v>36</v>
      </c>
      <c r="F400" t="s">
        <v>21</v>
      </c>
      <c r="G400" t="s">
        <v>46</v>
      </c>
      <c r="H400">
        <v>629.32000000000005</v>
      </c>
      <c r="I400">
        <v>1</v>
      </c>
      <c r="J400">
        <v>0</v>
      </c>
      <c r="K400">
        <v>629.32000000000005</v>
      </c>
      <c r="L400" t="s">
        <v>692</v>
      </c>
      <c r="M400" t="s">
        <v>29</v>
      </c>
      <c r="N400">
        <v>16</v>
      </c>
      <c r="O400">
        <v>5</v>
      </c>
      <c r="P400" t="b">
        <v>0</v>
      </c>
      <c r="Q400">
        <v>11</v>
      </c>
      <c r="R400">
        <v>4</v>
      </c>
    </row>
    <row r="401" spans="1:18">
      <c r="A401" t="s">
        <v>843</v>
      </c>
      <c r="B401" t="s">
        <v>844</v>
      </c>
      <c r="C401" s="1">
        <v>45009</v>
      </c>
      <c r="D401">
        <v>29</v>
      </c>
      <c r="E401" t="s">
        <v>36</v>
      </c>
      <c r="F401" t="s">
        <v>73</v>
      </c>
      <c r="G401" t="s">
        <v>53</v>
      </c>
      <c r="H401">
        <v>30.85</v>
      </c>
      <c r="I401">
        <v>1</v>
      </c>
      <c r="J401">
        <v>0</v>
      </c>
      <c r="K401">
        <v>30.85</v>
      </c>
      <c r="L401" t="s">
        <v>692</v>
      </c>
      <c r="M401" t="s">
        <v>33</v>
      </c>
      <c r="N401">
        <v>5</v>
      </c>
      <c r="O401">
        <v>10</v>
      </c>
      <c r="P401" t="b">
        <v>0</v>
      </c>
      <c r="Q401">
        <v>3</v>
      </c>
      <c r="R401">
        <v>5</v>
      </c>
    </row>
    <row r="402" spans="1:18">
      <c r="A402" t="s">
        <v>845</v>
      </c>
      <c r="B402" t="s">
        <v>846</v>
      </c>
      <c r="C402" s="1">
        <v>45203</v>
      </c>
      <c r="D402">
        <v>35</v>
      </c>
      <c r="E402" t="s">
        <v>36</v>
      </c>
      <c r="F402" t="s">
        <v>73</v>
      </c>
      <c r="G402" t="s">
        <v>28</v>
      </c>
      <c r="H402">
        <v>288.72000000000003</v>
      </c>
      <c r="I402">
        <v>2</v>
      </c>
      <c r="J402">
        <v>59.37</v>
      </c>
      <c r="K402">
        <v>518.07000000000005</v>
      </c>
      <c r="L402" t="s">
        <v>692</v>
      </c>
      <c r="M402" t="s">
        <v>33</v>
      </c>
      <c r="N402">
        <v>12</v>
      </c>
      <c r="O402">
        <v>11</v>
      </c>
      <c r="P402" t="b">
        <v>1</v>
      </c>
      <c r="Q402">
        <v>7</v>
      </c>
      <c r="R402">
        <v>5</v>
      </c>
    </row>
    <row r="403" spans="1:18">
      <c r="A403" t="s">
        <v>847</v>
      </c>
      <c r="B403" t="s">
        <v>848</v>
      </c>
      <c r="C403" s="1">
        <v>45325</v>
      </c>
      <c r="D403">
        <v>62</v>
      </c>
      <c r="E403" t="s">
        <v>20</v>
      </c>
      <c r="F403" t="s">
        <v>88</v>
      </c>
      <c r="G403" t="s">
        <v>46</v>
      </c>
      <c r="H403">
        <v>953.88</v>
      </c>
      <c r="I403">
        <v>2</v>
      </c>
      <c r="J403">
        <v>0</v>
      </c>
      <c r="K403">
        <v>1907.76</v>
      </c>
      <c r="L403" t="s">
        <v>692</v>
      </c>
      <c r="M403" t="s">
        <v>33</v>
      </c>
      <c r="N403">
        <v>14</v>
      </c>
      <c r="O403">
        <v>11</v>
      </c>
      <c r="P403" t="b">
        <v>1</v>
      </c>
      <c r="Q403">
        <v>3</v>
      </c>
      <c r="R403">
        <v>5</v>
      </c>
    </row>
    <row r="404" spans="1:18">
      <c r="A404" t="s">
        <v>849</v>
      </c>
      <c r="B404" t="s">
        <v>850</v>
      </c>
      <c r="C404" s="1">
        <v>44927</v>
      </c>
      <c r="D404">
        <v>43</v>
      </c>
      <c r="E404" t="s">
        <v>36</v>
      </c>
      <c r="F404" t="s">
        <v>32</v>
      </c>
      <c r="G404" t="s">
        <v>37</v>
      </c>
      <c r="H404">
        <v>122.46</v>
      </c>
      <c r="I404">
        <v>1</v>
      </c>
      <c r="J404">
        <v>0</v>
      </c>
      <c r="K404">
        <v>122.46</v>
      </c>
      <c r="L404" t="s">
        <v>692</v>
      </c>
      <c r="M404" t="s">
        <v>33</v>
      </c>
      <c r="N404">
        <v>14</v>
      </c>
      <c r="O404">
        <v>9</v>
      </c>
      <c r="P404" t="b">
        <v>1</v>
      </c>
      <c r="Q404">
        <v>9</v>
      </c>
      <c r="R404">
        <v>5</v>
      </c>
    </row>
    <row r="405" spans="1:18">
      <c r="A405" t="s">
        <v>851</v>
      </c>
      <c r="B405" t="s">
        <v>852</v>
      </c>
      <c r="C405" s="1">
        <v>45092</v>
      </c>
      <c r="D405">
        <v>29</v>
      </c>
      <c r="E405" t="s">
        <v>20</v>
      </c>
      <c r="F405" t="s">
        <v>21</v>
      </c>
      <c r="G405" t="s">
        <v>46</v>
      </c>
      <c r="H405">
        <v>377.34</v>
      </c>
      <c r="I405">
        <v>3</v>
      </c>
      <c r="J405">
        <v>0</v>
      </c>
      <c r="K405">
        <v>1132.02</v>
      </c>
      <c r="L405" t="s">
        <v>692</v>
      </c>
      <c r="M405" t="s">
        <v>33</v>
      </c>
      <c r="N405">
        <v>22</v>
      </c>
      <c r="O405">
        <v>4</v>
      </c>
      <c r="P405" t="b">
        <v>0</v>
      </c>
      <c r="Q405">
        <v>3</v>
      </c>
      <c r="R405">
        <v>4</v>
      </c>
    </row>
    <row r="406" spans="1:18">
      <c r="A406" t="s">
        <v>853</v>
      </c>
      <c r="B406" t="s">
        <v>854</v>
      </c>
      <c r="C406" s="1">
        <v>44984</v>
      </c>
      <c r="D406">
        <v>22</v>
      </c>
      <c r="E406" t="s">
        <v>36</v>
      </c>
      <c r="F406" t="s">
        <v>21</v>
      </c>
      <c r="G406" t="s">
        <v>56</v>
      </c>
      <c r="H406">
        <v>654.97</v>
      </c>
      <c r="I406">
        <v>4</v>
      </c>
      <c r="J406">
        <v>195.13</v>
      </c>
      <c r="K406">
        <v>2424.75</v>
      </c>
      <c r="L406" t="s">
        <v>692</v>
      </c>
      <c r="M406" t="s">
        <v>33</v>
      </c>
      <c r="N406">
        <v>3</v>
      </c>
      <c r="O406">
        <v>16</v>
      </c>
      <c r="P406" t="b">
        <v>1</v>
      </c>
      <c r="Q406">
        <v>10</v>
      </c>
      <c r="R406">
        <v>5</v>
      </c>
    </row>
    <row r="407" spans="1:18">
      <c r="A407" t="s">
        <v>855</v>
      </c>
      <c r="B407" t="s">
        <v>856</v>
      </c>
      <c r="C407" s="1">
        <v>45352</v>
      </c>
      <c r="D407">
        <v>26</v>
      </c>
      <c r="E407" t="s">
        <v>36</v>
      </c>
      <c r="F407" t="s">
        <v>32</v>
      </c>
      <c r="G407" t="s">
        <v>22</v>
      </c>
      <c r="H407">
        <v>380.48</v>
      </c>
      <c r="I407">
        <v>2</v>
      </c>
      <c r="J407">
        <v>54.13</v>
      </c>
      <c r="K407">
        <v>706.83</v>
      </c>
      <c r="L407" t="s">
        <v>692</v>
      </c>
      <c r="M407" t="s">
        <v>33</v>
      </c>
      <c r="N407">
        <v>3</v>
      </c>
      <c r="O407">
        <v>8</v>
      </c>
      <c r="P407" t="b">
        <v>0</v>
      </c>
      <c r="Q407">
        <v>2</v>
      </c>
      <c r="R407">
        <v>1</v>
      </c>
    </row>
    <row r="408" spans="1:18">
      <c r="A408" t="s">
        <v>857</v>
      </c>
      <c r="B408" t="s">
        <v>858</v>
      </c>
      <c r="C408" s="1">
        <v>44956</v>
      </c>
      <c r="D408">
        <v>60</v>
      </c>
      <c r="E408" t="s">
        <v>36</v>
      </c>
      <c r="F408" t="s">
        <v>52</v>
      </c>
      <c r="G408" t="s">
        <v>46</v>
      </c>
      <c r="H408">
        <v>785.55</v>
      </c>
      <c r="I408">
        <v>1</v>
      </c>
      <c r="J408">
        <v>0</v>
      </c>
      <c r="K408">
        <v>785.55</v>
      </c>
      <c r="L408" t="s">
        <v>692</v>
      </c>
      <c r="M408" t="s">
        <v>33</v>
      </c>
      <c r="N408">
        <v>1</v>
      </c>
      <c r="O408">
        <v>11</v>
      </c>
      <c r="P408" t="b">
        <v>1</v>
      </c>
      <c r="Q408">
        <v>9</v>
      </c>
      <c r="R408">
        <v>4</v>
      </c>
    </row>
    <row r="409" spans="1:18">
      <c r="A409" t="s">
        <v>859</v>
      </c>
      <c r="B409" t="s">
        <v>860</v>
      </c>
      <c r="C409" s="1">
        <v>45301</v>
      </c>
      <c r="D409">
        <v>25</v>
      </c>
      <c r="E409" t="s">
        <v>36</v>
      </c>
      <c r="F409" t="s">
        <v>49</v>
      </c>
      <c r="G409" t="s">
        <v>22</v>
      </c>
      <c r="H409">
        <v>193.18</v>
      </c>
      <c r="I409">
        <v>4</v>
      </c>
      <c r="J409">
        <v>0</v>
      </c>
      <c r="K409">
        <v>772.72</v>
      </c>
      <c r="L409" t="s">
        <v>692</v>
      </c>
      <c r="M409" t="s">
        <v>33</v>
      </c>
      <c r="N409">
        <v>15</v>
      </c>
      <c r="O409">
        <v>7</v>
      </c>
      <c r="P409" t="b">
        <v>0</v>
      </c>
      <c r="Q409">
        <v>5</v>
      </c>
      <c r="R409">
        <v>1</v>
      </c>
    </row>
    <row r="410" spans="1:18">
      <c r="A410" t="s">
        <v>861</v>
      </c>
      <c r="B410" t="s">
        <v>862</v>
      </c>
      <c r="C410" s="1">
        <v>45175</v>
      </c>
      <c r="D410">
        <v>33</v>
      </c>
      <c r="E410" t="s">
        <v>20</v>
      </c>
      <c r="F410" t="s">
        <v>76</v>
      </c>
      <c r="G410" t="s">
        <v>46</v>
      </c>
      <c r="H410">
        <v>458.12</v>
      </c>
      <c r="I410">
        <v>1</v>
      </c>
      <c r="J410">
        <v>0</v>
      </c>
      <c r="K410">
        <v>458.12</v>
      </c>
      <c r="L410" t="s">
        <v>692</v>
      </c>
      <c r="M410" t="s">
        <v>33</v>
      </c>
      <c r="N410">
        <v>9</v>
      </c>
      <c r="O410">
        <v>13</v>
      </c>
      <c r="P410" t="b">
        <v>1</v>
      </c>
      <c r="Q410">
        <v>9</v>
      </c>
      <c r="R410">
        <v>5</v>
      </c>
    </row>
    <row r="411" spans="1:18">
      <c r="A411" t="s">
        <v>863</v>
      </c>
      <c r="B411" t="s">
        <v>864</v>
      </c>
      <c r="C411" s="1">
        <v>45344</v>
      </c>
      <c r="D411">
        <v>41</v>
      </c>
      <c r="E411" t="s">
        <v>20</v>
      </c>
      <c r="F411" t="s">
        <v>49</v>
      </c>
      <c r="G411" t="s">
        <v>115</v>
      </c>
      <c r="H411">
        <v>99.82</v>
      </c>
      <c r="I411">
        <v>1</v>
      </c>
      <c r="J411">
        <v>0</v>
      </c>
      <c r="K411">
        <v>99.82</v>
      </c>
      <c r="L411" t="s">
        <v>692</v>
      </c>
      <c r="M411" t="s">
        <v>33</v>
      </c>
      <c r="N411">
        <v>22</v>
      </c>
      <c r="O411">
        <v>8</v>
      </c>
      <c r="P411" t="b">
        <v>0</v>
      </c>
      <c r="Q411">
        <v>4</v>
      </c>
      <c r="R411">
        <v>4</v>
      </c>
    </row>
    <row r="412" spans="1:18">
      <c r="A412" t="s">
        <v>865</v>
      </c>
      <c r="B412" t="s">
        <v>866</v>
      </c>
      <c r="C412" s="1">
        <v>45316</v>
      </c>
      <c r="D412">
        <v>20</v>
      </c>
      <c r="E412" t="s">
        <v>36</v>
      </c>
      <c r="F412" t="s">
        <v>32</v>
      </c>
      <c r="G412" t="s">
        <v>46</v>
      </c>
      <c r="H412">
        <v>308.55</v>
      </c>
      <c r="I412">
        <v>3</v>
      </c>
      <c r="J412">
        <v>52.33</v>
      </c>
      <c r="K412">
        <v>873.32</v>
      </c>
      <c r="L412" t="s">
        <v>692</v>
      </c>
      <c r="M412" t="s">
        <v>24</v>
      </c>
      <c r="N412">
        <v>27</v>
      </c>
      <c r="O412">
        <v>9</v>
      </c>
      <c r="P412" t="b">
        <v>0</v>
      </c>
      <c r="Q412">
        <v>7</v>
      </c>
      <c r="R412">
        <v>5</v>
      </c>
    </row>
    <row r="413" spans="1:18">
      <c r="A413" t="s">
        <v>867</v>
      </c>
      <c r="B413" t="s">
        <v>868</v>
      </c>
      <c r="C413" s="1">
        <v>45199</v>
      </c>
      <c r="D413">
        <v>30</v>
      </c>
      <c r="E413" t="s">
        <v>36</v>
      </c>
      <c r="F413" t="s">
        <v>52</v>
      </c>
      <c r="G413" t="s">
        <v>37</v>
      </c>
      <c r="H413">
        <v>221.35</v>
      </c>
      <c r="I413">
        <v>5</v>
      </c>
      <c r="J413">
        <v>0</v>
      </c>
      <c r="K413">
        <v>1106.75</v>
      </c>
      <c r="L413" t="s">
        <v>692</v>
      </c>
      <c r="M413" t="s">
        <v>33</v>
      </c>
      <c r="N413">
        <v>20</v>
      </c>
      <c r="O413">
        <v>6</v>
      </c>
      <c r="P413" t="b">
        <v>0</v>
      </c>
      <c r="Q413">
        <v>3</v>
      </c>
      <c r="R413">
        <v>5</v>
      </c>
    </row>
    <row r="414" spans="1:18">
      <c r="A414" t="s">
        <v>869</v>
      </c>
      <c r="B414" t="s">
        <v>870</v>
      </c>
      <c r="C414" s="1">
        <v>45319</v>
      </c>
      <c r="D414">
        <v>29</v>
      </c>
      <c r="E414" t="s">
        <v>36</v>
      </c>
      <c r="F414" t="s">
        <v>88</v>
      </c>
      <c r="G414" t="s">
        <v>56</v>
      </c>
      <c r="H414">
        <v>225.7</v>
      </c>
      <c r="I414">
        <v>1</v>
      </c>
      <c r="J414">
        <v>0</v>
      </c>
      <c r="K414">
        <v>225.7</v>
      </c>
      <c r="L414" t="s">
        <v>692</v>
      </c>
      <c r="M414" t="s">
        <v>33</v>
      </c>
      <c r="N414">
        <v>5</v>
      </c>
      <c r="O414">
        <v>7</v>
      </c>
      <c r="P414" t="b">
        <v>1</v>
      </c>
      <c r="Q414">
        <v>7</v>
      </c>
      <c r="R414">
        <v>5</v>
      </c>
    </row>
    <row r="415" spans="1:18">
      <c r="A415" t="s">
        <v>871</v>
      </c>
      <c r="B415" t="s">
        <v>872</v>
      </c>
      <c r="C415" s="1">
        <v>45011</v>
      </c>
      <c r="D415">
        <v>60</v>
      </c>
      <c r="E415" t="s">
        <v>20</v>
      </c>
      <c r="F415" t="s">
        <v>59</v>
      </c>
      <c r="G415" t="s">
        <v>53</v>
      </c>
      <c r="H415">
        <v>64.23</v>
      </c>
      <c r="I415">
        <v>3</v>
      </c>
      <c r="J415">
        <v>0</v>
      </c>
      <c r="K415">
        <v>192.69</v>
      </c>
      <c r="L415" t="s">
        <v>692</v>
      </c>
      <c r="M415" t="s">
        <v>24</v>
      </c>
      <c r="N415">
        <v>22</v>
      </c>
      <c r="O415">
        <v>8</v>
      </c>
      <c r="P415" t="b">
        <v>0</v>
      </c>
      <c r="Q415">
        <v>6</v>
      </c>
      <c r="R415">
        <v>5</v>
      </c>
    </row>
    <row r="416" spans="1:18">
      <c r="A416" t="s">
        <v>873</v>
      </c>
      <c r="B416" t="s">
        <v>874</v>
      </c>
      <c r="C416" s="1">
        <v>45062</v>
      </c>
      <c r="D416">
        <v>47</v>
      </c>
      <c r="E416" t="s">
        <v>36</v>
      </c>
      <c r="F416" t="s">
        <v>49</v>
      </c>
      <c r="G416" t="s">
        <v>46</v>
      </c>
      <c r="H416">
        <v>322.29000000000002</v>
      </c>
      <c r="I416">
        <v>3</v>
      </c>
      <c r="J416">
        <v>0</v>
      </c>
      <c r="K416">
        <v>966.87</v>
      </c>
      <c r="L416" t="s">
        <v>692</v>
      </c>
      <c r="M416" t="s">
        <v>33</v>
      </c>
      <c r="N416">
        <v>16</v>
      </c>
      <c r="O416">
        <v>6</v>
      </c>
      <c r="P416" t="b">
        <v>0</v>
      </c>
      <c r="Q416">
        <v>10</v>
      </c>
      <c r="R416">
        <v>4</v>
      </c>
    </row>
    <row r="417" spans="1:18">
      <c r="A417" t="s">
        <v>875</v>
      </c>
      <c r="B417" t="s">
        <v>876</v>
      </c>
      <c r="C417" s="1">
        <v>45197</v>
      </c>
      <c r="D417">
        <v>18</v>
      </c>
      <c r="E417" t="s">
        <v>20</v>
      </c>
      <c r="F417" t="s">
        <v>21</v>
      </c>
      <c r="G417" t="s">
        <v>37</v>
      </c>
      <c r="H417">
        <v>33.17</v>
      </c>
      <c r="I417">
        <v>1</v>
      </c>
      <c r="J417">
        <v>2.64</v>
      </c>
      <c r="K417">
        <v>30.53</v>
      </c>
      <c r="L417" t="s">
        <v>692</v>
      </c>
      <c r="M417" t="s">
        <v>33</v>
      </c>
      <c r="N417">
        <v>17</v>
      </c>
      <c r="O417">
        <v>12</v>
      </c>
      <c r="P417" t="b">
        <v>1</v>
      </c>
      <c r="Q417">
        <v>5</v>
      </c>
      <c r="R417">
        <v>2</v>
      </c>
    </row>
    <row r="418" spans="1:18">
      <c r="A418" t="s">
        <v>877</v>
      </c>
      <c r="B418" t="s">
        <v>878</v>
      </c>
      <c r="C418" s="1">
        <v>45143</v>
      </c>
      <c r="D418">
        <v>26</v>
      </c>
      <c r="E418" t="s">
        <v>36</v>
      </c>
      <c r="F418" t="s">
        <v>52</v>
      </c>
      <c r="G418" t="s">
        <v>28</v>
      </c>
      <c r="H418">
        <v>23.78</v>
      </c>
      <c r="I418">
        <v>2</v>
      </c>
      <c r="J418">
        <v>2.1800000000000002</v>
      </c>
      <c r="K418">
        <v>45.38</v>
      </c>
      <c r="L418" t="s">
        <v>692</v>
      </c>
      <c r="M418" t="s">
        <v>33</v>
      </c>
      <c r="N418">
        <v>15</v>
      </c>
      <c r="O418">
        <v>9</v>
      </c>
      <c r="P418" t="b">
        <v>0</v>
      </c>
      <c r="Q418">
        <v>10</v>
      </c>
      <c r="R418">
        <v>3</v>
      </c>
    </row>
    <row r="419" spans="1:18">
      <c r="A419" t="s">
        <v>879</v>
      </c>
      <c r="B419" t="s">
        <v>880</v>
      </c>
      <c r="C419" s="1">
        <v>45035</v>
      </c>
      <c r="D419">
        <v>40</v>
      </c>
      <c r="E419" t="s">
        <v>36</v>
      </c>
      <c r="F419" t="s">
        <v>88</v>
      </c>
      <c r="G419" t="s">
        <v>56</v>
      </c>
      <c r="H419">
        <v>219.57</v>
      </c>
      <c r="I419">
        <v>1</v>
      </c>
      <c r="J419">
        <v>0</v>
      </c>
      <c r="K419">
        <v>219.57</v>
      </c>
      <c r="L419" t="s">
        <v>692</v>
      </c>
      <c r="M419" t="s">
        <v>33</v>
      </c>
      <c r="N419">
        <v>8</v>
      </c>
      <c r="O419">
        <v>9</v>
      </c>
      <c r="P419" t="b">
        <v>0</v>
      </c>
      <c r="Q419">
        <v>3</v>
      </c>
      <c r="R419">
        <v>5</v>
      </c>
    </row>
    <row r="420" spans="1:18">
      <c r="A420" t="s">
        <v>881</v>
      </c>
      <c r="B420" t="s">
        <v>882</v>
      </c>
      <c r="C420" s="1">
        <v>45313</v>
      </c>
      <c r="D420">
        <v>23</v>
      </c>
      <c r="E420" t="s">
        <v>20</v>
      </c>
      <c r="F420" t="s">
        <v>21</v>
      </c>
      <c r="G420" t="s">
        <v>53</v>
      </c>
      <c r="H420">
        <v>42.64</v>
      </c>
      <c r="I420">
        <v>5</v>
      </c>
      <c r="J420">
        <v>0</v>
      </c>
      <c r="K420">
        <v>213.2</v>
      </c>
      <c r="L420" t="s">
        <v>692</v>
      </c>
      <c r="M420" t="s">
        <v>24</v>
      </c>
      <c r="N420">
        <v>13</v>
      </c>
      <c r="O420">
        <v>4</v>
      </c>
      <c r="P420" t="b">
        <v>0</v>
      </c>
      <c r="Q420">
        <v>9</v>
      </c>
      <c r="R420">
        <v>5</v>
      </c>
    </row>
    <row r="421" spans="1:18">
      <c r="A421" t="s">
        <v>883</v>
      </c>
      <c r="B421" t="s">
        <v>884</v>
      </c>
      <c r="C421" s="1">
        <v>45280</v>
      </c>
      <c r="D421">
        <v>18</v>
      </c>
      <c r="E421" t="s">
        <v>36</v>
      </c>
      <c r="F421" t="s">
        <v>32</v>
      </c>
      <c r="G421" t="s">
        <v>46</v>
      </c>
      <c r="H421">
        <v>1125.8800000000001</v>
      </c>
      <c r="I421">
        <v>1</v>
      </c>
      <c r="J421">
        <v>160.21</v>
      </c>
      <c r="K421">
        <v>965.67</v>
      </c>
      <c r="L421" t="s">
        <v>692</v>
      </c>
      <c r="M421" t="s">
        <v>24</v>
      </c>
      <c r="N421">
        <v>23</v>
      </c>
      <c r="O421">
        <v>3</v>
      </c>
      <c r="P421" t="b">
        <v>1</v>
      </c>
      <c r="Q421">
        <v>18</v>
      </c>
      <c r="R421">
        <v>5</v>
      </c>
    </row>
    <row r="422" spans="1:18">
      <c r="A422" t="s">
        <v>885</v>
      </c>
      <c r="B422" t="s">
        <v>886</v>
      </c>
      <c r="C422" s="1">
        <v>45131</v>
      </c>
      <c r="D422">
        <v>54</v>
      </c>
      <c r="E422" t="s">
        <v>20</v>
      </c>
      <c r="F422" t="s">
        <v>76</v>
      </c>
      <c r="G422" t="s">
        <v>28</v>
      </c>
      <c r="H422">
        <v>72.260000000000005</v>
      </c>
      <c r="I422">
        <v>1</v>
      </c>
      <c r="J422">
        <v>0</v>
      </c>
      <c r="K422">
        <v>72.260000000000005</v>
      </c>
      <c r="L422" t="s">
        <v>692</v>
      </c>
      <c r="M422" t="s">
        <v>29</v>
      </c>
      <c r="N422">
        <v>11</v>
      </c>
      <c r="O422">
        <v>9</v>
      </c>
      <c r="P422" t="b">
        <v>0</v>
      </c>
      <c r="Q422">
        <v>4</v>
      </c>
      <c r="R422">
        <v>5</v>
      </c>
    </row>
    <row r="423" spans="1:18">
      <c r="A423" t="s">
        <v>887</v>
      </c>
      <c r="B423" t="s">
        <v>888</v>
      </c>
      <c r="C423" s="1">
        <v>45270</v>
      </c>
      <c r="D423">
        <v>18</v>
      </c>
      <c r="E423" t="s">
        <v>36</v>
      </c>
      <c r="F423" t="s">
        <v>59</v>
      </c>
      <c r="G423" t="s">
        <v>37</v>
      </c>
      <c r="H423">
        <v>147.04</v>
      </c>
      <c r="I423">
        <v>4</v>
      </c>
      <c r="J423">
        <v>11.25</v>
      </c>
      <c r="K423">
        <v>576.91</v>
      </c>
      <c r="L423" t="s">
        <v>692</v>
      </c>
      <c r="M423" t="s">
        <v>33</v>
      </c>
      <c r="N423">
        <v>10</v>
      </c>
      <c r="O423">
        <v>7</v>
      </c>
      <c r="P423" t="b">
        <v>1</v>
      </c>
      <c r="Q423">
        <v>12</v>
      </c>
      <c r="R423">
        <v>5</v>
      </c>
    </row>
    <row r="424" spans="1:18">
      <c r="A424" t="s">
        <v>889</v>
      </c>
      <c r="B424" t="s">
        <v>890</v>
      </c>
      <c r="C424" s="1">
        <v>45158</v>
      </c>
      <c r="D424">
        <v>48</v>
      </c>
      <c r="E424" t="s">
        <v>36</v>
      </c>
      <c r="F424" t="s">
        <v>32</v>
      </c>
      <c r="G424" t="s">
        <v>37</v>
      </c>
      <c r="H424">
        <v>98.5</v>
      </c>
      <c r="I424">
        <v>1</v>
      </c>
      <c r="J424">
        <v>18.79</v>
      </c>
      <c r="K424">
        <v>79.709999999999994</v>
      </c>
      <c r="L424" t="s">
        <v>692</v>
      </c>
      <c r="M424" t="s">
        <v>29</v>
      </c>
      <c r="N424">
        <v>8</v>
      </c>
      <c r="O424">
        <v>11</v>
      </c>
      <c r="P424" t="b">
        <v>1</v>
      </c>
      <c r="Q424">
        <v>8</v>
      </c>
      <c r="R424">
        <v>5</v>
      </c>
    </row>
    <row r="425" spans="1:18">
      <c r="A425" t="s">
        <v>891</v>
      </c>
      <c r="B425" t="s">
        <v>892</v>
      </c>
      <c r="C425" s="1">
        <v>45100</v>
      </c>
      <c r="D425">
        <v>27</v>
      </c>
      <c r="E425" t="s">
        <v>20</v>
      </c>
      <c r="F425" t="s">
        <v>83</v>
      </c>
      <c r="G425" t="s">
        <v>56</v>
      </c>
      <c r="H425">
        <v>181.56</v>
      </c>
      <c r="I425">
        <v>2</v>
      </c>
      <c r="J425">
        <v>0</v>
      </c>
      <c r="K425">
        <v>363.12</v>
      </c>
      <c r="L425" t="s">
        <v>692</v>
      </c>
      <c r="M425" t="s">
        <v>33</v>
      </c>
      <c r="N425">
        <v>14</v>
      </c>
      <c r="O425">
        <v>5</v>
      </c>
      <c r="P425" t="b">
        <v>1</v>
      </c>
      <c r="Q425">
        <v>7</v>
      </c>
      <c r="R425">
        <v>5</v>
      </c>
    </row>
    <row r="426" spans="1:18">
      <c r="A426" t="s">
        <v>893</v>
      </c>
      <c r="B426" t="s">
        <v>894</v>
      </c>
      <c r="C426" s="1">
        <v>45210</v>
      </c>
      <c r="D426">
        <v>36</v>
      </c>
      <c r="E426" t="s">
        <v>20</v>
      </c>
      <c r="F426" t="s">
        <v>52</v>
      </c>
      <c r="G426" t="s">
        <v>56</v>
      </c>
      <c r="H426">
        <v>635.86</v>
      </c>
      <c r="I426">
        <v>1</v>
      </c>
      <c r="J426">
        <v>65.25</v>
      </c>
      <c r="K426">
        <v>570.61</v>
      </c>
      <c r="L426" t="s">
        <v>692</v>
      </c>
      <c r="M426" t="s">
        <v>33</v>
      </c>
      <c r="N426">
        <v>12</v>
      </c>
      <c r="O426">
        <v>9</v>
      </c>
      <c r="P426" t="b">
        <v>0</v>
      </c>
      <c r="Q426">
        <v>3</v>
      </c>
      <c r="R426">
        <v>5</v>
      </c>
    </row>
    <row r="427" spans="1:18">
      <c r="A427" t="s">
        <v>895</v>
      </c>
      <c r="B427" t="s">
        <v>896</v>
      </c>
      <c r="C427" s="1">
        <v>45044</v>
      </c>
      <c r="D427">
        <v>42</v>
      </c>
      <c r="E427" t="s">
        <v>20</v>
      </c>
      <c r="F427" t="s">
        <v>32</v>
      </c>
      <c r="G427" t="s">
        <v>64</v>
      </c>
      <c r="H427">
        <v>1843.57</v>
      </c>
      <c r="I427">
        <v>1</v>
      </c>
      <c r="J427">
        <v>0</v>
      </c>
      <c r="K427">
        <v>1843.57</v>
      </c>
      <c r="L427" t="s">
        <v>692</v>
      </c>
      <c r="M427" t="s">
        <v>29</v>
      </c>
      <c r="N427">
        <v>9</v>
      </c>
      <c r="O427">
        <v>7</v>
      </c>
      <c r="P427" t="b">
        <v>1</v>
      </c>
      <c r="Q427">
        <v>4</v>
      </c>
      <c r="R427">
        <v>1</v>
      </c>
    </row>
    <row r="428" spans="1:18">
      <c r="A428" t="s">
        <v>897</v>
      </c>
      <c r="B428" t="s">
        <v>898</v>
      </c>
      <c r="C428" s="1">
        <v>45039</v>
      </c>
      <c r="D428">
        <v>20</v>
      </c>
      <c r="E428" t="s">
        <v>36</v>
      </c>
      <c r="F428" t="s">
        <v>32</v>
      </c>
      <c r="G428" t="s">
        <v>56</v>
      </c>
      <c r="H428">
        <v>1223.3699999999999</v>
      </c>
      <c r="I428">
        <v>2</v>
      </c>
      <c r="J428">
        <v>146.22</v>
      </c>
      <c r="K428">
        <v>2300.52</v>
      </c>
      <c r="L428" t="s">
        <v>692</v>
      </c>
      <c r="M428" t="s">
        <v>33</v>
      </c>
      <c r="N428">
        <v>13</v>
      </c>
      <c r="O428">
        <v>6</v>
      </c>
      <c r="P428" t="b">
        <v>0</v>
      </c>
      <c r="Q428">
        <v>6</v>
      </c>
      <c r="R428">
        <v>4</v>
      </c>
    </row>
    <row r="429" spans="1:18">
      <c r="A429" t="s">
        <v>899</v>
      </c>
      <c r="B429" t="s">
        <v>900</v>
      </c>
      <c r="C429" s="1">
        <v>44963</v>
      </c>
      <c r="D429">
        <v>18</v>
      </c>
      <c r="E429" t="s">
        <v>20</v>
      </c>
      <c r="F429" t="s">
        <v>52</v>
      </c>
      <c r="G429" t="s">
        <v>28</v>
      </c>
      <c r="H429">
        <v>58.38</v>
      </c>
      <c r="I429">
        <v>4</v>
      </c>
      <c r="J429">
        <v>0</v>
      </c>
      <c r="K429">
        <v>233.52</v>
      </c>
      <c r="L429" t="s">
        <v>692</v>
      </c>
      <c r="M429" t="s">
        <v>33</v>
      </c>
      <c r="N429">
        <v>12</v>
      </c>
      <c r="O429">
        <v>11</v>
      </c>
      <c r="P429" t="b">
        <v>0</v>
      </c>
      <c r="Q429">
        <v>3</v>
      </c>
      <c r="R429">
        <v>5</v>
      </c>
    </row>
    <row r="430" spans="1:18">
      <c r="A430" t="s">
        <v>901</v>
      </c>
      <c r="B430" t="s">
        <v>902</v>
      </c>
      <c r="C430" s="1">
        <v>45250</v>
      </c>
      <c r="D430">
        <v>42</v>
      </c>
      <c r="E430" t="s">
        <v>36</v>
      </c>
      <c r="F430" t="s">
        <v>32</v>
      </c>
      <c r="G430" t="s">
        <v>37</v>
      </c>
      <c r="H430">
        <v>43.39</v>
      </c>
      <c r="I430">
        <v>3</v>
      </c>
      <c r="J430">
        <v>7</v>
      </c>
      <c r="K430">
        <v>123.17</v>
      </c>
      <c r="L430" t="s">
        <v>692</v>
      </c>
      <c r="M430" t="s">
        <v>33</v>
      </c>
      <c r="N430">
        <v>35</v>
      </c>
      <c r="O430">
        <v>7</v>
      </c>
      <c r="P430" t="b">
        <v>1</v>
      </c>
      <c r="Q430">
        <v>6</v>
      </c>
      <c r="R430">
        <v>3</v>
      </c>
    </row>
    <row r="431" spans="1:18">
      <c r="A431" t="s">
        <v>903</v>
      </c>
      <c r="B431" t="s">
        <v>904</v>
      </c>
      <c r="C431" s="1">
        <v>44957</v>
      </c>
      <c r="D431">
        <v>38</v>
      </c>
      <c r="E431" t="s">
        <v>36</v>
      </c>
      <c r="F431" t="s">
        <v>32</v>
      </c>
      <c r="G431" t="s">
        <v>22</v>
      </c>
      <c r="H431">
        <v>66.84</v>
      </c>
      <c r="I431">
        <v>4</v>
      </c>
      <c r="J431">
        <v>0</v>
      </c>
      <c r="K431">
        <v>267.36</v>
      </c>
      <c r="L431" t="s">
        <v>692</v>
      </c>
      <c r="M431" t="s">
        <v>24</v>
      </c>
      <c r="N431">
        <v>27</v>
      </c>
      <c r="O431">
        <v>7</v>
      </c>
      <c r="P431" t="b">
        <v>0</v>
      </c>
      <c r="Q431">
        <v>5</v>
      </c>
      <c r="R431">
        <v>4</v>
      </c>
    </row>
    <row r="432" spans="1:18">
      <c r="A432" t="s">
        <v>905</v>
      </c>
      <c r="B432" t="s">
        <v>906</v>
      </c>
      <c r="C432" s="1">
        <v>44943</v>
      </c>
      <c r="D432">
        <v>29</v>
      </c>
      <c r="E432" t="s">
        <v>36</v>
      </c>
      <c r="F432" t="s">
        <v>21</v>
      </c>
      <c r="G432" t="s">
        <v>37</v>
      </c>
      <c r="H432">
        <v>140.69</v>
      </c>
      <c r="I432">
        <v>1</v>
      </c>
      <c r="J432">
        <v>0</v>
      </c>
      <c r="K432">
        <v>140.69</v>
      </c>
      <c r="L432" t="s">
        <v>692</v>
      </c>
      <c r="M432" t="s">
        <v>33</v>
      </c>
      <c r="N432">
        <v>22</v>
      </c>
      <c r="O432">
        <v>12</v>
      </c>
      <c r="P432" t="b">
        <v>0</v>
      </c>
      <c r="Q432">
        <v>5</v>
      </c>
      <c r="R432">
        <v>5</v>
      </c>
    </row>
    <row r="433" spans="1:18">
      <c r="A433" t="s">
        <v>907</v>
      </c>
      <c r="B433" t="s">
        <v>908</v>
      </c>
      <c r="C433" s="1">
        <v>45367</v>
      </c>
      <c r="D433">
        <v>27</v>
      </c>
      <c r="E433" t="s">
        <v>36</v>
      </c>
      <c r="F433" t="s">
        <v>52</v>
      </c>
      <c r="G433" t="s">
        <v>56</v>
      </c>
      <c r="H433">
        <v>584.78</v>
      </c>
      <c r="I433">
        <v>1</v>
      </c>
      <c r="J433">
        <v>0</v>
      </c>
      <c r="K433">
        <v>584.78</v>
      </c>
      <c r="L433" t="s">
        <v>692</v>
      </c>
      <c r="M433" t="s">
        <v>24</v>
      </c>
      <c r="N433">
        <v>18</v>
      </c>
      <c r="O433">
        <v>8</v>
      </c>
      <c r="P433" t="b">
        <v>0</v>
      </c>
      <c r="Q433">
        <v>6</v>
      </c>
      <c r="R433">
        <v>4</v>
      </c>
    </row>
    <row r="434" spans="1:18">
      <c r="A434" t="s">
        <v>909</v>
      </c>
      <c r="B434" t="s">
        <v>910</v>
      </c>
      <c r="C434" s="1">
        <v>45069</v>
      </c>
      <c r="D434">
        <v>38</v>
      </c>
      <c r="E434" t="s">
        <v>36</v>
      </c>
      <c r="F434" t="s">
        <v>88</v>
      </c>
      <c r="G434" t="s">
        <v>22</v>
      </c>
      <c r="H434">
        <v>718.22</v>
      </c>
      <c r="I434">
        <v>2</v>
      </c>
      <c r="J434">
        <v>0</v>
      </c>
      <c r="K434">
        <v>1436.44</v>
      </c>
      <c r="L434" t="s">
        <v>692</v>
      </c>
      <c r="M434" t="s">
        <v>33</v>
      </c>
      <c r="N434">
        <v>23</v>
      </c>
      <c r="O434">
        <v>17</v>
      </c>
      <c r="P434" t="b">
        <v>0</v>
      </c>
      <c r="Q434">
        <v>7</v>
      </c>
      <c r="R434">
        <v>5</v>
      </c>
    </row>
    <row r="435" spans="1:18">
      <c r="A435" t="s">
        <v>911</v>
      </c>
      <c r="B435" t="s">
        <v>912</v>
      </c>
      <c r="C435" s="1">
        <v>45169</v>
      </c>
      <c r="D435">
        <v>32</v>
      </c>
      <c r="E435" t="s">
        <v>20</v>
      </c>
      <c r="F435" t="s">
        <v>32</v>
      </c>
      <c r="G435" t="s">
        <v>115</v>
      </c>
      <c r="H435">
        <v>58.5</v>
      </c>
      <c r="I435">
        <v>4</v>
      </c>
      <c r="J435">
        <v>0</v>
      </c>
      <c r="K435">
        <v>234</v>
      </c>
      <c r="L435" t="s">
        <v>692</v>
      </c>
      <c r="M435" t="s">
        <v>33</v>
      </c>
      <c r="N435">
        <v>14</v>
      </c>
      <c r="O435">
        <v>9</v>
      </c>
      <c r="P435" t="b">
        <v>1</v>
      </c>
      <c r="Q435">
        <v>3</v>
      </c>
      <c r="R435">
        <v>5</v>
      </c>
    </row>
    <row r="436" spans="1:18">
      <c r="A436" t="s">
        <v>913</v>
      </c>
      <c r="B436" t="s">
        <v>914</v>
      </c>
      <c r="C436" s="1">
        <v>44975</v>
      </c>
      <c r="D436">
        <v>44</v>
      </c>
      <c r="E436" t="s">
        <v>36</v>
      </c>
      <c r="F436" t="s">
        <v>59</v>
      </c>
      <c r="G436" t="s">
        <v>115</v>
      </c>
      <c r="H436">
        <v>35.85</v>
      </c>
      <c r="I436">
        <v>4</v>
      </c>
      <c r="J436">
        <v>0</v>
      </c>
      <c r="K436">
        <v>143.4</v>
      </c>
      <c r="L436" t="s">
        <v>692</v>
      </c>
      <c r="M436" t="s">
        <v>33</v>
      </c>
      <c r="N436">
        <v>5</v>
      </c>
      <c r="O436">
        <v>7</v>
      </c>
      <c r="P436" t="b">
        <v>0</v>
      </c>
      <c r="Q436">
        <v>2</v>
      </c>
      <c r="R436">
        <v>2</v>
      </c>
    </row>
    <row r="437" spans="1:18">
      <c r="A437" t="s">
        <v>915</v>
      </c>
      <c r="B437" t="s">
        <v>916</v>
      </c>
      <c r="C437" s="1">
        <v>44976</v>
      </c>
      <c r="D437">
        <v>50</v>
      </c>
      <c r="E437" t="s">
        <v>20</v>
      </c>
      <c r="F437" t="s">
        <v>52</v>
      </c>
      <c r="G437" t="s">
        <v>28</v>
      </c>
      <c r="H437">
        <v>157.02000000000001</v>
      </c>
      <c r="I437">
        <v>3</v>
      </c>
      <c r="J437">
        <v>0</v>
      </c>
      <c r="K437">
        <v>471.06</v>
      </c>
      <c r="L437" t="s">
        <v>692</v>
      </c>
      <c r="M437" t="s">
        <v>33</v>
      </c>
      <c r="N437">
        <v>5</v>
      </c>
      <c r="O437">
        <v>8</v>
      </c>
      <c r="P437" t="b">
        <v>1</v>
      </c>
      <c r="Q437">
        <v>5</v>
      </c>
      <c r="R437">
        <v>5</v>
      </c>
    </row>
    <row r="438" spans="1:18">
      <c r="A438" t="s">
        <v>917</v>
      </c>
      <c r="B438" t="s">
        <v>918</v>
      </c>
      <c r="C438" s="1">
        <v>45264</v>
      </c>
      <c r="D438">
        <v>35</v>
      </c>
      <c r="E438" t="s">
        <v>36</v>
      </c>
      <c r="F438" t="s">
        <v>73</v>
      </c>
      <c r="G438" t="s">
        <v>64</v>
      </c>
      <c r="H438">
        <v>4047.49</v>
      </c>
      <c r="I438">
        <v>4</v>
      </c>
      <c r="J438">
        <v>735.59</v>
      </c>
      <c r="K438">
        <v>15454.37</v>
      </c>
      <c r="L438" t="s">
        <v>692</v>
      </c>
      <c r="M438" t="s">
        <v>29</v>
      </c>
      <c r="N438">
        <v>20</v>
      </c>
      <c r="O438">
        <v>7</v>
      </c>
      <c r="P438" t="b">
        <v>1</v>
      </c>
      <c r="Q438">
        <v>11</v>
      </c>
      <c r="R438">
        <v>2</v>
      </c>
    </row>
    <row r="439" spans="1:18">
      <c r="A439" t="s">
        <v>919</v>
      </c>
      <c r="B439" t="s">
        <v>920</v>
      </c>
      <c r="C439" s="1">
        <v>45147</v>
      </c>
      <c r="D439">
        <v>43</v>
      </c>
      <c r="E439" t="s">
        <v>20</v>
      </c>
      <c r="F439" t="s">
        <v>32</v>
      </c>
      <c r="G439" t="s">
        <v>64</v>
      </c>
      <c r="H439">
        <v>3802.5</v>
      </c>
      <c r="I439">
        <v>1</v>
      </c>
      <c r="J439">
        <v>0</v>
      </c>
      <c r="K439">
        <v>3802.5</v>
      </c>
      <c r="L439" t="s">
        <v>692</v>
      </c>
      <c r="M439" t="s">
        <v>24</v>
      </c>
      <c r="N439">
        <v>14</v>
      </c>
      <c r="O439">
        <v>7</v>
      </c>
      <c r="P439" t="b">
        <v>1</v>
      </c>
      <c r="Q439">
        <v>14</v>
      </c>
      <c r="R439">
        <v>4</v>
      </c>
    </row>
    <row r="440" spans="1:18">
      <c r="A440" t="s">
        <v>921</v>
      </c>
      <c r="B440" t="s">
        <v>922</v>
      </c>
      <c r="C440" s="1">
        <v>45108</v>
      </c>
      <c r="D440">
        <v>31</v>
      </c>
      <c r="E440" t="s">
        <v>20</v>
      </c>
      <c r="F440" t="s">
        <v>32</v>
      </c>
      <c r="G440" t="s">
        <v>22</v>
      </c>
      <c r="H440">
        <v>318.60000000000002</v>
      </c>
      <c r="I440">
        <v>1</v>
      </c>
      <c r="J440">
        <v>0</v>
      </c>
      <c r="K440">
        <v>318.60000000000002</v>
      </c>
      <c r="L440" t="s">
        <v>692</v>
      </c>
      <c r="M440" t="s">
        <v>33</v>
      </c>
      <c r="N440">
        <v>12</v>
      </c>
      <c r="O440">
        <v>8</v>
      </c>
      <c r="P440" t="b">
        <v>0</v>
      </c>
      <c r="Q440">
        <v>5</v>
      </c>
      <c r="R440">
        <v>5</v>
      </c>
    </row>
    <row r="441" spans="1:18">
      <c r="A441" t="s">
        <v>923</v>
      </c>
      <c r="B441" t="s">
        <v>924</v>
      </c>
      <c r="C441" s="1">
        <v>45369</v>
      </c>
      <c r="D441">
        <v>42</v>
      </c>
      <c r="E441" t="s">
        <v>20</v>
      </c>
      <c r="F441" t="s">
        <v>83</v>
      </c>
      <c r="G441" t="s">
        <v>53</v>
      </c>
      <c r="H441">
        <v>92.08</v>
      </c>
      <c r="I441">
        <v>5</v>
      </c>
      <c r="J441">
        <v>0</v>
      </c>
      <c r="K441">
        <v>460.4</v>
      </c>
      <c r="L441" t="s">
        <v>692</v>
      </c>
      <c r="M441" t="s">
        <v>24</v>
      </c>
      <c r="N441">
        <v>7</v>
      </c>
      <c r="O441">
        <v>10</v>
      </c>
      <c r="P441" t="b">
        <v>0</v>
      </c>
      <c r="Q441">
        <v>9</v>
      </c>
      <c r="R441">
        <v>3</v>
      </c>
    </row>
    <row r="442" spans="1:18">
      <c r="A442" t="s">
        <v>925</v>
      </c>
      <c r="B442" t="s">
        <v>926</v>
      </c>
      <c r="C442" s="1">
        <v>45271</v>
      </c>
      <c r="D442">
        <v>22</v>
      </c>
      <c r="E442" t="s">
        <v>36</v>
      </c>
      <c r="F442" t="s">
        <v>88</v>
      </c>
      <c r="G442" t="s">
        <v>37</v>
      </c>
      <c r="H442">
        <v>157.19999999999999</v>
      </c>
      <c r="I442">
        <v>2</v>
      </c>
      <c r="J442">
        <v>0</v>
      </c>
      <c r="K442">
        <v>314.39999999999998</v>
      </c>
      <c r="L442" t="s">
        <v>692</v>
      </c>
      <c r="M442" t="s">
        <v>33</v>
      </c>
      <c r="N442">
        <v>6</v>
      </c>
      <c r="O442">
        <v>8</v>
      </c>
      <c r="P442" t="b">
        <v>1</v>
      </c>
      <c r="Q442">
        <v>8</v>
      </c>
      <c r="R442">
        <v>4</v>
      </c>
    </row>
    <row r="443" spans="1:18">
      <c r="A443" t="s">
        <v>927</v>
      </c>
      <c r="B443" t="s">
        <v>928</v>
      </c>
      <c r="C443" s="1">
        <v>45261</v>
      </c>
      <c r="D443">
        <v>20</v>
      </c>
      <c r="E443" t="s">
        <v>20</v>
      </c>
      <c r="F443" t="s">
        <v>83</v>
      </c>
      <c r="G443" t="s">
        <v>22</v>
      </c>
      <c r="H443">
        <v>229.26</v>
      </c>
      <c r="I443">
        <v>2</v>
      </c>
      <c r="J443">
        <v>0</v>
      </c>
      <c r="K443">
        <v>458.52</v>
      </c>
      <c r="L443" t="s">
        <v>692</v>
      </c>
      <c r="M443" t="s">
        <v>24</v>
      </c>
      <c r="N443">
        <v>8</v>
      </c>
      <c r="O443">
        <v>6</v>
      </c>
      <c r="P443" t="b">
        <v>1</v>
      </c>
      <c r="Q443">
        <v>7</v>
      </c>
      <c r="R443">
        <v>1</v>
      </c>
    </row>
    <row r="444" spans="1:18">
      <c r="A444" t="s">
        <v>929</v>
      </c>
      <c r="B444" t="s">
        <v>930</v>
      </c>
      <c r="C444" s="1">
        <v>45133</v>
      </c>
      <c r="D444">
        <v>42</v>
      </c>
      <c r="E444" t="s">
        <v>36</v>
      </c>
      <c r="F444" t="s">
        <v>52</v>
      </c>
      <c r="G444" t="s">
        <v>28</v>
      </c>
      <c r="H444">
        <v>161.21</v>
      </c>
      <c r="I444">
        <v>4</v>
      </c>
      <c r="J444">
        <v>0</v>
      </c>
      <c r="K444">
        <v>644.84</v>
      </c>
      <c r="L444" t="s">
        <v>692</v>
      </c>
      <c r="M444" t="s">
        <v>33</v>
      </c>
      <c r="N444">
        <v>12</v>
      </c>
      <c r="O444">
        <v>5</v>
      </c>
      <c r="P444" t="b">
        <v>1</v>
      </c>
      <c r="Q444">
        <v>2</v>
      </c>
      <c r="R444">
        <v>4</v>
      </c>
    </row>
    <row r="445" spans="1:18">
      <c r="A445" t="s">
        <v>931</v>
      </c>
      <c r="B445" t="s">
        <v>932</v>
      </c>
      <c r="C445" s="1">
        <v>45100</v>
      </c>
      <c r="D445">
        <v>24</v>
      </c>
      <c r="E445" t="s">
        <v>36</v>
      </c>
      <c r="F445" t="s">
        <v>59</v>
      </c>
      <c r="G445" t="s">
        <v>37</v>
      </c>
      <c r="H445">
        <v>63.25</v>
      </c>
      <c r="I445">
        <v>2</v>
      </c>
      <c r="J445">
        <v>0</v>
      </c>
      <c r="K445">
        <v>126.5</v>
      </c>
      <c r="L445" t="s">
        <v>692</v>
      </c>
      <c r="M445" t="s">
        <v>24</v>
      </c>
      <c r="N445">
        <v>8</v>
      </c>
      <c r="O445">
        <v>12</v>
      </c>
      <c r="P445" t="b">
        <v>0</v>
      </c>
      <c r="Q445">
        <v>4</v>
      </c>
      <c r="R445">
        <v>3</v>
      </c>
    </row>
    <row r="446" spans="1:18">
      <c r="A446" t="s">
        <v>933</v>
      </c>
      <c r="B446" t="s">
        <v>934</v>
      </c>
      <c r="C446" s="1">
        <v>44982</v>
      </c>
      <c r="D446">
        <v>46</v>
      </c>
      <c r="E446" t="s">
        <v>20</v>
      </c>
      <c r="F446" t="s">
        <v>52</v>
      </c>
      <c r="G446" t="s">
        <v>37</v>
      </c>
      <c r="H446">
        <v>206.16</v>
      </c>
      <c r="I446">
        <v>5</v>
      </c>
      <c r="J446">
        <v>0</v>
      </c>
      <c r="K446">
        <v>1030.8</v>
      </c>
      <c r="L446" t="s">
        <v>692</v>
      </c>
      <c r="M446" t="s">
        <v>33</v>
      </c>
      <c r="N446">
        <v>9</v>
      </c>
      <c r="O446">
        <v>9</v>
      </c>
      <c r="P446" t="b">
        <v>0</v>
      </c>
      <c r="Q446">
        <v>15</v>
      </c>
      <c r="R446">
        <v>3</v>
      </c>
    </row>
    <row r="447" spans="1:18">
      <c r="A447" t="s">
        <v>935</v>
      </c>
      <c r="B447" t="s">
        <v>936</v>
      </c>
      <c r="C447" s="1">
        <v>45054</v>
      </c>
      <c r="D447">
        <v>33</v>
      </c>
      <c r="E447" t="s">
        <v>36</v>
      </c>
      <c r="F447" t="s">
        <v>32</v>
      </c>
      <c r="G447" t="s">
        <v>53</v>
      </c>
      <c r="H447">
        <v>49.39</v>
      </c>
      <c r="I447">
        <v>1</v>
      </c>
      <c r="J447">
        <v>0</v>
      </c>
      <c r="K447">
        <v>49.39</v>
      </c>
      <c r="L447" t="s">
        <v>692</v>
      </c>
      <c r="M447" t="s">
        <v>29</v>
      </c>
      <c r="N447">
        <v>8</v>
      </c>
      <c r="O447">
        <v>13</v>
      </c>
      <c r="P447" t="b">
        <v>0</v>
      </c>
      <c r="Q447">
        <v>5</v>
      </c>
      <c r="R447">
        <v>5</v>
      </c>
    </row>
    <row r="448" spans="1:18">
      <c r="A448" t="s">
        <v>937</v>
      </c>
      <c r="B448" t="s">
        <v>938</v>
      </c>
      <c r="C448" s="1">
        <v>45025</v>
      </c>
      <c r="D448">
        <v>25</v>
      </c>
      <c r="E448" t="s">
        <v>20</v>
      </c>
      <c r="F448" t="s">
        <v>32</v>
      </c>
      <c r="G448" t="s">
        <v>53</v>
      </c>
      <c r="H448">
        <v>82.06</v>
      </c>
      <c r="I448">
        <v>1</v>
      </c>
      <c r="J448">
        <v>5.79</v>
      </c>
      <c r="K448">
        <v>76.27</v>
      </c>
      <c r="L448" t="s">
        <v>692</v>
      </c>
      <c r="M448" t="s">
        <v>24</v>
      </c>
      <c r="N448">
        <v>19</v>
      </c>
      <c r="O448">
        <v>12</v>
      </c>
      <c r="P448" t="b">
        <v>0</v>
      </c>
      <c r="Q448">
        <v>7</v>
      </c>
      <c r="R448">
        <v>5</v>
      </c>
    </row>
    <row r="449" spans="1:18">
      <c r="A449" t="s">
        <v>939</v>
      </c>
      <c r="B449" t="s">
        <v>940</v>
      </c>
      <c r="C449" s="1">
        <v>45024</v>
      </c>
      <c r="D449">
        <v>31</v>
      </c>
      <c r="E449" t="s">
        <v>20</v>
      </c>
      <c r="F449" t="s">
        <v>88</v>
      </c>
      <c r="G449" t="s">
        <v>46</v>
      </c>
      <c r="H449">
        <v>341.81</v>
      </c>
      <c r="I449">
        <v>3</v>
      </c>
      <c r="J449">
        <v>0</v>
      </c>
      <c r="K449">
        <v>1025.43</v>
      </c>
      <c r="L449" t="s">
        <v>692</v>
      </c>
      <c r="M449" t="s">
        <v>33</v>
      </c>
      <c r="N449">
        <v>13</v>
      </c>
      <c r="O449">
        <v>6</v>
      </c>
      <c r="P449" t="b">
        <v>0</v>
      </c>
      <c r="Q449">
        <v>9</v>
      </c>
      <c r="R449">
        <v>5</v>
      </c>
    </row>
    <row r="450" spans="1:18">
      <c r="A450" t="s">
        <v>941</v>
      </c>
      <c r="B450" t="s">
        <v>942</v>
      </c>
      <c r="C450" s="1">
        <v>45201</v>
      </c>
      <c r="D450">
        <v>39</v>
      </c>
      <c r="E450" t="s">
        <v>20</v>
      </c>
      <c r="F450" t="s">
        <v>32</v>
      </c>
      <c r="G450" t="s">
        <v>46</v>
      </c>
      <c r="H450">
        <v>355.96</v>
      </c>
      <c r="I450">
        <v>5</v>
      </c>
      <c r="J450">
        <v>0</v>
      </c>
      <c r="K450">
        <v>1779.8</v>
      </c>
      <c r="L450" t="s">
        <v>692</v>
      </c>
      <c r="M450" t="s">
        <v>24</v>
      </c>
      <c r="N450">
        <v>24</v>
      </c>
      <c r="O450">
        <v>7</v>
      </c>
      <c r="P450" t="b">
        <v>0</v>
      </c>
      <c r="Q450">
        <v>13</v>
      </c>
      <c r="R450">
        <v>5</v>
      </c>
    </row>
    <row r="451" spans="1:18">
      <c r="A451" t="s">
        <v>943</v>
      </c>
      <c r="B451" t="s">
        <v>944</v>
      </c>
      <c r="C451" s="1">
        <v>45054</v>
      </c>
      <c r="D451">
        <v>37</v>
      </c>
      <c r="E451" t="s">
        <v>20</v>
      </c>
      <c r="F451" t="s">
        <v>32</v>
      </c>
      <c r="G451" t="s">
        <v>22</v>
      </c>
      <c r="H451">
        <v>102.11</v>
      </c>
      <c r="I451">
        <v>5</v>
      </c>
      <c r="J451">
        <v>0</v>
      </c>
      <c r="K451">
        <v>510.55</v>
      </c>
      <c r="L451" t="s">
        <v>692</v>
      </c>
      <c r="M451" t="s">
        <v>24</v>
      </c>
      <c r="N451">
        <v>2</v>
      </c>
      <c r="O451">
        <v>9</v>
      </c>
      <c r="P451" t="b">
        <v>0</v>
      </c>
      <c r="Q451">
        <v>9</v>
      </c>
      <c r="R451">
        <v>5</v>
      </c>
    </row>
    <row r="452" spans="1:18">
      <c r="A452" t="s">
        <v>945</v>
      </c>
      <c r="B452" t="s">
        <v>946</v>
      </c>
      <c r="C452" s="1">
        <v>44965</v>
      </c>
      <c r="D452">
        <v>18</v>
      </c>
      <c r="E452" t="s">
        <v>20</v>
      </c>
      <c r="F452" t="s">
        <v>52</v>
      </c>
      <c r="G452" t="s">
        <v>46</v>
      </c>
      <c r="H452">
        <v>893.98</v>
      </c>
      <c r="I452">
        <v>2</v>
      </c>
      <c r="J452">
        <v>98.59</v>
      </c>
      <c r="K452">
        <v>1689.37</v>
      </c>
      <c r="L452" t="s">
        <v>692</v>
      </c>
      <c r="M452" t="s">
        <v>33</v>
      </c>
      <c r="N452">
        <v>39</v>
      </c>
      <c r="O452">
        <v>12</v>
      </c>
      <c r="P452" t="b">
        <v>1</v>
      </c>
      <c r="Q452">
        <v>8</v>
      </c>
      <c r="R452">
        <v>4</v>
      </c>
    </row>
    <row r="453" spans="1:18">
      <c r="A453" t="s">
        <v>947</v>
      </c>
      <c r="B453" t="s">
        <v>948</v>
      </c>
      <c r="C453" s="1">
        <v>45153</v>
      </c>
      <c r="D453">
        <v>26</v>
      </c>
      <c r="E453" t="s">
        <v>36</v>
      </c>
      <c r="F453" t="s">
        <v>76</v>
      </c>
      <c r="G453" t="s">
        <v>64</v>
      </c>
      <c r="H453">
        <v>1265.69</v>
      </c>
      <c r="I453">
        <v>1</v>
      </c>
      <c r="J453">
        <v>0</v>
      </c>
      <c r="K453">
        <v>1265.69</v>
      </c>
      <c r="L453" t="s">
        <v>692</v>
      </c>
      <c r="M453" t="s">
        <v>33</v>
      </c>
      <c r="N453">
        <v>11</v>
      </c>
      <c r="O453">
        <v>7</v>
      </c>
      <c r="P453" t="b">
        <v>1</v>
      </c>
      <c r="Q453">
        <v>5</v>
      </c>
      <c r="R453">
        <v>2</v>
      </c>
    </row>
    <row r="454" spans="1:18">
      <c r="A454" t="s">
        <v>949</v>
      </c>
      <c r="B454" t="s">
        <v>950</v>
      </c>
      <c r="C454" s="1">
        <v>44977</v>
      </c>
      <c r="D454">
        <v>33</v>
      </c>
      <c r="E454" t="s">
        <v>20</v>
      </c>
      <c r="F454" t="s">
        <v>49</v>
      </c>
      <c r="G454" t="s">
        <v>28</v>
      </c>
      <c r="H454">
        <v>281.58</v>
      </c>
      <c r="I454">
        <v>1</v>
      </c>
      <c r="J454">
        <v>0</v>
      </c>
      <c r="K454">
        <v>281.58</v>
      </c>
      <c r="L454" t="s">
        <v>692</v>
      </c>
      <c r="M454" t="s">
        <v>29</v>
      </c>
      <c r="N454">
        <v>6</v>
      </c>
      <c r="O454">
        <v>11</v>
      </c>
      <c r="P454" t="b">
        <v>1</v>
      </c>
      <c r="Q454">
        <v>3</v>
      </c>
      <c r="R454">
        <v>5</v>
      </c>
    </row>
    <row r="455" spans="1:18">
      <c r="A455" t="s">
        <v>951</v>
      </c>
      <c r="B455" t="s">
        <v>952</v>
      </c>
      <c r="C455" s="1">
        <v>45260</v>
      </c>
      <c r="D455">
        <v>22</v>
      </c>
      <c r="E455" t="s">
        <v>20</v>
      </c>
      <c r="F455" t="s">
        <v>73</v>
      </c>
      <c r="G455" t="s">
        <v>115</v>
      </c>
      <c r="H455">
        <v>75.63</v>
      </c>
      <c r="I455">
        <v>2</v>
      </c>
      <c r="J455">
        <v>0</v>
      </c>
      <c r="K455">
        <v>151.26</v>
      </c>
      <c r="L455" t="s">
        <v>692</v>
      </c>
      <c r="M455" t="s">
        <v>33</v>
      </c>
      <c r="N455">
        <v>7</v>
      </c>
      <c r="O455">
        <v>9</v>
      </c>
      <c r="P455" t="b">
        <v>1</v>
      </c>
      <c r="Q455">
        <v>9</v>
      </c>
      <c r="R455">
        <v>5</v>
      </c>
    </row>
    <row r="456" spans="1:18">
      <c r="A456" t="s">
        <v>953</v>
      </c>
      <c r="B456" t="s">
        <v>954</v>
      </c>
      <c r="C456" s="1">
        <v>45203</v>
      </c>
      <c r="D456">
        <v>34</v>
      </c>
      <c r="E456" t="s">
        <v>36</v>
      </c>
      <c r="F456" t="s">
        <v>27</v>
      </c>
      <c r="G456" t="s">
        <v>56</v>
      </c>
      <c r="H456">
        <v>398.92</v>
      </c>
      <c r="I456">
        <v>1</v>
      </c>
      <c r="J456">
        <v>0</v>
      </c>
      <c r="K456">
        <v>398.92</v>
      </c>
      <c r="L456" t="s">
        <v>692</v>
      </c>
      <c r="M456" t="s">
        <v>24</v>
      </c>
      <c r="N456">
        <v>22</v>
      </c>
      <c r="O456">
        <v>14</v>
      </c>
      <c r="P456" t="b">
        <v>1</v>
      </c>
      <c r="Q456">
        <v>6</v>
      </c>
      <c r="R456">
        <v>3</v>
      </c>
    </row>
    <row r="457" spans="1:18">
      <c r="A457" t="s">
        <v>955</v>
      </c>
      <c r="B457" t="s">
        <v>956</v>
      </c>
      <c r="C457" s="1">
        <v>45355</v>
      </c>
      <c r="D457">
        <v>31</v>
      </c>
      <c r="E457" t="s">
        <v>36</v>
      </c>
      <c r="F457" t="s">
        <v>76</v>
      </c>
      <c r="G457" t="s">
        <v>28</v>
      </c>
      <c r="H457">
        <v>232.13</v>
      </c>
      <c r="I457">
        <v>3</v>
      </c>
      <c r="J457">
        <v>51.08</v>
      </c>
      <c r="K457">
        <v>645.30999999999995</v>
      </c>
      <c r="L457" t="s">
        <v>692</v>
      </c>
      <c r="M457" t="s">
        <v>24</v>
      </c>
      <c r="N457">
        <v>19</v>
      </c>
      <c r="O457">
        <v>13</v>
      </c>
      <c r="P457" t="b">
        <v>0</v>
      </c>
      <c r="Q457">
        <v>2</v>
      </c>
      <c r="R457">
        <v>4</v>
      </c>
    </row>
    <row r="458" spans="1:18">
      <c r="A458" t="s">
        <v>957</v>
      </c>
      <c r="B458" t="s">
        <v>958</v>
      </c>
      <c r="C458" s="1">
        <v>45369</v>
      </c>
      <c r="D458">
        <v>36</v>
      </c>
      <c r="E458" t="s">
        <v>20</v>
      </c>
      <c r="F458" t="s">
        <v>32</v>
      </c>
      <c r="G458" t="s">
        <v>28</v>
      </c>
      <c r="H458">
        <v>140.33000000000001</v>
      </c>
      <c r="I458">
        <v>4</v>
      </c>
      <c r="J458">
        <v>0</v>
      </c>
      <c r="K458">
        <v>561.32000000000005</v>
      </c>
      <c r="L458" t="s">
        <v>692</v>
      </c>
      <c r="M458" t="s">
        <v>33</v>
      </c>
      <c r="N458">
        <v>19</v>
      </c>
      <c r="O458">
        <v>7</v>
      </c>
      <c r="P458" t="b">
        <v>0</v>
      </c>
      <c r="Q458">
        <v>17</v>
      </c>
      <c r="R458">
        <v>2</v>
      </c>
    </row>
    <row r="459" spans="1:18">
      <c r="A459" t="s">
        <v>959</v>
      </c>
      <c r="B459" t="s">
        <v>960</v>
      </c>
      <c r="C459" s="1">
        <v>45126</v>
      </c>
      <c r="D459">
        <v>60</v>
      </c>
      <c r="E459" t="s">
        <v>20</v>
      </c>
      <c r="F459" t="s">
        <v>88</v>
      </c>
      <c r="G459" t="s">
        <v>28</v>
      </c>
      <c r="H459">
        <v>32.18</v>
      </c>
      <c r="I459">
        <v>1</v>
      </c>
      <c r="J459">
        <v>0</v>
      </c>
      <c r="K459">
        <v>32.18</v>
      </c>
      <c r="L459" t="s">
        <v>692</v>
      </c>
      <c r="M459" t="s">
        <v>33</v>
      </c>
      <c r="N459">
        <v>5</v>
      </c>
      <c r="O459">
        <v>14</v>
      </c>
      <c r="P459" t="b">
        <v>0</v>
      </c>
      <c r="Q459">
        <v>6</v>
      </c>
      <c r="R459">
        <v>2</v>
      </c>
    </row>
    <row r="460" spans="1:18">
      <c r="A460" t="s">
        <v>961</v>
      </c>
      <c r="B460" t="s">
        <v>962</v>
      </c>
      <c r="C460" s="1">
        <v>45062</v>
      </c>
      <c r="D460">
        <v>25</v>
      </c>
      <c r="E460" t="s">
        <v>20</v>
      </c>
      <c r="F460" t="s">
        <v>32</v>
      </c>
      <c r="G460" t="s">
        <v>46</v>
      </c>
      <c r="H460">
        <v>541.58000000000004</v>
      </c>
      <c r="I460">
        <v>3</v>
      </c>
      <c r="J460">
        <v>0</v>
      </c>
      <c r="K460">
        <v>1624.74</v>
      </c>
      <c r="L460" t="s">
        <v>692</v>
      </c>
      <c r="M460" t="s">
        <v>24</v>
      </c>
      <c r="N460">
        <v>3</v>
      </c>
      <c r="O460">
        <v>7</v>
      </c>
      <c r="P460" t="b">
        <v>1</v>
      </c>
      <c r="Q460">
        <v>1</v>
      </c>
      <c r="R460">
        <v>1</v>
      </c>
    </row>
    <row r="461" spans="1:18">
      <c r="A461" t="s">
        <v>963</v>
      </c>
      <c r="B461" t="s">
        <v>964</v>
      </c>
      <c r="C461" s="1">
        <v>45328</v>
      </c>
      <c r="D461">
        <v>37</v>
      </c>
      <c r="E461" t="s">
        <v>36</v>
      </c>
      <c r="F461" t="s">
        <v>21</v>
      </c>
      <c r="G461" t="s">
        <v>56</v>
      </c>
      <c r="H461">
        <v>239.81</v>
      </c>
      <c r="I461">
        <v>5</v>
      </c>
      <c r="J461">
        <v>0</v>
      </c>
      <c r="K461">
        <v>1199.05</v>
      </c>
      <c r="L461" t="s">
        <v>692</v>
      </c>
      <c r="M461" t="s">
        <v>24</v>
      </c>
      <c r="N461">
        <v>18</v>
      </c>
      <c r="O461">
        <v>8</v>
      </c>
      <c r="P461" t="b">
        <v>1</v>
      </c>
      <c r="Q461">
        <v>10</v>
      </c>
      <c r="R461">
        <v>5</v>
      </c>
    </row>
    <row r="462" spans="1:18">
      <c r="A462" t="s">
        <v>965</v>
      </c>
      <c r="B462" t="s">
        <v>966</v>
      </c>
      <c r="C462" s="1">
        <v>45143</v>
      </c>
      <c r="D462">
        <v>24</v>
      </c>
      <c r="E462" t="s">
        <v>20</v>
      </c>
      <c r="F462" t="s">
        <v>32</v>
      </c>
      <c r="G462" t="s">
        <v>46</v>
      </c>
      <c r="H462">
        <v>398.34</v>
      </c>
      <c r="I462">
        <v>2</v>
      </c>
      <c r="J462">
        <v>0</v>
      </c>
      <c r="K462">
        <v>796.68</v>
      </c>
      <c r="L462" t="s">
        <v>692</v>
      </c>
      <c r="M462" t="s">
        <v>33</v>
      </c>
      <c r="N462">
        <v>12</v>
      </c>
      <c r="O462">
        <v>7</v>
      </c>
      <c r="P462" t="b">
        <v>0</v>
      </c>
      <c r="Q462">
        <v>7</v>
      </c>
      <c r="R462">
        <v>5</v>
      </c>
    </row>
    <row r="463" spans="1:18">
      <c r="A463" t="s">
        <v>967</v>
      </c>
      <c r="B463" t="s">
        <v>968</v>
      </c>
      <c r="C463" s="1">
        <v>45283</v>
      </c>
      <c r="D463">
        <v>27</v>
      </c>
      <c r="E463" t="s">
        <v>20</v>
      </c>
      <c r="F463" t="s">
        <v>49</v>
      </c>
      <c r="G463" t="s">
        <v>115</v>
      </c>
      <c r="H463">
        <v>186.71</v>
      </c>
      <c r="I463">
        <v>4</v>
      </c>
      <c r="J463">
        <v>0</v>
      </c>
      <c r="K463">
        <v>746.84</v>
      </c>
      <c r="L463" t="s">
        <v>692</v>
      </c>
      <c r="M463" t="s">
        <v>24</v>
      </c>
      <c r="N463">
        <v>12</v>
      </c>
      <c r="O463">
        <v>6</v>
      </c>
      <c r="P463" t="b">
        <v>1</v>
      </c>
      <c r="Q463">
        <v>7</v>
      </c>
      <c r="R463">
        <v>5</v>
      </c>
    </row>
    <row r="464" spans="1:18">
      <c r="A464" t="s">
        <v>969</v>
      </c>
      <c r="B464" t="s">
        <v>970</v>
      </c>
      <c r="C464" s="1">
        <v>45211</v>
      </c>
      <c r="D464">
        <v>25</v>
      </c>
      <c r="E464" t="s">
        <v>36</v>
      </c>
      <c r="F464" t="s">
        <v>32</v>
      </c>
      <c r="G464" t="s">
        <v>56</v>
      </c>
      <c r="H464">
        <v>204.07</v>
      </c>
      <c r="I464">
        <v>5</v>
      </c>
      <c r="J464">
        <v>0</v>
      </c>
      <c r="K464">
        <v>1020.35</v>
      </c>
      <c r="L464" t="s">
        <v>692</v>
      </c>
      <c r="M464" t="s">
        <v>33</v>
      </c>
      <c r="N464">
        <v>35</v>
      </c>
      <c r="O464">
        <v>9</v>
      </c>
      <c r="P464" t="b">
        <v>1</v>
      </c>
      <c r="Q464">
        <v>6</v>
      </c>
      <c r="R464">
        <v>2</v>
      </c>
    </row>
    <row r="465" spans="1:18">
      <c r="A465" t="s">
        <v>971</v>
      </c>
      <c r="B465" t="s">
        <v>972</v>
      </c>
      <c r="C465" s="1">
        <v>45176</v>
      </c>
      <c r="D465">
        <v>57</v>
      </c>
      <c r="E465" t="s">
        <v>20</v>
      </c>
      <c r="F465" t="s">
        <v>73</v>
      </c>
      <c r="G465" t="s">
        <v>22</v>
      </c>
      <c r="H465">
        <v>250.04</v>
      </c>
      <c r="I465">
        <v>4</v>
      </c>
      <c r="J465">
        <v>0</v>
      </c>
      <c r="K465">
        <v>1000.16</v>
      </c>
      <c r="L465" t="s">
        <v>692</v>
      </c>
      <c r="M465" t="s">
        <v>33</v>
      </c>
      <c r="N465">
        <v>9</v>
      </c>
      <c r="O465">
        <v>15</v>
      </c>
      <c r="P465" t="b">
        <v>1</v>
      </c>
      <c r="Q465">
        <v>4</v>
      </c>
      <c r="R465">
        <v>5</v>
      </c>
    </row>
    <row r="466" spans="1:18">
      <c r="A466" t="s">
        <v>973</v>
      </c>
      <c r="B466" t="s">
        <v>974</v>
      </c>
      <c r="C466" s="1">
        <v>45006</v>
      </c>
      <c r="D466">
        <v>46</v>
      </c>
      <c r="E466" t="s">
        <v>36</v>
      </c>
      <c r="F466" t="s">
        <v>73</v>
      </c>
      <c r="G466" t="s">
        <v>28</v>
      </c>
      <c r="H466">
        <v>176.72</v>
      </c>
      <c r="I466">
        <v>4</v>
      </c>
      <c r="J466">
        <v>0</v>
      </c>
      <c r="K466">
        <v>706.88</v>
      </c>
      <c r="L466" t="s">
        <v>692</v>
      </c>
      <c r="M466" t="s">
        <v>33</v>
      </c>
      <c r="N466">
        <v>10</v>
      </c>
      <c r="O466">
        <v>12</v>
      </c>
      <c r="P466" t="b">
        <v>1</v>
      </c>
      <c r="Q466">
        <v>5</v>
      </c>
      <c r="R466">
        <v>4</v>
      </c>
    </row>
    <row r="467" spans="1:18">
      <c r="A467" t="s">
        <v>975</v>
      </c>
      <c r="B467" t="s">
        <v>976</v>
      </c>
      <c r="C467" s="1">
        <v>45024</v>
      </c>
      <c r="D467">
        <v>28</v>
      </c>
      <c r="E467" t="s">
        <v>20</v>
      </c>
      <c r="F467" t="s">
        <v>21</v>
      </c>
      <c r="G467" t="s">
        <v>46</v>
      </c>
      <c r="H467">
        <v>469.83</v>
      </c>
      <c r="I467">
        <v>1</v>
      </c>
      <c r="J467">
        <v>0</v>
      </c>
      <c r="K467">
        <v>469.83</v>
      </c>
      <c r="L467" t="s">
        <v>692</v>
      </c>
      <c r="M467" t="s">
        <v>33</v>
      </c>
      <c r="N467">
        <v>13</v>
      </c>
      <c r="O467">
        <v>11</v>
      </c>
      <c r="P467" t="b">
        <v>1</v>
      </c>
      <c r="Q467">
        <v>11</v>
      </c>
      <c r="R467">
        <v>4</v>
      </c>
    </row>
    <row r="468" spans="1:18">
      <c r="A468" t="s">
        <v>977</v>
      </c>
      <c r="B468" t="s">
        <v>978</v>
      </c>
      <c r="C468" s="1">
        <v>45303</v>
      </c>
      <c r="D468">
        <v>49</v>
      </c>
      <c r="E468" t="s">
        <v>20</v>
      </c>
      <c r="F468" t="s">
        <v>27</v>
      </c>
      <c r="G468" t="s">
        <v>37</v>
      </c>
      <c r="H468">
        <v>135.71</v>
      </c>
      <c r="I468">
        <v>1</v>
      </c>
      <c r="J468">
        <v>0</v>
      </c>
      <c r="K468">
        <v>135.71</v>
      </c>
      <c r="L468" t="s">
        <v>692</v>
      </c>
      <c r="M468" t="s">
        <v>33</v>
      </c>
      <c r="N468">
        <v>8</v>
      </c>
      <c r="O468">
        <v>12</v>
      </c>
      <c r="P468" t="b">
        <v>0</v>
      </c>
      <c r="Q468">
        <v>8</v>
      </c>
      <c r="R468">
        <v>3</v>
      </c>
    </row>
    <row r="469" spans="1:18">
      <c r="A469" t="s">
        <v>979</v>
      </c>
      <c r="B469" t="s">
        <v>980</v>
      </c>
      <c r="C469" s="1">
        <v>45204</v>
      </c>
      <c r="D469">
        <v>29</v>
      </c>
      <c r="E469" t="s">
        <v>20</v>
      </c>
      <c r="F469" t="s">
        <v>32</v>
      </c>
      <c r="G469" t="s">
        <v>22</v>
      </c>
      <c r="H469">
        <v>123.69</v>
      </c>
      <c r="I469">
        <v>1</v>
      </c>
      <c r="J469">
        <v>0</v>
      </c>
      <c r="K469">
        <v>123.69</v>
      </c>
      <c r="L469" t="s">
        <v>692</v>
      </c>
      <c r="M469" t="s">
        <v>33</v>
      </c>
      <c r="N469">
        <v>21</v>
      </c>
      <c r="O469">
        <v>12</v>
      </c>
      <c r="P469" t="b">
        <v>0</v>
      </c>
      <c r="Q469">
        <v>15</v>
      </c>
      <c r="R469">
        <v>3</v>
      </c>
    </row>
    <row r="470" spans="1:18">
      <c r="A470" t="s">
        <v>981</v>
      </c>
      <c r="B470" t="s">
        <v>982</v>
      </c>
      <c r="C470" s="1">
        <v>44958</v>
      </c>
      <c r="D470">
        <v>18</v>
      </c>
      <c r="E470" t="s">
        <v>36</v>
      </c>
      <c r="F470" t="s">
        <v>52</v>
      </c>
      <c r="G470" t="s">
        <v>64</v>
      </c>
      <c r="H470">
        <v>1201.31</v>
      </c>
      <c r="I470">
        <v>1</v>
      </c>
      <c r="J470">
        <v>177.05</v>
      </c>
      <c r="K470">
        <v>1024.26</v>
      </c>
      <c r="L470" t="s">
        <v>692</v>
      </c>
      <c r="M470" t="s">
        <v>24</v>
      </c>
      <c r="N470">
        <v>20</v>
      </c>
      <c r="O470">
        <v>10</v>
      </c>
      <c r="P470" t="b">
        <v>1</v>
      </c>
      <c r="Q470">
        <v>12</v>
      </c>
      <c r="R470">
        <v>5</v>
      </c>
    </row>
    <row r="471" spans="1:18">
      <c r="A471" t="s">
        <v>983</v>
      </c>
      <c r="B471" t="s">
        <v>984</v>
      </c>
      <c r="C471" s="1">
        <v>45309</v>
      </c>
      <c r="D471">
        <v>51</v>
      </c>
      <c r="E471" t="s">
        <v>20</v>
      </c>
      <c r="F471" t="s">
        <v>21</v>
      </c>
      <c r="G471" t="s">
        <v>56</v>
      </c>
      <c r="H471">
        <v>656.9</v>
      </c>
      <c r="I471">
        <v>1</v>
      </c>
      <c r="J471">
        <v>0</v>
      </c>
      <c r="K471">
        <v>656.9</v>
      </c>
      <c r="L471" t="s">
        <v>692</v>
      </c>
      <c r="M471" t="s">
        <v>29</v>
      </c>
      <c r="N471">
        <v>1</v>
      </c>
      <c r="O471">
        <v>7</v>
      </c>
      <c r="P471" t="b">
        <v>0</v>
      </c>
      <c r="Q471">
        <v>9</v>
      </c>
      <c r="R471">
        <v>5</v>
      </c>
    </row>
    <row r="472" spans="1:18">
      <c r="A472" t="s">
        <v>985</v>
      </c>
      <c r="B472" t="s">
        <v>986</v>
      </c>
      <c r="C472" s="1">
        <v>44952</v>
      </c>
      <c r="D472">
        <v>18</v>
      </c>
      <c r="E472" t="s">
        <v>36</v>
      </c>
      <c r="F472" t="s">
        <v>49</v>
      </c>
      <c r="G472" t="s">
        <v>46</v>
      </c>
      <c r="H472">
        <v>118.11</v>
      </c>
      <c r="I472">
        <v>1</v>
      </c>
      <c r="J472">
        <v>0</v>
      </c>
      <c r="K472">
        <v>118.11</v>
      </c>
      <c r="L472" t="s">
        <v>692</v>
      </c>
      <c r="M472" t="s">
        <v>24</v>
      </c>
      <c r="N472">
        <v>45</v>
      </c>
      <c r="O472">
        <v>7</v>
      </c>
      <c r="P472" t="b">
        <v>1</v>
      </c>
      <c r="Q472">
        <v>2</v>
      </c>
      <c r="R472">
        <v>5</v>
      </c>
    </row>
    <row r="473" spans="1:18">
      <c r="A473" t="s">
        <v>987</v>
      </c>
      <c r="B473" t="s">
        <v>988</v>
      </c>
      <c r="C473" s="1">
        <v>45226</v>
      </c>
      <c r="D473">
        <v>27</v>
      </c>
      <c r="E473" t="s">
        <v>20</v>
      </c>
      <c r="F473" t="s">
        <v>49</v>
      </c>
      <c r="G473" t="s">
        <v>28</v>
      </c>
      <c r="H473">
        <v>520.04999999999995</v>
      </c>
      <c r="I473">
        <v>2</v>
      </c>
      <c r="J473">
        <v>0</v>
      </c>
      <c r="K473">
        <v>1040.0999999999999</v>
      </c>
      <c r="L473" t="s">
        <v>692</v>
      </c>
      <c r="M473" t="s">
        <v>33</v>
      </c>
      <c r="N473">
        <v>2</v>
      </c>
      <c r="O473">
        <v>10</v>
      </c>
      <c r="P473" t="b">
        <v>1</v>
      </c>
      <c r="Q473">
        <v>23</v>
      </c>
      <c r="R473">
        <v>4</v>
      </c>
    </row>
    <row r="474" spans="1:18">
      <c r="A474" t="s">
        <v>989</v>
      </c>
      <c r="B474" t="s">
        <v>990</v>
      </c>
      <c r="C474" s="1">
        <v>45171</v>
      </c>
      <c r="D474">
        <v>35</v>
      </c>
      <c r="E474" t="s">
        <v>20</v>
      </c>
      <c r="F474" t="s">
        <v>27</v>
      </c>
      <c r="G474" t="s">
        <v>28</v>
      </c>
      <c r="H474">
        <v>361.3</v>
      </c>
      <c r="I474">
        <v>1</v>
      </c>
      <c r="J474">
        <v>0</v>
      </c>
      <c r="K474">
        <v>361.3</v>
      </c>
      <c r="L474" t="s">
        <v>692</v>
      </c>
      <c r="M474" t="s">
        <v>33</v>
      </c>
      <c r="N474">
        <v>9</v>
      </c>
      <c r="O474">
        <v>8</v>
      </c>
      <c r="P474" t="b">
        <v>0</v>
      </c>
      <c r="Q474">
        <v>4</v>
      </c>
      <c r="R474">
        <v>4</v>
      </c>
    </row>
    <row r="475" spans="1:18">
      <c r="A475" t="s">
        <v>991</v>
      </c>
      <c r="B475" t="s">
        <v>992</v>
      </c>
      <c r="C475" s="1">
        <v>45007</v>
      </c>
      <c r="D475">
        <v>22</v>
      </c>
      <c r="E475" t="s">
        <v>36</v>
      </c>
      <c r="F475" t="s">
        <v>52</v>
      </c>
      <c r="G475" t="s">
        <v>28</v>
      </c>
      <c r="H475">
        <v>145.63999999999999</v>
      </c>
      <c r="I475">
        <v>1</v>
      </c>
      <c r="J475">
        <v>0</v>
      </c>
      <c r="K475">
        <v>145.63999999999999</v>
      </c>
      <c r="L475" t="s">
        <v>692</v>
      </c>
      <c r="M475" t="s">
        <v>33</v>
      </c>
      <c r="N475">
        <v>4</v>
      </c>
      <c r="O475">
        <v>8</v>
      </c>
      <c r="P475" t="b">
        <v>1</v>
      </c>
      <c r="Q475">
        <v>5</v>
      </c>
      <c r="R475">
        <v>4</v>
      </c>
    </row>
    <row r="476" spans="1:18">
      <c r="A476" t="s">
        <v>993</v>
      </c>
      <c r="B476" t="s">
        <v>994</v>
      </c>
      <c r="C476" s="1">
        <v>45187</v>
      </c>
      <c r="D476">
        <v>36</v>
      </c>
      <c r="E476" t="s">
        <v>20</v>
      </c>
      <c r="F476" t="s">
        <v>59</v>
      </c>
      <c r="G476" t="s">
        <v>37</v>
      </c>
      <c r="H476">
        <v>140.94999999999999</v>
      </c>
      <c r="I476">
        <v>1</v>
      </c>
      <c r="J476">
        <v>0</v>
      </c>
      <c r="K476">
        <v>140.94999999999999</v>
      </c>
      <c r="L476" t="s">
        <v>692</v>
      </c>
      <c r="M476" t="s">
        <v>33</v>
      </c>
      <c r="N476">
        <v>8</v>
      </c>
      <c r="O476">
        <v>6</v>
      </c>
      <c r="P476" t="b">
        <v>1</v>
      </c>
      <c r="Q476">
        <v>13</v>
      </c>
      <c r="R476">
        <v>2</v>
      </c>
    </row>
    <row r="477" spans="1:18">
      <c r="A477" t="s">
        <v>995</v>
      </c>
      <c r="B477" t="s">
        <v>996</v>
      </c>
      <c r="C477" s="1">
        <v>44961</v>
      </c>
      <c r="D477">
        <v>38</v>
      </c>
      <c r="E477" t="s">
        <v>20</v>
      </c>
      <c r="F477" t="s">
        <v>73</v>
      </c>
      <c r="G477" t="s">
        <v>37</v>
      </c>
      <c r="H477">
        <v>135.88</v>
      </c>
      <c r="I477">
        <v>4</v>
      </c>
      <c r="J477">
        <v>16.14</v>
      </c>
      <c r="K477">
        <v>527.38</v>
      </c>
      <c r="L477" t="s">
        <v>692</v>
      </c>
      <c r="M477" t="s">
        <v>24</v>
      </c>
      <c r="N477">
        <v>13</v>
      </c>
      <c r="O477">
        <v>15</v>
      </c>
      <c r="P477" t="b">
        <v>0</v>
      </c>
      <c r="Q477">
        <v>7</v>
      </c>
      <c r="R477">
        <v>4</v>
      </c>
    </row>
    <row r="478" spans="1:18">
      <c r="A478" t="s">
        <v>997</v>
      </c>
      <c r="B478" t="s">
        <v>998</v>
      </c>
      <c r="C478" s="1">
        <v>45272</v>
      </c>
      <c r="D478">
        <v>26</v>
      </c>
      <c r="E478" t="s">
        <v>36</v>
      </c>
      <c r="F478" t="s">
        <v>88</v>
      </c>
      <c r="G478" t="s">
        <v>46</v>
      </c>
      <c r="H478">
        <v>914.56</v>
      </c>
      <c r="I478">
        <v>3</v>
      </c>
      <c r="J478">
        <v>163.69999999999999</v>
      </c>
      <c r="K478">
        <v>2579.98</v>
      </c>
      <c r="L478" t="s">
        <v>692</v>
      </c>
      <c r="M478" t="s">
        <v>33</v>
      </c>
      <c r="N478">
        <v>8</v>
      </c>
      <c r="O478">
        <v>11</v>
      </c>
      <c r="P478" t="b">
        <v>1</v>
      </c>
      <c r="Q478">
        <v>4</v>
      </c>
      <c r="R478">
        <v>2</v>
      </c>
    </row>
    <row r="479" spans="1:18">
      <c r="A479" t="s">
        <v>999</v>
      </c>
      <c r="B479" t="s">
        <v>1000</v>
      </c>
      <c r="C479" s="1">
        <v>45047</v>
      </c>
      <c r="D479">
        <v>36</v>
      </c>
      <c r="E479" t="s">
        <v>20</v>
      </c>
      <c r="F479" t="s">
        <v>32</v>
      </c>
      <c r="G479" t="s">
        <v>46</v>
      </c>
      <c r="H479">
        <v>440.2</v>
      </c>
      <c r="I479">
        <v>1</v>
      </c>
      <c r="J479">
        <v>0</v>
      </c>
      <c r="K479">
        <v>440.2</v>
      </c>
      <c r="L479" t="s">
        <v>692</v>
      </c>
      <c r="M479" t="s">
        <v>24</v>
      </c>
      <c r="N479">
        <v>7</v>
      </c>
      <c r="O479">
        <v>7</v>
      </c>
      <c r="P479" t="b">
        <v>1</v>
      </c>
      <c r="Q479">
        <v>8</v>
      </c>
      <c r="R479">
        <v>5</v>
      </c>
    </row>
    <row r="480" spans="1:18">
      <c r="A480" t="s">
        <v>1001</v>
      </c>
      <c r="B480" t="s">
        <v>1002</v>
      </c>
      <c r="C480" s="1">
        <v>45133</v>
      </c>
      <c r="D480">
        <v>49</v>
      </c>
      <c r="E480" t="s">
        <v>20</v>
      </c>
      <c r="F480" t="s">
        <v>52</v>
      </c>
      <c r="G480" t="s">
        <v>37</v>
      </c>
      <c r="H480">
        <v>147.38999999999999</v>
      </c>
      <c r="I480">
        <v>3</v>
      </c>
      <c r="J480">
        <v>40.69</v>
      </c>
      <c r="K480">
        <v>401.48</v>
      </c>
      <c r="L480" t="s">
        <v>692</v>
      </c>
      <c r="M480" t="s">
        <v>24</v>
      </c>
      <c r="N480">
        <v>21</v>
      </c>
      <c r="O480">
        <v>7</v>
      </c>
      <c r="P480" t="b">
        <v>0</v>
      </c>
      <c r="Q480">
        <v>5</v>
      </c>
      <c r="R480">
        <v>4</v>
      </c>
    </row>
    <row r="481" spans="1:18">
      <c r="A481" t="s">
        <v>1003</v>
      </c>
      <c r="B481" t="s">
        <v>1004</v>
      </c>
      <c r="C481" s="1">
        <v>45223</v>
      </c>
      <c r="D481">
        <v>32</v>
      </c>
      <c r="E481" t="s">
        <v>122</v>
      </c>
      <c r="F481" t="s">
        <v>88</v>
      </c>
      <c r="G481" t="s">
        <v>64</v>
      </c>
      <c r="H481">
        <v>2432.27</v>
      </c>
      <c r="I481">
        <v>1</v>
      </c>
      <c r="J481">
        <v>301.61</v>
      </c>
      <c r="K481">
        <v>2130.66</v>
      </c>
      <c r="L481" t="s">
        <v>692</v>
      </c>
      <c r="M481" t="s">
        <v>29</v>
      </c>
      <c r="N481">
        <v>24</v>
      </c>
      <c r="O481">
        <v>11</v>
      </c>
      <c r="P481" t="b">
        <v>1</v>
      </c>
      <c r="Q481">
        <v>3</v>
      </c>
      <c r="R481">
        <v>1</v>
      </c>
    </row>
    <row r="482" spans="1:18">
      <c r="A482" t="s">
        <v>1005</v>
      </c>
      <c r="B482" t="s">
        <v>1006</v>
      </c>
      <c r="C482" s="1">
        <v>45231</v>
      </c>
      <c r="D482">
        <v>46</v>
      </c>
      <c r="E482" t="s">
        <v>20</v>
      </c>
      <c r="F482" t="s">
        <v>21</v>
      </c>
      <c r="G482" t="s">
        <v>28</v>
      </c>
      <c r="H482">
        <v>71.42</v>
      </c>
      <c r="I482">
        <v>2</v>
      </c>
      <c r="J482">
        <v>0</v>
      </c>
      <c r="K482">
        <v>142.84</v>
      </c>
      <c r="L482" t="s">
        <v>692</v>
      </c>
      <c r="M482" t="s">
        <v>29</v>
      </c>
      <c r="N482">
        <v>5</v>
      </c>
      <c r="O482">
        <v>4</v>
      </c>
      <c r="P482" t="b">
        <v>1</v>
      </c>
      <c r="Q482">
        <v>3</v>
      </c>
      <c r="R482">
        <v>2</v>
      </c>
    </row>
    <row r="483" spans="1:18">
      <c r="A483" t="s">
        <v>1007</v>
      </c>
      <c r="B483" t="s">
        <v>1008</v>
      </c>
      <c r="C483" s="1">
        <v>45225</v>
      </c>
      <c r="D483">
        <v>18</v>
      </c>
      <c r="E483" t="s">
        <v>36</v>
      </c>
      <c r="F483" t="s">
        <v>49</v>
      </c>
      <c r="G483" t="s">
        <v>28</v>
      </c>
      <c r="H483">
        <v>45.25</v>
      </c>
      <c r="I483">
        <v>1</v>
      </c>
      <c r="J483">
        <v>0</v>
      </c>
      <c r="K483">
        <v>45.25</v>
      </c>
      <c r="L483" t="s">
        <v>692</v>
      </c>
      <c r="M483" t="s">
        <v>33</v>
      </c>
      <c r="N483">
        <v>14</v>
      </c>
      <c r="O483">
        <v>11</v>
      </c>
      <c r="P483" t="b">
        <v>1</v>
      </c>
      <c r="Q483">
        <v>4</v>
      </c>
      <c r="R483">
        <v>5</v>
      </c>
    </row>
    <row r="484" spans="1:18">
      <c r="A484" t="s">
        <v>1009</v>
      </c>
      <c r="B484" t="s">
        <v>1010</v>
      </c>
      <c r="C484" s="1">
        <v>45216</v>
      </c>
      <c r="D484">
        <v>20</v>
      </c>
      <c r="E484" t="s">
        <v>36</v>
      </c>
      <c r="F484" t="s">
        <v>52</v>
      </c>
      <c r="G484" t="s">
        <v>64</v>
      </c>
      <c r="H484">
        <v>892.29</v>
      </c>
      <c r="I484">
        <v>4</v>
      </c>
      <c r="J484">
        <v>0</v>
      </c>
      <c r="K484">
        <v>3569.16</v>
      </c>
      <c r="L484" t="s">
        <v>692</v>
      </c>
      <c r="M484" t="s">
        <v>33</v>
      </c>
      <c r="N484">
        <v>9</v>
      </c>
      <c r="O484">
        <v>5</v>
      </c>
      <c r="P484" t="b">
        <v>1</v>
      </c>
      <c r="Q484">
        <v>3</v>
      </c>
      <c r="R484">
        <v>4</v>
      </c>
    </row>
    <row r="485" spans="1:18">
      <c r="A485" t="s">
        <v>1011</v>
      </c>
      <c r="B485" t="s">
        <v>1012</v>
      </c>
      <c r="C485" s="1">
        <v>45194</v>
      </c>
      <c r="D485">
        <v>18</v>
      </c>
      <c r="E485" t="s">
        <v>20</v>
      </c>
      <c r="F485" t="s">
        <v>32</v>
      </c>
      <c r="G485" t="s">
        <v>56</v>
      </c>
      <c r="H485">
        <v>1028.79</v>
      </c>
      <c r="I485">
        <v>1</v>
      </c>
      <c r="J485">
        <v>0</v>
      </c>
      <c r="K485">
        <v>1028.79</v>
      </c>
      <c r="L485" t="s">
        <v>692</v>
      </c>
      <c r="M485" t="s">
        <v>29</v>
      </c>
      <c r="N485">
        <v>10</v>
      </c>
      <c r="O485">
        <v>6</v>
      </c>
      <c r="P485" t="b">
        <v>1</v>
      </c>
      <c r="Q485">
        <v>6</v>
      </c>
      <c r="R485">
        <v>4</v>
      </c>
    </row>
    <row r="486" spans="1:18">
      <c r="A486" t="s">
        <v>1013</v>
      </c>
      <c r="B486" t="s">
        <v>1014</v>
      </c>
      <c r="C486" s="1">
        <v>45060</v>
      </c>
      <c r="D486">
        <v>43</v>
      </c>
      <c r="E486" t="s">
        <v>20</v>
      </c>
      <c r="F486" t="s">
        <v>32</v>
      </c>
      <c r="G486" t="s">
        <v>22</v>
      </c>
      <c r="H486">
        <v>275.02999999999997</v>
      </c>
      <c r="I486">
        <v>2</v>
      </c>
      <c r="J486">
        <v>0</v>
      </c>
      <c r="K486">
        <v>550.05999999999995</v>
      </c>
      <c r="L486" t="s">
        <v>692</v>
      </c>
      <c r="M486" t="s">
        <v>33</v>
      </c>
      <c r="N486">
        <v>16</v>
      </c>
      <c r="O486">
        <v>12</v>
      </c>
      <c r="P486" t="b">
        <v>1</v>
      </c>
      <c r="Q486">
        <v>12</v>
      </c>
      <c r="R486">
        <v>5</v>
      </c>
    </row>
    <row r="487" spans="1:18">
      <c r="A487" t="s">
        <v>1015</v>
      </c>
      <c r="B487" t="s">
        <v>1016</v>
      </c>
      <c r="C487" s="1">
        <v>45293</v>
      </c>
      <c r="D487">
        <v>54</v>
      </c>
      <c r="E487" t="s">
        <v>36</v>
      </c>
      <c r="F487" t="s">
        <v>32</v>
      </c>
      <c r="G487" t="s">
        <v>53</v>
      </c>
      <c r="H487">
        <v>82.82</v>
      </c>
      <c r="I487">
        <v>2</v>
      </c>
      <c r="J487">
        <v>0</v>
      </c>
      <c r="K487">
        <v>165.64</v>
      </c>
      <c r="L487" t="s">
        <v>692</v>
      </c>
      <c r="M487" t="s">
        <v>24</v>
      </c>
      <c r="N487">
        <v>19</v>
      </c>
      <c r="O487">
        <v>10</v>
      </c>
      <c r="P487" t="b">
        <v>1</v>
      </c>
      <c r="Q487">
        <v>4</v>
      </c>
      <c r="R487">
        <v>5</v>
      </c>
    </row>
    <row r="488" spans="1:18">
      <c r="A488" t="s">
        <v>1017</v>
      </c>
      <c r="B488" t="s">
        <v>1018</v>
      </c>
      <c r="C488" s="1">
        <v>44994</v>
      </c>
      <c r="D488">
        <v>34</v>
      </c>
      <c r="E488" t="s">
        <v>20</v>
      </c>
      <c r="F488" t="s">
        <v>73</v>
      </c>
      <c r="G488" t="s">
        <v>115</v>
      </c>
      <c r="H488">
        <v>45.6</v>
      </c>
      <c r="I488">
        <v>2</v>
      </c>
      <c r="J488">
        <v>6.6</v>
      </c>
      <c r="K488">
        <v>84.6</v>
      </c>
      <c r="L488" t="s">
        <v>692</v>
      </c>
      <c r="M488" t="s">
        <v>33</v>
      </c>
      <c r="N488">
        <v>15</v>
      </c>
      <c r="O488">
        <v>5</v>
      </c>
      <c r="P488" t="b">
        <v>0</v>
      </c>
      <c r="Q488">
        <v>5</v>
      </c>
      <c r="R488">
        <v>3</v>
      </c>
    </row>
    <row r="489" spans="1:18">
      <c r="A489" t="s">
        <v>1019</v>
      </c>
      <c r="B489" t="s">
        <v>1020</v>
      </c>
      <c r="C489" s="1">
        <v>45270</v>
      </c>
      <c r="D489">
        <v>18</v>
      </c>
      <c r="E489" t="s">
        <v>122</v>
      </c>
      <c r="F489" t="s">
        <v>88</v>
      </c>
      <c r="G489" t="s">
        <v>64</v>
      </c>
      <c r="H489">
        <v>635.69000000000005</v>
      </c>
      <c r="I489">
        <v>2</v>
      </c>
      <c r="J489">
        <v>0</v>
      </c>
      <c r="K489">
        <v>1271.3800000000001</v>
      </c>
      <c r="L489" t="s">
        <v>692</v>
      </c>
      <c r="M489" t="s">
        <v>24</v>
      </c>
      <c r="N489">
        <v>17</v>
      </c>
      <c r="O489">
        <v>6</v>
      </c>
      <c r="P489" t="b">
        <v>1</v>
      </c>
      <c r="Q489">
        <v>5</v>
      </c>
      <c r="R489">
        <v>3</v>
      </c>
    </row>
    <row r="490" spans="1:18">
      <c r="A490" t="s">
        <v>1021</v>
      </c>
      <c r="B490" t="s">
        <v>1022</v>
      </c>
      <c r="C490" s="1">
        <v>45257</v>
      </c>
      <c r="D490">
        <v>33</v>
      </c>
      <c r="E490" t="s">
        <v>20</v>
      </c>
      <c r="F490" t="s">
        <v>49</v>
      </c>
      <c r="G490" t="s">
        <v>56</v>
      </c>
      <c r="H490">
        <v>311.36</v>
      </c>
      <c r="I490">
        <v>1</v>
      </c>
      <c r="J490">
        <v>46.57</v>
      </c>
      <c r="K490">
        <v>264.79000000000002</v>
      </c>
      <c r="L490" t="s">
        <v>692</v>
      </c>
      <c r="M490" t="s">
        <v>33</v>
      </c>
      <c r="N490">
        <v>10</v>
      </c>
      <c r="O490">
        <v>11</v>
      </c>
      <c r="P490" t="b">
        <v>1</v>
      </c>
      <c r="Q490">
        <v>2</v>
      </c>
      <c r="R490">
        <v>3</v>
      </c>
    </row>
    <row r="491" spans="1:18">
      <c r="A491" t="s">
        <v>1023</v>
      </c>
      <c r="B491" t="s">
        <v>1024</v>
      </c>
      <c r="C491" s="1">
        <v>45311</v>
      </c>
      <c r="D491">
        <v>23</v>
      </c>
      <c r="E491" t="s">
        <v>20</v>
      </c>
      <c r="F491" t="s">
        <v>27</v>
      </c>
      <c r="G491" t="s">
        <v>22</v>
      </c>
      <c r="H491">
        <v>148.35</v>
      </c>
      <c r="I491">
        <v>4</v>
      </c>
      <c r="J491">
        <v>0</v>
      </c>
      <c r="K491">
        <v>593.4</v>
      </c>
      <c r="L491" t="s">
        <v>692</v>
      </c>
      <c r="M491" t="s">
        <v>33</v>
      </c>
      <c r="N491">
        <v>21</v>
      </c>
      <c r="O491">
        <v>10</v>
      </c>
      <c r="P491" t="b">
        <v>0</v>
      </c>
      <c r="Q491">
        <v>4</v>
      </c>
      <c r="R491">
        <v>4</v>
      </c>
    </row>
    <row r="492" spans="1:18">
      <c r="A492" t="s">
        <v>1025</v>
      </c>
      <c r="B492" t="s">
        <v>1026</v>
      </c>
      <c r="C492" s="1">
        <v>45245</v>
      </c>
      <c r="D492">
        <v>46</v>
      </c>
      <c r="E492" t="s">
        <v>36</v>
      </c>
      <c r="F492" t="s">
        <v>73</v>
      </c>
      <c r="G492" t="s">
        <v>46</v>
      </c>
      <c r="H492">
        <v>350.06</v>
      </c>
      <c r="I492">
        <v>3</v>
      </c>
      <c r="J492">
        <v>97.43</v>
      </c>
      <c r="K492">
        <v>952.75</v>
      </c>
      <c r="L492" t="s">
        <v>692</v>
      </c>
      <c r="M492" t="s">
        <v>24</v>
      </c>
      <c r="N492">
        <v>18</v>
      </c>
      <c r="O492">
        <v>10</v>
      </c>
      <c r="P492" t="b">
        <v>1</v>
      </c>
      <c r="Q492">
        <v>3</v>
      </c>
      <c r="R492">
        <v>5</v>
      </c>
    </row>
    <row r="493" spans="1:18">
      <c r="A493" t="s">
        <v>1027</v>
      </c>
      <c r="B493" t="s">
        <v>1028</v>
      </c>
      <c r="C493" s="1">
        <v>44978</v>
      </c>
      <c r="D493">
        <v>41</v>
      </c>
      <c r="E493" t="s">
        <v>36</v>
      </c>
      <c r="F493" t="s">
        <v>49</v>
      </c>
      <c r="G493" t="s">
        <v>22</v>
      </c>
      <c r="H493">
        <v>214.36</v>
      </c>
      <c r="I493">
        <v>1</v>
      </c>
      <c r="J493">
        <v>0</v>
      </c>
      <c r="K493">
        <v>214.36</v>
      </c>
      <c r="L493" t="s">
        <v>692</v>
      </c>
      <c r="M493" t="s">
        <v>33</v>
      </c>
      <c r="N493">
        <v>8</v>
      </c>
      <c r="O493">
        <v>7</v>
      </c>
      <c r="P493" t="b">
        <v>0</v>
      </c>
      <c r="Q493">
        <v>8</v>
      </c>
      <c r="R493">
        <v>5</v>
      </c>
    </row>
    <row r="494" spans="1:18">
      <c r="A494" t="s">
        <v>1029</v>
      </c>
      <c r="B494" t="s">
        <v>1030</v>
      </c>
      <c r="C494" s="1">
        <v>44964</v>
      </c>
      <c r="D494">
        <v>28</v>
      </c>
      <c r="E494" t="s">
        <v>36</v>
      </c>
      <c r="F494" t="s">
        <v>59</v>
      </c>
      <c r="G494" t="s">
        <v>56</v>
      </c>
      <c r="H494">
        <v>293.95</v>
      </c>
      <c r="I494">
        <v>1</v>
      </c>
      <c r="J494">
        <v>22.04</v>
      </c>
      <c r="K494">
        <v>271.91000000000003</v>
      </c>
      <c r="L494" t="s">
        <v>692</v>
      </c>
      <c r="M494" t="s">
        <v>29</v>
      </c>
      <c r="N494">
        <v>10</v>
      </c>
      <c r="O494">
        <v>10</v>
      </c>
      <c r="P494" t="b">
        <v>1</v>
      </c>
      <c r="Q494">
        <v>12</v>
      </c>
      <c r="R494">
        <v>5</v>
      </c>
    </row>
    <row r="495" spans="1:18">
      <c r="A495" t="s">
        <v>1031</v>
      </c>
      <c r="B495" t="s">
        <v>1032</v>
      </c>
      <c r="C495" s="1">
        <v>45202</v>
      </c>
      <c r="D495">
        <v>25</v>
      </c>
      <c r="E495" t="s">
        <v>20</v>
      </c>
      <c r="F495" t="s">
        <v>32</v>
      </c>
      <c r="G495" t="s">
        <v>28</v>
      </c>
      <c r="H495">
        <v>182.49</v>
      </c>
      <c r="I495">
        <v>3</v>
      </c>
      <c r="J495">
        <v>40.229999999999997</v>
      </c>
      <c r="K495">
        <v>507.24</v>
      </c>
      <c r="L495" t="s">
        <v>692</v>
      </c>
      <c r="M495" t="s">
        <v>33</v>
      </c>
      <c r="N495">
        <v>25</v>
      </c>
      <c r="O495">
        <v>7</v>
      </c>
      <c r="P495" t="b">
        <v>0</v>
      </c>
      <c r="Q495">
        <v>5</v>
      </c>
      <c r="R495">
        <v>4</v>
      </c>
    </row>
    <row r="496" spans="1:18">
      <c r="A496" t="s">
        <v>1033</v>
      </c>
      <c r="B496" t="s">
        <v>1034</v>
      </c>
      <c r="C496" s="1">
        <v>45036</v>
      </c>
      <c r="D496">
        <v>33</v>
      </c>
      <c r="E496" t="s">
        <v>20</v>
      </c>
      <c r="F496" t="s">
        <v>83</v>
      </c>
      <c r="G496" t="s">
        <v>37</v>
      </c>
      <c r="H496">
        <v>122.34</v>
      </c>
      <c r="I496">
        <v>1</v>
      </c>
      <c r="J496">
        <v>0</v>
      </c>
      <c r="K496">
        <v>122.34</v>
      </c>
      <c r="L496" t="s">
        <v>692</v>
      </c>
      <c r="M496" t="s">
        <v>24</v>
      </c>
      <c r="N496">
        <v>16</v>
      </c>
      <c r="O496">
        <v>8</v>
      </c>
      <c r="P496" t="b">
        <v>1</v>
      </c>
      <c r="Q496">
        <v>9</v>
      </c>
      <c r="R496">
        <v>4</v>
      </c>
    </row>
    <row r="497" spans="1:18">
      <c r="A497" t="s">
        <v>1035</v>
      </c>
      <c r="B497" t="s">
        <v>1036</v>
      </c>
      <c r="C497" s="1">
        <v>45062</v>
      </c>
      <c r="D497">
        <v>28</v>
      </c>
      <c r="E497" t="s">
        <v>20</v>
      </c>
      <c r="F497" t="s">
        <v>21</v>
      </c>
      <c r="G497" t="s">
        <v>37</v>
      </c>
      <c r="H497">
        <v>213.77</v>
      </c>
      <c r="I497">
        <v>4</v>
      </c>
      <c r="J497">
        <v>0</v>
      </c>
      <c r="K497">
        <v>855.08</v>
      </c>
      <c r="L497" t="s">
        <v>692</v>
      </c>
      <c r="M497" t="s">
        <v>24</v>
      </c>
      <c r="N497">
        <v>22</v>
      </c>
      <c r="O497">
        <v>5</v>
      </c>
      <c r="P497" t="b">
        <v>0</v>
      </c>
      <c r="Q497">
        <v>2</v>
      </c>
      <c r="R497">
        <v>4</v>
      </c>
    </row>
    <row r="498" spans="1:18">
      <c r="A498" t="s">
        <v>1037</v>
      </c>
      <c r="B498" t="s">
        <v>1038</v>
      </c>
      <c r="C498" s="1">
        <v>45105</v>
      </c>
      <c r="D498">
        <v>58</v>
      </c>
      <c r="E498" t="s">
        <v>36</v>
      </c>
      <c r="F498" t="s">
        <v>32</v>
      </c>
      <c r="G498" t="s">
        <v>115</v>
      </c>
      <c r="H498">
        <v>36.1</v>
      </c>
      <c r="I498">
        <v>3</v>
      </c>
      <c r="J498">
        <v>0</v>
      </c>
      <c r="K498">
        <v>108.3</v>
      </c>
      <c r="L498" t="s">
        <v>692</v>
      </c>
      <c r="M498" t="s">
        <v>33</v>
      </c>
      <c r="N498">
        <v>14</v>
      </c>
      <c r="O498">
        <v>7</v>
      </c>
      <c r="P498" t="b">
        <v>1</v>
      </c>
      <c r="Q498">
        <v>13</v>
      </c>
      <c r="R498">
        <v>4</v>
      </c>
    </row>
    <row r="499" spans="1:18">
      <c r="A499" t="s">
        <v>1039</v>
      </c>
      <c r="B499" t="s">
        <v>1040</v>
      </c>
      <c r="C499" s="1">
        <v>44962</v>
      </c>
      <c r="D499">
        <v>35</v>
      </c>
      <c r="E499" t="s">
        <v>20</v>
      </c>
      <c r="F499" t="s">
        <v>21</v>
      </c>
      <c r="G499" t="s">
        <v>56</v>
      </c>
      <c r="H499">
        <v>205.05</v>
      </c>
      <c r="I499">
        <v>2</v>
      </c>
      <c r="J499">
        <v>0</v>
      </c>
      <c r="K499">
        <v>410.1</v>
      </c>
      <c r="L499" t="s">
        <v>692</v>
      </c>
      <c r="M499" t="s">
        <v>24</v>
      </c>
      <c r="N499">
        <v>22</v>
      </c>
      <c r="O499">
        <v>6</v>
      </c>
      <c r="P499" t="b">
        <v>1</v>
      </c>
      <c r="Q499">
        <v>5</v>
      </c>
      <c r="R499">
        <v>5</v>
      </c>
    </row>
    <row r="500" spans="1:18">
      <c r="A500" t="s">
        <v>1041</v>
      </c>
      <c r="B500" t="s">
        <v>1042</v>
      </c>
      <c r="C500" s="1">
        <v>45377</v>
      </c>
      <c r="D500">
        <v>26</v>
      </c>
      <c r="E500" t="s">
        <v>20</v>
      </c>
      <c r="F500" t="s">
        <v>32</v>
      </c>
      <c r="G500" t="s">
        <v>115</v>
      </c>
      <c r="H500">
        <v>19.84</v>
      </c>
      <c r="I500">
        <v>3</v>
      </c>
      <c r="J500">
        <v>0</v>
      </c>
      <c r="K500">
        <v>59.52</v>
      </c>
      <c r="L500" t="s">
        <v>692</v>
      </c>
      <c r="M500" t="s">
        <v>33</v>
      </c>
      <c r="N500">
        <v>11</v>
      </c>
      <c r="O500">
        <v>10</v>
      </c>
      <c r="P500" t="b">
        <v>0</v>
      </c>
      <c r="Q500">
        <v>6</v>
      </c>
      <c r="R500">
        <v>4</v>
      </c>
    </row>
    <row r="501" spans="1:18">
      <c r="A501" t="s">
        <v>1043</v>
      </c>
      <c r="B501" t="s">
        <v>1044</v>
      </c>
      <c r="C501" s="1">
        <v>45052</v>
      </c>
      <c r="D501">
        <v>37</v>
      </c>
      <c r="E501" t="s">
        <v>36</v>
      </c>
      <c r="F501" t="s">
        <v>52</v>
      </c>
      <c r="G501" t="s">
        <v>37</v>
      </c>
      <c r="H501">
        <v>103.09</v>
      </c>
      <c r="I501">
        <v>2</v>
      </c>
      <c r="J501">
        <v>0</v>
      </c>
      <c r="K501">
        <v>206.18</v>
      </c>
      <c r="L501" t="s">
        <v>692</v>
      </c>
      <c r="M501" t="s">
        <v>33</v>
      </c>
      <c r="N501">
        <v>15</v>
      </c>
      <c r="O501">
        <v>8</v>
      </c>
      <c r="P501" t="b">
        <v>0</v>
      </c>
      <c r="Q501">
        <v>5</v>
      </c>
      <c r="R501">
        <v>3</v>
      </c>
    </row>
    <row r="502" spans="1:18">
      <c r="A502" t="s">
        <v>1045</v>
      </c>
      <c r="B502" t="s">
        <v>1046</v>
      </c>
      <c r="C502" s="1">
        <v>45116</v>
      </c>
      <c r="D502">
        <v>33</v>
      </c>
      <c r="E502" t="s">
        <v>20</v>
      </c>
      <c r="F502" t="s">
        <v>32</v>
      </c>
      <c r="G502" t="s">
        <v>56</v>
      </c>
      <c r="H502">
        <v>343.43</v>
      </c>
      <c r="I502">
        <v>5</v>
      </c>
      <c r="J502">
        <v>0</v>
      </c>
      <c r="K502">
        <v>1717.15</v>
      </c>
      <c r="L502" t="s">
        <v>692</v>
      </c>
      <c r="M502" t="s">
        <v>33</v>
      </c>
      <c r="N502">
        <v>16</v>
      </c>
      <c r="O502">
        <v>9</v>
      </c>
      <c r="P502" t="b">
        <v>1</v>
      </c>
      <c r="Q502">
        <v>4</v>
      </c>
      <c r="R502">
        <v>1</v>
      </c>
    </row>
    <row r="503" spans="1:18">
      <c r="A503" t="s">
        <v>1047</v>
      </c>
      <c r="B503" t="s">
        <v>1048</v>
      </c>
      <c r="C503" s="1">
        <v>45151</v>
      </c>
      <c r="D503">
        <v>44</v>
      </c>
      <c r="E503" t="s">
        <v>20</v>
      </c>
      <c r="F503" t="s">
        <v>83</v>
      </c>
      <c r="G503" t="s">
        <v>53</v>
      </c>
      <c r="H503">
        <v>32.53</v>
      </c>
      <c r="I503">
        <v>5</v>
      </c>
      <c r="J503">
        <v>3.22</v>
      </c>
      <c r="K503">
        <v>159.43</v>
      </c>
      <c r="L503" t="s">
        <v>692</v>
      </c>
      <c r="M503" t="s">
        <v>24</v>
      </c>
      <c r="N503">
        <v>16</v>
      </c>
      <c r="O503">
        <v>10</v>
      </c>
      <c r="P503" t="b">
        <v>1</v>
      </c>
      <c r="Q503">
        <v>5</v>
      </c>
      <c r="R503">
        <v>4</v>
      </c>
    </row>
    <row r="504" spans="1:18">
      <c r="A504" t="s">
        <v>1049</v>
      </c>
      <c r="B504" t="s">
        <v>1050</v>
      </c>
      <c r="C504" s="1">
        <v>45353</v>
      </c>
      <c r="D504">
        <v>28</v>
      </c>
      <c r="E504" t="s">
        <v>20</v>
      </c>
      <c r="F504" t="s">
        <v>83</v>
      </c>
      <c r="G504" t="s">
        <v>115</v>
      </c>
      <c r="H504">
        <v>97.62</v>
      </c>
      <c r="I504">
        <v>1</v>
      </c>
      <c r="J504">
        <v>9.61</v>
      </c>
      <c r="K504">
        <v>88.01</v>
      </c>
      <c r="L504" t="s">
        <v>692</v>
      </c>
      <c r="M504" t="s">
        <v>33</v>
      </c>
      <c r="N504">
        <v>33</v>
      </c>
      <c r="O504">
        <v>5</v>
      </c>
      <c r="P504" t="b">
        <v>0</v>
      </c>
      <c r="Q504">
        <v>11</v>
      </c>
      <c r="R504">
        <v>5</v>
      </c>
    </row>
    <row r="505" spans="1:18">
      <c r="A505" t="s">
        <v>1051</v>
      </c>
      <c r="B505" t="s">
        <v>1052</v>
      </c>
      <c r="C505" s="1">
        <v>45205</v>
      </c>
      <c r="D505">
        <v>28</v>
      </c>
      <c r="E505" t="s">
        <v>36</v>
      </c>
      <c r="F505" t="s">
        <v>32</v>
      </c>
      <c r="G505" t="s">
        <v>115</v>
      </c>
      <c r="H505">
        <v>25.98</v>
      </c>
      <c r="I505">
        <v>2</v>
      </c>
      <c r="J505">
        <v>0</v>
      </c>
      <c r="K505">
        <v>51.96</v>
      </c>
      <c r="L505" t="s">
        <v>692</v>
      </c>
      <c r="M505" t="s">
        <v>33</v>
      </c>
      <c r="N505">
        <v>8</v>
      </c>
      <c r="O505">
        <v>11</v>
      </c>
      <c r="P505" t="b">
        <v>0</v>
      </c>
      <c r="Q505">
        <v>4</v>
      </c>
      <c r="R505">
        <v>5</v>
      </c>
    </row>
    <row r="506" spans="1:18">
      <c r="A506" t="s">
        <v>1053</v>
      </c>
      <c r="B506" t="s">
        <v>1054</v>
      </c>
      <c r="C506" s="1">
        <v>45340</v>
      </c>
      <c r="D506">
        <v>51</v>
      </c>
      <c r="E506" t="s">
        <v>20</v>
      </c>
      <c r="F506" t="s">
        <v>32</v>
      </c>
      <c r="G506" t="s">
        <v>22</v>
      </c>
      <c r="H506">
        <v>76.66</v>
      </c>
      <c r="I506">
        <v>1</v>
      </c>
      <c r="J506">
        <v>0</v>
      </c>
      <c r="K506">
        <v>76.66</v>
      </c>
      <c r="L506" t="s">
        <v>692</v>
      </c>
      <c r="M506" t="s">
        <v>33</v>
      </c>
      <c r="N506">
        <v>9</v>
      </c>
      <c r="O506">
        <v>9</v>
      </c>
      <c r="P506" t="b">
        <v>1</v>
      </c>
      <c r="Q506">
        <v>4</v>
      </c>
      <c r="R506">
        <v>2</v>
      </c>
    </row>
    <row r="507" spans="1:18">
      <c r="A507" t="s">
        <v>1055</v>
      </c>
      <c r="B507" t="s">
        <v>1056</v>
      </c>
      <c r="C507" s="1">
        <v>45261</v>
      </c>
      <c r="D507">
        <v>54</v>
      </c>
      <c r="E507" t="s">
        <v>36</v>
      </c>
      <c r="F507" t="s">
        <v>83</v>
      </c>
      <c r="G507" t="s">
        <v>37</v>
      </c>
      <c r="H507">
        <v>235.12</v>
      </c>
      <c r="I507">
        <v>1</v>
      </c>
      <c r="J507">
        <v>0</v>
      </c>
      <c r="K507">
        <v>235.12</v>
      </c>
      <c r="L507" t="s">
        <v>692</v>
      </c>
      <c r="M507" t="s">
        <v>33</v>
      </c>
      <c r="N507">
        <v>34</v>
      </c>
      <c r="O507">
        <v>13</v>
      </c>
      <c r="P507" t="b">
        <v>1</v>
      </c>
      <c r="Q507">
        <v>6</v>
      </c>
      <c r="R507">
        <v>5</v>
      </c>
    </row>
    <row r="508" spans="1:18">
      <c r="A508" t="s">
        <v>1057</v>
      </c>
      <c r="B508" t="s">
        <v>1058</v>
      </c>
      <c r="C508" s="1">
        <v>45197</v>
      </c>
      <c r="D508">
        <v>32</v>
      </c>
      <c r="E508" t="s">
        <v>20</v>
      </c>
      <c r="F508" t="s">
        <v>76</v>
      </c>
      <c r="G508" t="s">
        <v>64</v>
      </c>
      <c r="H508">
        <v>1939.72</v>
      </c>
      <c r="I508">
        <v>1</v>
      </c>
      <c r="J508">
        <v>487.88</v>
      </c>
      <c r="K508">
        <v>1451.84</v>
      </c>
      <c r="L508" t="s">
        <v>692</v>
      </c>
      <c r="M508" t="s">
        <v>24</v>
      </c>
      <c r="N508">
        <v>15</v>
      </c>
      <c r="O508">
        <v>6</v>
      </c>
      <c r="P508" t="b">
        <v>1</v>
      </c>
      <c r="Q508">
        <v>5</v>
      </c>
      <c r="R508">
        <v>5</v>
      </c>
    </row>
    <row r="509" spans="1:18">
      <c r="A509" t="s">
        <v>1059</v>
      </c>
      <c r="B509" t="s">
        <v>1060</v>
      </c>
      <c r="C509" s="1">
        <v>45268</v>
      </c>
      <c r="D509">
        <v>38</v>
      </c>
      <c r="E509" t="s">
        <v>36</v>
      </c>
      <c r="F509" t="s">
        <v>32</v>
      </c>
      <c r="G509" t="s">
        <v>64</v>
      </c>
      <c r="H509">
        <v>410.32</v>
      </c>
      <c r="I509">
        <v>1</v>
      </c>
      <c r="J509">
        <v>0</v>
      </c>
      <c r="K509">
        <v>410.32</v>
      </c>
      <c r="L509" t="s">
        <v>692</v>
      </c>
      <c r="M509" t="s">
        <v>33</v>
      </c>
      <c r="N509">
        <v>15</v>
      </c>
      <c r="O509">
        <v>9</v>
      </c>
      <c r="P509" t="b">
        <v>1</v>
      </c>
      <c r="Q509">
        <v>5</v>
      </c>
      <c r="R509">
        <v>4</v>
      </c>
    </row>
    <row r="510" spans="1:18">
      <c r="A510" t="s">
        <v>1061</v>
      </c>
      <c r="B510" t="s">
        <v>1062</v>
      </c>
      <c r="C510" s="1">
        <v>45266</v>
      </c>
      <c r="D510">
        <v>23</v>
      </c>
      <c r="E510" t="s">
        <v>36</v>
      </c>
      <c r="F510" t="s">
        <v>32</v>
      </c>
      <c r="G510" t="s">
        <v>53</v>
      </c>
      <c r="H510">
        <v>86.96</v>
      </c>
      <c r="I510">
        <v>1</v>
      </c>
      <c r="J510">
        <v>0</v>
      </c>
      <c r="K510">
        <v>86.96</v>
      </c>
      <c r="L510" t="s">
        <v>692</v>
      </c>
      <c r="M510" t="s">
        <v>33</v>
      </c>
      <c r="N510">
        <v>11</v>
      </c>
      <c r="O510">
        <v>7</v>
      </c>
      <c r="P510" t="b">
        <v>1</v>
      </c>
      <c r="Q510">
        <v>8</v>
      </c>
      <c r="R510">
        <v>4</v>
      </c>
    </row>
    <row r="511" spans="1:18">
      <c r="A511" t="s">
        <v>1063</v>
      </c>
      <c r="B511" t="s">
        <v>1064</v>
      </c>
      <c r="C511" s="1">
        <v>45376</v>
      </c>
      <c r="D511">
        <v>37</v>
      </c>
      <c r="E511" t="s">
        <v>36</v>
      </c>
      <c r="F511" t="s">
        <v>52</v>
      </c>
      <c r="G511" t="s">
        <v>28</v>
      </c>
      <c r="H511">
        <v>207.48</v>
      </c>
      <c r="I511">
        <v>1</v>
      </c>
      <c r="J511">
        <v>0</v>
      </c>
      <c r="K511">
        <v>207.48</v>
      </c>
      <c r="L511" t="s">
        <v>692</v>
      </c>
      <c r="M511" t="s">
        <v>24</v>
      </c>
      <c r="N511">
        <v>11</v>
      </c>
      <c r="O511">
        <v>13</v>
      </c>
      <c r="P511" t="b">
        <v>1</v>
      </c>
      <c r="Q511">
        <v>4</v>
      </c>
      <c r="R511">
        <v>5</v>
      </c>
    </row>
    <row r="512" spans="1:18">
      <c r="A512" t="s">
        <v>1065</v>
      </c>
      <c r="B512" t="s">
        <v>1066</v>
      </c>
      <c r="C512" s="1">
        <v>45062</v>
      </c>
      <c r="D512">
        <v>18</v>
      </c>
      <c r="E512" t="s">
        <v>36</v>
      </c>
      <c r="F512" t="s">
        <v>49</v>
      </c>
      <c r="G512" t="s">
        <v>37</v>
      </c>
      <c r="H512">
        <v>86.95</v>
      </c>
      <c r="I512">
        <v>2</v>
      </c>
      <c r="J512">
        <v>0</v>
      </c>
      <c r="K512">
        <v>173.9</v>
      </c>
      <c r="L512" t="s">
        <v>692</v>
      </c>
      <c r="M512" t="s">
        <v>24</v>
      </c>
      <c r="N512">
        <v>36</v>
      </c>
      <c r="O512">
        <v>11</v>
      </c>
      <c r="P512" t="b">
        <v>0</v>
      </c>
      <c r="Q512">
        <v>16</v>
      </c>
      <c r="R512">
        <v>5</v>
      </c>
    </row>
    <row r="513" spans="1:18">
      <c r="A513" t="s">
        <v>1067</v>
      </c>
      <c r="B513" t="s">
        <v>1068</v>
      </c>
      <c r="C513" s="1">
        <v>44986</v>
      </c>
      <c r="D513">
        <v>27</v>
      </c>
      <c r="E513" t="s">
        <v>36</v>
      </c>
      <c r="F513" t="s">
        <v>21</v>
      </c>
      <c r="G513" t="s">
        <v>56</v>
      </c>
      <c r="H513">
        <v>287.64</v>
      </c>
      <c r="I513">
        <v>1</v>
      </c>
      <c r="J513">
        <v>70.08</v>
      </c>
      <c r="K513">
        <v>217.56</v>
      </c>
      <c r="L513" t="s">
        <v>692</v>
      </c>
      <c r="M513" t="s">
        <v>33</v>
      </c>
      <c r="N513">
        <v>8</v>
      </c>
      <c r="O513">
        <v>7</v>
      </c>
      <c r="P513" t="b">
        <v>0</v>
      </c>
      <c r="Q513">
        <v>9</v>
      </c>
      <c r="R513">
        <v>5</v>
      </c>
    </row>
    <row r="514" spans="1:18">
      <c r="A514" t="s">
        <v>1069</v>
      </c>
      <c r="B514" t="s">
        <v>1070</v>
      </c>
      <c r="C514" s="1">
        <v>44981</v>
      </c>
      <c r="D514">
        <v>22</v>
      </c>
      <c r="E514" t="s">
        <v>36</v>
      </c>
      <c r="F514" t="s">
        <v>59</v>
      </c>
      <c r="G514" t="s">
        <v>115</v>
      </c>
      <c r="H514">
        <v>42.67</v>
      </c>
      <c r="I514">
        <v>1</v>
      </c>
      <c r="J514">
        <v>0</v>
      </c>
      <c r="K514">
        <v>42.67</v>
      </c>
      <c r="L514" t="s">
        <v>692</v>
      </c>
      <c r="M514" t="s">
        <v>33</v>
      </c>
      <c r="N514">
        <v>15</v>
      </c>
      <c r="O514">
        <v>10</v>
      </c>
      <c r="P514" t="b">
        <v>0</v>
      </c>
      <c r="Q514">
        <v>3</v>
      </c>
      <c r="R514">
        <v>4</v>
      </c>
    </row>
    <row r="515" spans="1:18">
      <c r="A515" t="s">
        <v>1071</v>
      </c>
      <c r="B515" t="s">
        <v>1072</v>
      </c>
      <c r="C515" s="1">
        <v>45210</v>
      </c>
      <c r="D515">
        <v>45</v>
      </c>
      <c r="E515" t="s">
        <v>36</v>
      </c>
      <c r="F515" t="s">
        <v>52</v>
      </c>
      <c r="G515" t="s">
        <v>115</v>
      </c>
      <c r="H515">
        <v>140.83000000000001</v>
      </c>
      <c r="I515">
        <v>2</v>
      </c>
      <c r="J515">
        <v>29.09</v>
      </c>
      <c r="K515">
        <v>252.57</v>
      </c>
      <c r="L515" t="s">
        <v>692</v>
      </c>
      <c r="M515" t="s">
        <v>33</v>
      </c>
      <c r="N515">
        <v>1</v>
      </c>
      <c r="O515">
        <v>9</v>
      </c>
      <c r="P515" t="b">
        <v>0</v>
      </c>
      <c r="Q515">
        <v>6</v>
      </c>
      <c r="R515">
        <v>5</v>
      </c>
    </row>
    <row r="516" spans="1:18">
      <c r="A516" t="s">
        <v>1073</v>
      </c>
      <c r="B516" t="s">
        <v>1074</v>
      </c>
      <c r="C516" s="1">
        <v>45066</v>
      </c>
      <c r="D516">
        <v>52</v>
      </c>
      <c r="E516" t="s">
        <v>20</v>
      </c>
      <c r="F516" t="s">
        <v>76</v>
      </c>
      <c r="G516" t="s">
        <v>28</v>
      </c>
      <c r="H516">
        <v>375.36</v>
      </c>
      <c r="I516">
        <v>2</v>
      </c>
      <c r="J516">
        <v>0</v>
      </c>
      <c r="K516">
        <v>750.72</v>
      </c>
      <c r="L516" t="s">
        <v>692</v>
      </c>
      <c r="M516" t="s">
        <v>24</v>
      </c>
      <c r="N516">
        <v>15</v>
      </c>
      <c r="O516">
        <v>9</v>
      </c>
      <c r="P516" t="b">
        <v>0</v>
      </c>
      <c r="Q516">
        <v>11</v>
      </c>
      <c r="R516">
        <v>3</v>
      </c>
    </row>
    <row r="517" spans="1:18">
      <c r="A517" t="s">
        <v>1075</v>
      </c>
      <c r="B517" t="s">
        <v>1076</v>
      </c>
      <c r="C517" s="1">
        <v>45071</v>
      </c>
      <c r="D517">
        <v>35</v>
      </c>
      <c r="E517" t="s">
        <v>36</v>
      </c>
      <c r="F517" t="s">
        <v>32</v>
      </c>
      <c r="G517" t="s">
        <v>22</v>
      </c>
      <c r="H517">
        <v>318</v>
      </c>
      <c r="I517">
        <v>1</v>
      </c>
      <c r="J517">
        <v>0</v>
      </c>
      <c r="K517">
        <v>318</v>
      </c>
      <c r="L517" t="s">
        <v>692</v>
      </c>
      <c r="M517" t="s">
        <v>33</v>
      </c>
      <c r="N517">
        <v>32</v>
      </c>
      <c r="O517">
        <v>11</v>
      </c>
      <c r="P517" t="b">
        <v>0</v>
      </c>
      <c r="Q517">
        <v>3</v>
      </c>
      <c r="R517">
        <v>2</v>
      </c>
    </row>
    <row r="518" spans="1:18">
      <c r="A518" t="s">
        <v>1077</v>
      </c>
      <c r="B518" t="s">
        <v>1078</v>
      </c>
      <c r="C518" s="1">
        <v>45034</v>
      </c>
      <c r="D518">
        <v>53</v>
      </c>
      <c r="E518" t="s">
        <v>36</v>
      </c>
      <c r="F518" t="s">
        <v>21</v>
      </c>
      <c r="G518" t="s">
        <v>37</v>
      </c>
      <c r="H518">
        <v>82.32</v>
      </c>
      <c r="I518">
        <v>1</v>
      </c>
      <c r="J518">
        <v>0</v>
      </c>
      <c r="K518">
        <v>82.32</v>
      </c>
      <c r="L518" t="s">
        <v>692</v>
      </c>
      <c r="M518" t="s">
        <v>24</v>
      </c>
      <c r="N518">
        <v>16</v>
      </c>
      <c r="O518">
        <v>10</v>
      </c>
      <c r="P518" t="b">
        <v>1</v>
      </c>
      <c r="Q518">
        <v>4</v>
      </c>
      <c r="R518">
        <v>4</v>
      </c>
    </row>
    <row r="519" spans="1:18">
      <c r="A519" t="s">
        <v>1079</v>
      </c>
      <c r="B519" t="s">
        <v>1080</v>
      </c>
      <c r="C519" s="1">
        <v>45278</v>
      </c>
      <c r="D519">
        <v>24</v>
      </c>
      <c r="E519" t="s">
        <v>36</v>
      </c>
      <c r="F519" t="s">
        <v>73</v>
      </c>
      <c r="G519" t="s">
        <v>56</v>
      </c>
      <c r="H519">
        <v>524.52</v>
      </c>
      <c r="I519">
        <v>1</v>
      </c>
      <c r="J519">
        <v>0</v>
      </c>
      <c r="K519">
        <v>524.52</v>
      </c>
      <c r="L519" t="s">
        <v>692</v>
      </c>
      <c r="M519" t="s">
        <v>24</v>
      </c>
      <c r="N519">
        <v>6</v>
      </c>
      <c r="O519">
        <v>11</v>
      </c>
      <c r="P519" t="b">
        <v>1</v>
      </c>
      <c r="Q519">
        <v>6</v>
      </c>
      <c r="R519">
        <v>4</v>
      </c>
    </row>
    <row r="520" spans="1:18">
      <c r="A520" t="s">
        <v>1081</v>
      </c>
      <c r="B520" t="s">
        <v>1082</v>
      </c>
      <c r="C520" s="1">
        <v>45185</v>
      </c>
      <c r="D520">
        <v>18</v>
      </c>
      <c r="E520" t="s">
        <v>20</v>
      </c>
      <c r="F520" t="s">
        <v>32</v>
      </c>
      <c r="G520" t="s">
        <v>64</v>
      </c>
      <c r="H520">
        <v>725.66</v>
      </c>
      <c r="I520">
        <v>2</v>
      </c>
      <c r="J520">
        <v>0</v>
      </c>
      <c r="K520">
        <v>1451.32</v>
      </c>
      <c r="L520" t="s">
        <v>692</v>
      </c>
      <c r="M520" t="s">
        <v>29</v>
      </c>
      <c r="N520">
        <v>25</v>
      </c>
      <c r="O520">
        <v>10</v>
      </c>
      <c r="P520" t="b">
        <v>0</v>
      </c>
      <c r="Q520">
        <v>9</v>
      </c>
      <c r="R520">
        <v>3</v>
      </c>
    </row>
    <row r="521" spans="1:18">
      <c r="A521" t="s">
        <v>1083</v>
      </c>
      <c r="B521" t="s">
        <v>1084</v>
      </c>
      <c r="C521" s="1">
        <v>45251</v>
      </c>
      <c r="D521">
        <v>35</v>
      </c>
      <c r="E521" t="s">
        <v>36</v>
      </c>
      <c r="F521" t="s">
        <v>83</v>
      </c>
      <c r="G521" t="s">
        <v>56</v>
      </c>
      <c r="H521">
        <v>490.05</v>
      </c>
      <c r="I521">
        <v>1</v>
      </c>
      <c r="J521">
        <v>0</v>
      </c>
      <c r="K521">
        <v>490.05</v>
      </c>
      <c r="L521" t="s">
        <v>692</v>
      </c>
      <c r="M521" t="s">
        <v>33</v>
      </c>
      <c r="N521">
        <v>12</v>
      </c>
      <c r="O521">
        <v>6</v>
      </c>
      <c r="P521" t="b">
        <v>1</v>
      </c>
      <c r="Q521">
        <v>12</v>
      </c>
      <c r="R521">
        <v>5</v>
      </c>
    </row>
    <row r="522" spans="1:18">
      <c r="A522" t="s">
        <v>1085</v>
      </c>
      <c r="B522" t="s">
        <v>1086</v>
      </c>
      <c r="C522" s="1">
        <v>45143</v>
      </c>
      <c r="D522">
        <v>25</v>
      </c>
      <c r="E522" t="s">
        <v>20</v>
      </c>
      <c r="F522" t="s">
        <v>32</v>
      </c>
      <c r="G522" t="s">
        <v>46</v>
      </c>
      <c r="H522">
        <v>239.25</v>
      </c>
      <c r="I522">
        <v>3</v>
      </c>
      <c r="J522">
        <v>0</v>
      </c>
      <c r="K522">
        <v>717.75</v>
      </c>
      <c r="L522" t="s">
        <v>692</v>
      </c>
      <c r="M522" t="s">
        <v>33</v>
      </c>
      <c r="N522">
        <v>17</v>
      </c>
      <c r="O522">
        <v>8</v>
      </c>
      <c r="P522" t="b">
        <v>1</v>
      </c>
      <c r="Q522">
        <v>5</v>
      </c>
      <c r="R522">
        <v>4</v>
      </c>
    </row>
    <row r="523" spans="1:18">
      <c r="A523" t="s">
        <v>1087</v>
      </c>
      <c r="B523" t="s">
        <v>1088</v>
      </c>
      <c r="C523" s="1">
        <v>45351</v>
      </c>
      <c r="D523">
        <v>38</v>
      </c>
      <c r="E523" t="s">
        <v>20</v>
      </c>
      <c r="F523" t="s">
        <v>88</v>
      </c>
      <c r="G523" t="s">
        <v>53</v>
      </c>
      <c r="H523">
        <v>112.45</v>
      </c>
      <c r="I523">
        <v>3</v>
      </c>
      <c r="J523">
        <v>0</v>
      </c>
      <c r="K523">
        <v>337.35</v>
      </c>
      <c r="L523" t="s">
        <v>692</v>
      </c>
      <c r="M523" t="s">
        <v>24</v>
      </c>
      <c r="N523">
        <v>10</v>
      </c>
      <c r="O523">
        <v>11</v>
      </c>
      <c r="P523" t="b">
        <v>1</v>
      </c>
      <c r="Q523">
        <v>5</v>
      </c>
      <c r="R523">
        <v>5</v>
      </c>
    </row>
    <row r="524" spans="1:18">
      <c r="A524" t="s">
        <v>1089</v>
      </c>
      <c r="B524" t="s">
        <v>1090</v>
      </c>
      <c r="C524" s="1">
        <v>45068</v>
      </c>
      <c r="D524">
        <v>34</v>
      </c>
      <c r="E524" t="s">
        <v>20</v>
      </c>
      <c r="F524" t="s">
        <v>59</v>
      </c>
      <c r="G524" t="s">
        <v>46</v>
      </c>
      <c r="H524">
        <v>122.1</v>
      </c>
      <c r="I524">
        <v>1</v>
      </c>
      <c r="J524">
        <v>0</v>
      </c>
      <c r="K524">
        <v>122.1</v>
      </c>
      <c r="L524" t="s">
        <v>692</v>
      </c>
      <c r="M524" t="s">
        <v>33</v>
      </c>
      <c r="N524">
        <v>28</v>
      </c>
      <c r="O524">
        <v>9</v>
      </c>
      <c r="P524" t="b">
        <v>0</v>
      </c>
      <c r="Q524">
        <v>17</v>
      </c>
      <c r="R524">
        <v>4</v>
      </c>
    </row>
    <row r="525" spans="1:18">
      <c r="A525" t="s">
        <v>1091</v>
      </c>
      <c r="B525" t="s">
        <v>1092</v>
      </c>
      <c r="C525" s="1">
        <v>44993</v>
      </c>
      <c r="D525">
        <v>41</v>
      </c>
      <c r="E525" t="s">
        <v>36</v>
      </c>
      <c r="F525" t="s">
        <v>88</v>
      </c>
      <c r="G525" t="s">
        <v>115</v>
      </c>
      <c r="H525">
        <v>37.49</v>
      </c>
      <c r="I525">
        <v>5</v>
      </c>
      <c r="J525">
        <v>0</v>
      </c>
      <c r="K525">
        <v>187.45</v>
      </c>
      <c r="L525" t="s">
        <v>692</v>
      </c>
      <c r="M525" t="s">
        <v>24</v>
      </c>
      <c r="N525">
        <v>9</v>
      </c>
      <c r="O525">
        <v>10</v>
      </c>
      <c r="P525" t="b">
        <v>1</v>
      </c>
      <c r="Q525">
        <v>8</v>
      </c>
      <c r="R525">
        <v>3</v>
      </c>
    </row>
    <row r="526" spans="1:18">
      <c r="A526" t="s">
        <v>1093</v>
      </c>
      <c r="B526" t="s">
        <v>1094</v>
      </c>
      <c r="C526" s="1">
        <v>45253</v>
      </c>
      <c r="D526">
        <v>23</v>
      </c>
      <c r="E526" t="s">
        <v>36</v>
      </c>
      <c r="F526" t="s">
        <v>27</v>
      </c>
      <c r="G526" t="s">
        <v>56</v>
      </c>
      <c r="H526">
        <v>114.26</v>
      </c>
      <c r="I526">
        <v>1</v>
      </c>
      <c r="J526">
        <v>0</v>
      </c>
      <c r="K526">
        <v>114.26</v>
      </c>
      <c r="L526" t="s">
        <v>692</v>
      </c>
      <c r="M526" t="s">
        <v>33</v>
      </c>
      <c r="N526">
        <v>23</v>
      </c>
      <c r="O526">
        <v>6</v>
      </c>
      <c r="P526" t="b">
        <v>1</v>
      </c>
      <c r="Q526">
        <v>3</v>
      </c>
      <c r="R526">
        <v>3</v>
      </c>
    </row>
    <row r="527" spans="1:18">
      <c r="A527" t="s">
        <v>1095</v>
      </c>
      <c r="B527" t="s">
        <v>1096</v>
      </c>
      <c r="C527" s="1">
        <v>45209</v>
      </c>
      <c r="D527">
        <v>27</v>
      </c>
      <c r="E527" t="s">
        <v>36</v>
      </c>
      <c r="F527" t="s">
        <v>59</v>
      </c>
      <c r="G527" t="s">
        <v>56</v>
      </c>
      <c r="H527">
        <v>521.12</v>
      </c>
      <c r="I527">
        <v>2</v>
      </c>
      <c r="J527">
        <v>80.91</v>
      </c>
      <c r="K527">
        <v>961.33</v>
      </c>
      <c r="L527" t="s">
        <v>692</v>
      </c>
      <c r="M527" t="s">
        <v>33</v>
      </c>
      <c r="N527">
        <v>4</v>
      </c>
      <c r="O527">
        <v>9</v>
      </c>
      <c r="P527" t="b">
        <v>1</v>
      </c>
      <c r="Q527">
        <v>4</v>
      </c>
      <c r="R527">
        <v>4</v>
      </c>
    </row>
    <row r="528" spans="1:18">
      <c r="A528" t="s">
        <v>1097</v>
      </c>
      <c r="B528" t="s">
        <v>1098</v>
      </c>
      <c r="C528" s="1">
        <v>45214</v>
      </c>
      <c r="D528">
        <v>18</v>
      </c>
      <c r="E528" t="s">
        <v>36</v>
      </c>
      <c r="F528" t="s">
        <v>32</v>
      </c>
      <c r="G528" t="s">
        <v>53</v>
      </c>
      <c r="H528">
        <v>18.3</v>
      </c>
      <c r="I528">
        <v>1</v>
      </c>
      <c r="J528">
        <v>0</v>
      </c>
      <c r="K528">
        <v>18.3</v>
      </c>
      <c r="L528" t="s">
        <v>692</v>
      </c>
      <c r="M528" t="s">
        <v>29</v>
      </c>
      <c r="N528">
        <v>3</v>
      </c>
      <c r="O528">
        <v>16</v>
      </c>
      <c r="P528" t="b">
        <v>0</v>
      </c>
      <c r="Q528">
        <v>12</v>
      </c>
      <c r="R528">
        <v>4</v>
      </c>
    </row>
    <row r="529" spans="1:18">
      <c r="A529" t="s">
        <v>1099</v>
      </c>
      <c r="B529" t="s">
        <v>1100</v>
      </c>
      <c r="C529" s="1">
        <v>44931</v>
      </c>
      <c r="D529">
        <v>18</v>
      </c>
      <c r="E529" t="s">
        <v>36</v>
      </c>
      <c r="F529" t="s">
        <v>59</v>
      </c>
      <c r="G529" t="s">
        <v>22</v>
      </c>
      <c r="H529">
        <v>746.9</v>
      </c>
      <c r="I529">
        <v>1</v>
      </c>
      <c r="J529">
        <v>0</v>
      </c>
      <c r="K529">
        <v>746.9</v>
      </c>
      <c r="L529" t="s">
        <v>692</v>
      </c>
      <c r="M529" t="s">
        <v>33</v>
      </c>
      <c r="N529">
        <v>13</v>
      </c>
      <c r="O529">
        <v>6</v>
      </c>
      <c r="P529" t="b">
        <v>1</v>
      </c>
      <c r="Q529">
        <v>8</v>
      </c>
      <c r="R529">
        <v>5</v>
      </c>
    </row>
    <row r="530" spans="1:18">
      <c r="A530" t="s">
        <v>1101</v>
      </c>
      <c r="B530" t="s">
        <v>1102</v>
      </c>
      <c r="C530" s="1">
        <v>45280</v>
      </c>
      <c r="D530">
        <v>24</v>
      </c>
      <c r="E530" t="s">
        <v>20</v>
      </c>
      <c r="F530" t="s">
        <v>32</v>
      </c>
      <c r="G530" t="s">
        <v>28</v>
      </c>
      <c r="H530">
        <v>55.84</v>
      </c>
      <c r="I530">
        <v>1</v>
      </c>
      <c r="J530">
        <v>0</v>
      </c>
      <c r="K530">
        <v>55.84</v>
      </c>
      <c r="L530" t="s">
        <v>692</v>
      </c>
      <c r="M530" t="s">
        <v>24</v>
      </c>
      <c r="N530">
        <v>11</v>
      </c>
      <c r="O530">
        <v>10</v>
      </c>
      <c r="P530" t="b">
        <v>0</v>
      </c>
      <c r="Q530">
        <v>3</v>
      </c>
      <c r="R530">
        <v>4</v>
      </c>
    </row>
    <row r="531" spans="1:18">
      <c r="A531" t="s">
        <v>1103</v>
      </c>
      <c r="B531" t="s">
        <v>1104</v>
      </c>
      <c r="C531" s="1">
        <v>45209</v>
      </c>
      <c r="D531">
        <v>24</v>
      </c>
      <c r="E531" t="s">
        <v>36</v>
      </c>
      <c r="F531" t="s">
        <v>52</v>
      </c>
      <c r="G531" t="s">
        <v>115</v>
      </c>
      <c r="H531">
        <v>155.32</v>
      </c>
      <c r="I531">
        <v>4</v>
      </c>
      <c r="J531">
        <v>18.670000000000002</v>
      </c>
      <c r="K531">
        <v>602.61</v>
      </c>
      <c r="L531" t="s">
        <v>692</v>
      </c>
      <c r="M531" t="s">
        <v>24</v>
      </c>
      <c r="N531">
        <v>18</v>
      </c>
      <c r="O531">
        <v>3</v>
      </c>
      <c r="P531" t="b">
        <v>1</v>
      </c>
      <c r="Q531">
        <v>9</v>
      </c>
      <c r="R531">
        <v>5</v>
      </c>
    </row>
    <row r="532" spans="1:18">
      <c r="A532" t="s">
        <v>1105</v>
      </c>
      <c r="B532" t="s">
        <v>1106</v>
      </c>
      <c r="C532" s="1">
        <v>45147</v>
      </c>
      <c r="D532">
        <v>47</v>
      </c>
      <c r="E532" t="s">
        <v>36</v>
      </c>
      <c r="F532" t="s">
        <v>59</v>
      </c>
      <c r="G532" t="s">
        <v>56</v>
      </c>
      <c r="H532">
        <v>159.22</v>
      </c>
      <c r="I532">
        <v>2</v>
      </c>
      <c r="J532">
        <v>31.31</v>
      </c>
      <c r="K532">
        <v>287.13</v>
      </c>
      <c r="L532" t="s">
        <v>692</v>
      </c>
      <c r="M532" t="s">
        <v>33</v>
      </c>
      <c r="N532">
        <v>12</v>
      </c>
      <c r="O532">
        <v>7</v>
      </c>
      <c r="P532" t="b">
        <v>0</v>
      </c>
      <c r="Q532">
        <v>3</v>
      </c>
      <c r="R532">
        <v>5</v>
      </c>
    </row>
    <row r="533" spans="1:18">
      <c r="A533" t="s">
        <v>1107</v>
      </c>
      <c r="B533" t="s">
        <v>1108</v>
      </c>
      <c r="C533" s="1">
        <v>44992</v>
      </c>
      <c r="D533">
        <v>28</v>
      </c>
      <c r="E533" t="s">
        <v>20</v>
      </c>
      <c r="F533" t="s">
        <v>76</v>
      </c>
      <c r="G533" t="s">
        <v>64</v>
      </c>
      <c r="H533">
        <v>549.32000000000005</v>
      </c>
      <c r="I533">
        <v>3</v>
      </c>
      <c r="J533">
        <v>155.63999999999999</v>
      </c>
      <c r="K533">
        <v>1492.32</v>
      </c>
      <c r="L533" t="s">
        <v>692</v>
      </c>
      <c r="M533" t="s">
        <v>24</v>
      </c>
      <c r="N533">
        <v>27</v>
      </c>
      <c r="O533">
        <v>9</v>
      </c>
      <c r="P533" t="b">
        <v>1</v>
      </c>
      <c r="Q533">
        <v>4</v>
      </c>
      <c r="R533">
        <v>3</v>
      </c>
    </row>
    <row r="534" spans="1:18">
      <c r="A534" t="s">
        <v>1109</v>
      </c>
      <c r="B534" t="s">
        <v>1110</v>
      </c>
      <c r="C534" s="1">
        <v>45334</v>
      </c>
      <c r="D534">
        <v>52</v>
      </c>
      <c r="E534" t="s">
        <v>20</v>
      </c>
      <c r="F534" t="s">
        <v>88</v>
      </c>
      <c r="G534" t="s">
        <v>46</v>
      </c>
      <c r="H534">
        <v>1385.22</v>
      </c>
      <c r="I534">
        <v>5</v>
      </c>
      <c r="J534">
        <v>148.16999999999999</v>
      </c>
      <c r="K534">
        <v>6777.93</v>
      </c>
      <c r="L534" t="s">
        <v>692</v>
      </c>
      <c r="M534" t="s">
        <v>33</v>
      </c>
      <c r="N534">
        <v>15</v>
      </c>
      <c r="O534">
        <v>8</v>
      </c>
      <c r="P534" t="b">
        <v>1</v>
      </c>
      <c r="Q534">
        <v>7</v>
      </c>
      <c r="R534">
        <v>5</v>
      </c>
    </row>
    <row r="535" spans="1:18">
      <c r="A535" t="s">
        <v>1111</v>
      </c>
      <c r="B535" t="s">
        <v>1112</v>
      </c>
      <c r="C535" s="1">
        <v>44947</v>
      </c>
      <c r="D535">
        <v>25</v>
      </c>
      <c r="E535" t="s">
        <v>20</v>
      </c>
      <c r="F535" t="s">
        <v>32</v>
      </c>
      <c r="G535" t="s">
        <v>22</v>
      </c>
      <c r="H535">
        <v>169.49</v>
      </c>
      <c r="I535">
        <v>1</v>
      </c>
      <c r="J535">
        <v>0</v>
      </c>
      <c r="K535">
        <v>169.49</v>
      </c>
      <c r="L535" t="s">
        <v>692</v>
      </c>
      <c r="M535" t="s">
        <v>24</v>
      </c>
      <c r="N535">
        <v>12</v>
      </c>
      <c r="O535">
        <v>9</v>
      </c>
      <c r="P535" t="b">
        <v>1</v>
      </c>
      <c r="Q535">
        <v>2</v>
      </c>
      <c r="R535">
        <v>5</v>
      </c>
    </row>
    <row r="536" spans="1:18">
      <c r="A536" t="s">
        <v>1113</v>
      </c>
      <c r="B536" t="s">
        <v>1114</v>
      </c>
      <c r="C536" s="1">
        <v>45110</v>
      </c>
      <c r="D536">
        <v>41</v>
      </c>
      <c r="E536" t="s">
        <v>20</v>
      </c>
      <c r="F536" t="s">
        <v>32</v>
      </c>
      <c r="G536" t="s">
        <v>28</v>
      </c>
      <c r="H536">
        <v>25.17</v>
      </c>
      <c r="I536">
        <v>4</v>
      </c>
      <c r="J536">
        <v>0</v>
      </c>
      <c r="K536">
        <v>100.68</v>
      </c>
      <c r="L536" t="s">
        <v>692</v>
      </c>
      <c r="M536" t="s">
        <v>33</v>
      </c>
      <c r="N536">
        <v>6</v>
      </c>
      <c r="O536">
        <v>11</v>
      </c>
      <c r="P536" t="b">
        <v>1</v>
      </c>
      <c r="Q536">
        <v>5</v>
      </c>
      <c r="R536">
        <v>5</v>
      </c>
    </row>
    <row r="537" spans="1:18">
      <c r="A537" t="s">
        <v>1115</v>
      </c>
      <c r="B537" t="s">
        <v>1116</v>
      </c>
      <c r="C537" s="1">
        <v>45276</v>
      </c>
      <c r="D537">
        <v>39</v>
      </c>
      <c r="E537" t="s">
        <v>36</v>
      </c>
      <c r="F537" t="s">
        <v>27</v>
      </c>
      <c r="G537" t="s">
        <v>37</v>
      </c>
      <c r="H537">
        <v>99.77</v>
      </c>
      <c r="I537">
        <v>2</v>
      </c>
      <c r="J537">
        <v>0</v>
      </c>
      <c r="K537">
        <v>199.54</v>
      </c>
      <c r="L537" t="s">
        <v>692</v>
      </c>
      <c r="M537" t="s">
        <v>33</v>
      </c>
      <c r="N537">
        <v>16</v>
      </c>
      <c r="O537">
        <v>9</v>
      </c>
      <c r="P537" t="b">
        <v>1</v>
      </c>
      <c r="Q537">
        <v>7</v>
      </c>
      <c r="R537">
        <v>5</v>
      </c>
    </row>
    <row r="538" spans="1:18">
      <c r="A538" t="s">
        <v>1117</v>
      </c>
      <c r="B538" t="s">
        <v>1118</v>
      </c>
      <c r="C538" s="1">
        <v>45108</v>
      </c>
      <c r="D538">
        <v>49</v>
      </c>
      <c r="E538" t="s">
        <v>20</v>
      </c>
      <c r="F538" t="s">
        <v>73</v>
      </c>
      <c r="G538" t="s">
        <v>64</v>
      </c>
      <c r="H538">
        <v>489.75</v>
      </c>
      <c r="I538">
        <v>2</v>
      </c>
      <c r="J538">
        <v>0</v>
      </c>
      <c r="K538">
        <v>979.5</v>
      </c>
      <c r="L538" t="s">
        <v>692</v>
      </c>
      <c r="M538" t="s">
        <v>24</v>
      </c>
      <c r="N538">
        <v>5</v>
      </c>
      <c r="O538">
        <v>11</v>
      </c>
      <c r="P538" t="b">
        <v>0</v>
      </c>
      <c r="Q538">
        <v>4</v>
      </c>
      <c r="R538">
        <v>4</v>
      </c>
    </row>
    <row r="539" spans="1:18">
      <c r="A539" t="s">
        <v>1119</v>
      </c>
      <c r="B539" t="s">
        <v>1120</v>
      </c>
      <c r="C539" s="1">
        <v>45326</v>
      </c>
      <c r="D539">
        <v>38</v>
      </c>
      <c r="E539" t="s">
        <v>36</v>
      </c>
      <c r="F539" t="s">
        <v>52</v>
      </c>
      <c r="G539" t="s">
        <v>46</v>
      </c>
      <c r="H539">
        <v>292.22000000000003</v>
      </c>
      <c r="I539">
        <v>1</v>
      </c>
      <c r="J539">
        <v>0</v>
      </c>
      <c r="K539">
        <v>292.22000000000003</v>
      </c>
      <c r="L539" t="s">
        <v>692</v>
      </c>
      <c r="M539" t="s">
        <v>24</v>
      </c>
      <c r="N539">
        <v>6</v>
      </c>
      <c r="O539">
        <v>10</v>
      </c>
      <c r="P539" t="b">
        <v>1</v>
      </c>
      <c r="Q539">
        <v>11</v>
      </c>
      <c r="R539">
        <v>4</v>
      </c>
    </row>
    <row r="540" spans="1:18">
      <c r="A540" t="s">
        <v>1121</v>
      </c>
      <c r="B540" t="s">
        <v>1122</v>
      </c>
      <c r="C540" s="1">
        <v>45244</v>
      </c>
      <c r="D540">
        <v>29</v>
      </c>
      <c r="E540" t="s">
        <v>20</v>
      </c>
      <c r="F540" t="s">
        <v>21</v>
      </c>
      <c r="G540" t="s">
        <v>22</v>
      </c>
      <c r="H540">
        <v>164.08</v>
      </c>
      <c r="I540">
        <v>3</v>
      </c>
      <c r="J540">
        <v>0</v>
      </c>
      <c r="K540">
        <v>492.24</v>
      </c>
      <c r="L540" t="s">
        <v>692</v>
      </c>
      <c r="M540" t="s">
        <v>33</v>
      </c>
      <c r="N540">
        <v>34</v>
      </c>
      <c r="O540">
        <v>9</v>
      </c>
      <c r="P540" t="b">
        <v>0</v>
      </c>
      <c r="Q540">
        <v>3</v>
      </c>
      <c r="R540">
        <v>4</v>
      </c>
    </row>
    <row r="541" spans="1:18">
      <c r="A541" t="s">
        <v>1123</v>
      </c>
      <c r="B541" t="s">
        <v>1124</v>
      </c>
      <c r="C541" s="1">
        <v>45006</v>
      </c>
      <c r="D541">
        <v>29</v>
      </c>
      <c r="E541" t="s">
        <v>36</v>
      </c>
      <c r="F541" t="s">
        <v>52</v>
      </c>
      <c r="G541" t="s">
        <v>115</v>
      </c>
      <c r="H541">
        <v>120.51</v>
      </c>
      <c r="I541">
        <v>1</v>
      </c>
      <c r="J541">
        <v>0</v>
      </c>
      <c r="K541">
        <v>120.51</v>
      </c>
      <c r="L541" t="s">
        <v>692</v>
      </c>
      <c r="M541" t="s">
        <v>24</v>
      </c>
      <c r="N541">
        <v>11</v>
      </c>
      <c r="O541">
        <v>13</v>
      </c>
      <c r="P541" t="b">
        <v>0</v>
      </c>
      <c r="Q541">
        <v>8</v>
      </c>
      <c r="R541">
        <v>5</v>
      </c>
    </row>
    <row r="542" spans="1:18">
      <c r="A542" t="s">
        <v>1125</v>
      </c>
      <c r="B542" t="s">
        <v>1126</v>
      </c>
      <c r="C542" s="1">
        <v>45010</v>
      </c>
      <c r="D542">
        <v>45</v>
      </c>
      <c r="E542" t="s">
        <v>20</v>
      </c>
      <c r="F542" t="s">
        <v>49</v>
      </c>
      <c r="G542" t="s">
        <v>64</v>
      </c>
      <c r="H542">
        <v>1407.18</v>
      </c>
      <c r="I542">
        <v>1</v>
      </c>
      <c r="J542">
        <v>0</v>
      </c>
      <c r="K542">
        <v>1407.18</v>
      </c>
      <c r="L542" t="s">
        <v>692</v>
      </c>
      <c r="M542" t="s">
        <v>33</v>
      </c>
      <c r="N542">
        <v>13</v>
      </c>
      <c r="O542">
        <v>7</v>
      </c>
      <c r="P542" t="b">
        <v>1</v>
      </c>
      <c r="Q542">
        <v>10</v>
      </c>
      <c r="R542">
        <v>4</v>
      </c>
    </row>
    <row r="543" spans="1:18">
      <c r="A543" t="s">
        <v>1127</v>
      </c>
      <c r="B543" t="s">
        <v>1128</v>
      </c>
      <c r="C543" s="1">
        <v>45304</v>
      </c>
      <c r="D543">
        <v>30</v>
      </c>
      <c r="E543" t="s">
        <v>20</v>
      </c>
      <c r="F543" t="s">
        <v>27</v>
      </c>
      <c r="G543" t="s">
        <v>53</v>
      </c>
      <c r="H543">
        <v>20.37</v>
      </c>
      <c r="I543">
        <v>2</v>
      </c>
      <c r="J543">
        <v>3.95</v>
      </c>
      <c r="K543">
        <v>36.79</v>
      </c>
      <c r="L543" t="s">
        <v>692</v>
      </c>
      <c r="M543" t="s">
        <v>24</v>
      </c>
      <c r="N543">
        <v>9</v>
      </c>
      <c r="O543">
        <v>10</v>
      </c>
      <c r="P543" t="b">
        <v>1</v>
      </c>
      <c r="Q543">
        <v>14</v>
      </c>
      <c r="R543">
        <v>2</v>
      </c>
    </row>
    <row r="544" spans="1:18">
      <c r="A544" t="s">
        <v>1129</v>
      </c>
      <c r="B544" t="s">
        <v>1130</v>
      </c>
      <c r="C544" s="1">
        <v>45097</v>
      </c>
      <c r="D544">
        <v>35</v>
      </c>
      <c r="E544" t="s">
        <v>20</v>
      </c>
      <c r="F544" t="s">
        <v>27</v>
      </c>
      <c r="G544" t="s">
        <v>53</v>
      </c>
      <c r="H544">
        <v>29.29</v>
      </c>
      <c r="I544">
        <v>2</v>
      </c>
      <c r="J544">
        <v>0</v>
      </c>
      <c r="K544">
        <v>58.58</v>
      </c>
      <c r="L544" t="s">
        <v>692</v>
      </c>
      <c r="M544" t="s">
        <v>33</v>
      </c>
      <c r="N544">
        <v>10</v>
      </c>
      <c r="O544">
        <v>10</v>
      </c>
      <c r="P544" t="b">
        <v>0</v>
      </c>
      <c r="Q544">
        <v>6</v>
      </c>
      <c r="R544">
        <v>1</v>
      </c>
    </row>
    <row r="545" spans="1:18">
      <c r="A545" t="s">
        <v>1131</v>
      </c>
      <c r="B545" t="s">
        <v>1132</v>
      </c>
      <c r="C545" s="1">
        <v>45327</v>
      </c>
      <c r="D545">
        <v>55</v>
      </c>
      <c r="E545" t="s">
        <v>36</v>
      </c>
      <c r="F545" t="s">
        <v>21</v>
      </c>
      <c r="G545" t="s">
        <v>28</v>
      </c>
      <c r="H545">
        <v>313.64</v>
      </c>
      <c r="I545">
        <v>1</v>
      </c>
      <c r="J545">
        <v>89.14</v>
      </c>
      <c r="K545">
        <v>224.5</v>
      </c>
      <c r="L545" t="s">
        <v>692</v>
      </c>
      <c r="M545" t="s">
        <v>33</v>
      </c>
      <c r="N545">
        <v>14</v>
      </c>
      <c r="O545">
        <v>10</v>
      </c>
      <c r="P545" t="b">
        <v>1</v>
      </c>
      <c r="Q545">
        <v>2</v>
      </c>
      <c r="R545">
        <v>4</v>
      </c>
    </row>
    <row r="546" spans="1:18">
      <c r="A546" t="s">
        <v>1133</v>
      </c>
      <c r="B546" t="s">
        <v>1134</v>
      </c>
      <c r="C546" s="1">
        <v>45137</v>
      </c>
      <c r="D546">
        <v>38</v>
      </c>
      <c r="E546" t="s">
        <v>36</v>
      </c>
      <c r="F546" t="s">
        <v>21</v>
      </c>
      <c r="G546" t="s">
        <v>56</v>
      </c>
      <c r="H546">
        <v>516.20000000000005</v>
      </c>
      <c r="I546">
        <v>5</v>
      </c>
      <c r="J546">
        <v>0</v>
      </c>
      <c r="K546">
        <v>2581</v>
      </c>
      <c r="L546" t="s">
        <v>692</v>
      </c>
      <c r="M546" t="s">
        <v>33</v>
      </c>
      <c r="N546">
        <v>9</v>
      </c>
      <c r="O546">
        <v>9</v>
      </c>
      <c r="P546" t="b">
        <v>1</v>
      </c>
      <c r="Q546">
        <v>8</v>
      </c>
      <c r="R546">
        <v>5</v>
      </c>
    </row>
    <row r="547" spans="1:18">
      <c r="A547" t="s">
        <v>1135</v>
      </c>
      <c r="B547" t="s">
        <v>1136</v>
      </c>
      <c r="C547" s="1">
        <v>45303</v>
      </c>
      <c r="D547">
        <v>37</v>
      </c>
      <c r="E547" t="s">
        <v>20</v>
      </c>
      <c r="F547" t="s">
        <v>32</v>
      </c>
      <c r="G547" t="s">
        <v>115</v>
      </c>
      <c r="H547">
        <v>38.729999999999997</v>
      </c>
      <c r="I547">
        <v>4</v>
      </c>
      <c r="J547">
        <v>0</v>
      </c>
      <c r="K547">
        <v>154.91999999999999</v>
      </c>
      <c r="L547" t="s">
        <v>692</v>
      </c>
      <c r="M547" t="s">
        <v>33</v>
      </c>
      <c r="N547">
        <v>20</v>
      </c>
      <c r="O547">
        <v>11</v>
      </c>
      <c r="P547" t="b">
        <v>0</v>
      </c>
      <c r="Q547">
        <v>7</v>
      </c>
      <c r="R547">
        <v>3</v>
      </c>
    </row>
    <row r="548" spans="1:18">
      <c r="A548" t="s">
        <v>1137</v>
      </c>
      <c r="B548" t="s">
        <v>1138</v>
      </c>
      <c r="C548" s="1">
        <v>45063</v>
      </c>
      <c r="D548">
        <v>48</v>
      </c>
      <c r="E548" t="s">
        <v>20</v>
      </c>
      <c r="F548" t="s">
        <v>83</v>
      </c>
      <c r="G548" t="s">
        <v>64</v>
      </c>
      <c r="H548">
        <v>1571.22</v>
      </c>
      <c r="I548">
        <v>3</v>
      </c>
      <c r="J548">
        <v>0</v>
      </c>
      <c r="K548">
        <v>4713.66</v>
      </c>
      <c r="L548" t="s">
        <v>692</v>
      </c>
      <c r="M548" t="s">
        <v>33</v>
      </c>
      <c r="N548">
        <v>9</v>
      </c>
      <c r="O548">
        <v>14</v>
      </c>
      <c r="P548" t="b">
        <v>0</v>
      </c>
      <c r="Q548">
        <v>6</v>
      </c>
      <c r="R548">
        <v>1</v>
      </c>
    </row>
    <row r="549" spans="1:18">
      <c r="A549" t="s">
        <v>1139</v>
      </c>
      <c r="B549" t="s">
        <v>1140</v>
      </c>
      <c r="C549" s="1">
        <v>44946</v>
      </c>
      <c r="D549">
        <v>29</v>
      </c>
      <c r="E549" t="s">
        <v>20</v>
      </c>
      <c r="F549" t="s">
        <v>32</v>
      </c>
      <c r="G549" t="s">
        <v>56</v>
      </c>
      <c r="H549">
        <v>923.93</v>
      </c>
      <c r="I549">
        <v>1</v>
      </c>
      <c r="J549">
        <v>0</v>
      </c>
      <c r="K549">
        <v>923.93</v>
      </c>
      <c r="L549" t="s">
        <v>692</v>
      </c>
      <c r="M549" t="s">
        <v>33</v>
      </c>
      <c r="N549">
        <v>30</v>
      </c>
      <c r="O549">
        <v>11</v>
      </c>
      <c r="P549" t="b">
        <v>0</v>
      </c>
      <c r="Q549">
        <v>2</v>
      </c>
      <c r="R549">
        <v>5</v>
      </c>
    </row>
    <row r="550" spans="1:18">
      <c r="A550" t="s">
        <v>1141</v>
      </c>
      <c r="B550" t="s">
        <v>1142</v>
      </c>
      <c r="C550" s="1">
        <v>45029</v>
      </c>
      <c r="D550">
        <v>35</v>
      </c>
      <c r="E550" t="s">
        <v>20</v>
      </c>
      <c r="F550" t="s">
        <v>32</v>
      </c>
      <c r="G550" t="s">
        <v>64</v>
      </c>
      <c r="H550">
        <v>491.74</v>
      </c>
      <c r="I550">
        <v>2</v>
      </c>
      <c r="J550">
        <v>68.33</v>
      </c>
      <c r="K550">
        <v>915.15</v>
      </c>
      <c r="L550" t="s">
        <v>692</v>
      </c>
      <c r="M550" t="s">
        <v>33</v>
      </c>
      <c r="N550">
        <v>13</v>
      </c>
      <c r="O550">
        <v>13</v>
      </c>
      <c r="P550" t="b">
        <v>1</v>
      </c>
      <c r="Q550">
        <v>3</v>
      </c>
      <c r="R550">
        <v>2</v>
      </c>
    </row>
    <row r="551" spans="1:18">
      <c r="A551" t="s">
        <v>1143</v>
      </c>
      <c r="B551" t="s">
        <v>1144</v>
      </c>
      <c r="C551" s="1">
        <v>45106</v>
      </c>
      <c r="D551">
        <v>39</v>
      </c>
      <c r="E551" t="s">
        <v>36</v>
      </c>
      <c r="F551" t="s">
        <v>32</v>
      </c>
      <c r="G551" t="s">
        <v>22</v>
      </c>
      <c r="H551">
        <v>177.03</v>
      </c>
      <c r="I551">
        <v>2</v>
      </c>
      <c r="J551">
        <v>0</v>
      </c>
      <c r="K551">
        <v>354.06</v>
      </c>
      <c r="L551" t="s">
        <v>692</v>
      </c>
      <c r="M551" t="s">
        <v>24</v>
      </c>
      <c r="N551">
        <v>17</v>
      </c>
      <c r="O551">
        <v>10</v>
      </c>
      <c r="P551" t="b">
        <v>1</v>
      </c>
      <c r="Q551">
        <v>2</v>
      </c>
      <c r="R551">
        <v>4</v>
      </c>
    </row>
    <row r="552" spans="1:18">
      <c r="A552" t="s">
        <v>1145</v>
      </c>
      <c r="B552" t="s">
        <v>1146</v>
      </c>
      <c r="C552" s="1">
        <v>45373</v>
      </c>
      <c r="D552">
        <v>23</v>
      </c>
      <c r="E552" t="s">
        <v>20</v>
      </c>
      <c r="F552" t="s">
        <v>32</v>
      </c>
      <c r="G552" t="s">
        <v>46</v>
      </c>
      <c r="H552">
        <v>440.72</v>
      </c>
      <c r="I552">
        <v>2</v>
      </c>
      <c r="J552">
        <v>0</v>
      </c>
      <c r="K552">
        <v>881.44</v>
      </c>
      <c r="L552" t="s">
        <v>692</v>
      </c>
      <c r="M552" t="s">
        <v>24</v>
      </c>
      <c r="N552">
        <v>12</v>
      </c>
      <c r="O552">
        <v>8</v>
      </c>
      <c r="P552" t="b">
        <v>0</v>
      </c>
      <c r="Q552">
        <v>14</v>
      </c>
      <c r="R552">
        <v>5</v>
      </c>
    </row>
    <row r="553" spans="1:18">
      <c r="A553" t="s">
        <v>1147</v>
      </c>
      <c r="B553" t="s">
        <v>1148</v>
      </c>
      <c r="C553" s="1">
        <v>45043</v>
      </c>
      <c r="D553">
        <v>29</v>
      </c>
      <c r="E553" t="s">
        <v>36</v>
      </c>
      <c r="F553" t="s">
        <v>52</v>
      </c>
      <c r="G553" t="s">
        <v>46</v>
      </c>
      <c r="H553">
        <v>621.79</v>
      </c>
      <c r="I553">
        <v>3</v>
      </c>
      <c r="J553">
        <v>87.78</v>
      </c>
      <c r="K553">
        <v>1777.59</v>
      </c>
      <c r="L553" t="s">
        <v>692</v>
      </c>
      <c r="M553" t="s">
        <v>29</v>
      </c>
      <c r="N553">
        <v>21</v>
      </c>
      <c r="O553">
        <v>8</v>
      </c>
      <c r="P553" t="b">
        <v>0</v>
      </c>
      <c r="Q553">
        <v>3</v>
      </c>
      <c r="R553">
        <v>4</v>
      </c>
    </row>
    <row r="554" spans="1:18">
      <c r="A554" t="s">
        <v>1149</v>
      </c>
      <c r="B554" t="s">
        <v>1150</v>
      </c>
      <c r="C554" s="1">
        <v>45264</v>
      </c>
      <c r="D554">
        <v>23</v>
      </c>
      <c r="E554" t="s">
        <v>36</v>
      </c>
      <c r="F554" t="s">
        <v>21</v>
      </c>
      <c r="G554" t="s">
        <v>64</v>
      </c>
      <c r="H554">
        <v>2518.4299999999998</v>
      </c>
      <c r="I554">
        <v>5</v>
      </c>
      <c r="J554">
        <v>0</v>
      </c>
      <c r="K554">
        <v>12592.15</v>
      </c>
      <c r="L554" t="s">
        <v>692</v>
      </c>
      <c r="M554" t="s">
        <v>33</v>
      </c>
      <c r="N554">
        <v>18</v>
      </c>
      <c r="O554">
        <v>16</v>
      </c>
      <c r="P554" t="b">
        <v>1</v>
      </c>
      <c r="Q554">
        <v>19</v>
      </c>
      <c r="R554">
        <v>4</v>
      </c>
    </row>
    <row r="555" spans="1:18">
      <c r="A555" t="s">
        <v>1151</v>
      </c>
      <c r="B555" t="s">
        <v>1152</v>
      </c>
      <c r="C555" s="1">
        <v>45025</v>
      </c>
      <c r="D555">
        <v>45</v>
      </c>
      <c r="E555" t="s">
        <v>36</v>
      </c>
      <c r="F555" t="s">
        <v>32</v>
      </c>
      <c r="G555" t="s">
        <v>22</v>
      </c>
      <c r="H555">
        <v>75.25</v>
      </c>
      <c r="I555">
        <v>4</v>
      </c>
      <c r="J555">
        <v>0</v>
      </c>
      <c r="K555">
        <v>301</v>
      </c>
      <c r="L555" t="s">
        <v>692</v>
      </c>
      <c r="M555" t="s">
        <v>33</v>
      </c>
      <c r="N555">
        <v>33</v>
      </c>
      <c r="O555">
        <v>8</v>
      </c>
      <c r="P555" t="b">
        <v>1</v>
      </c>
      <c r="Q555">
        <v>4</v>
      </c>
      <c r="R555">
        <v>3</v>
      </c>
    </row>
    <row r="556" spans="1:18">
      <c r="A556" t="s">
        <v>1153</v>
      </c>
      <c r="B556" t="s">
        <v>1154</v>
      </c>
      <c r="C556" s="1">
        <v>45131</v>
      </c>
      <c r="D556">
        <v>51</v>
      </c>
      <c r="E556" t="s">
        <v>20</v>
      </c>
      <c r="F556" t="s">
        <v>21</v>
      </c>
      <c r="G556" t="s">
        <v>46</v>
      </c>
      <c r="H556">
        <v>648.30999999999995</v>
      </c>
      <c r="I556">
        <v>1</v>
      </c>
      <c r="J556">
        <v>0</v>
      </c>
      <c r="K556">
        <v>648.30999999999995</v>
      </c>
      <c r="L556" t="s">
        <v>692</v>
      </c>
      <c r="M556" t="s">
        <v>24</v>
      </c>
      <c r="N556">
        <v>22</v>
      </c>
      <c r="O556">
        <v>11</v>
      </c>
      <c r="P556" t="b">
        <v>1</v>
      </c>
      <c r="Q556">
        <v>17</v>
      </c>
      <c r="R556">
        <v>5</v>
      </c>
    </row>
    <row r="557" spans="1:18">
      <c r="A557" t="s">
        <v>1155</v>
      </c>
      <c r="B557" t="s">
        <v>1156</v>
      </c>
      <c r="C557" s="1">
        <v>45106</v>
      </c>
      <c r="D557">
        <v>42</v>
      </c>
      <c r="E557" t="s">
        <v>20</v>
      </c>
      <c r="F557" t="s">
        <v>52</v>
      </c>
      <c r="G557" t="s">
        <v>28</v>
      </c>
      <c r="H557">
        <v>150.49</v>
      </c>
      <c r="I557">
        <v>1</v>
      </c>
      <c r="J557">
        <v>0</v>
      </c>
      <c r="K557">
        <v>150.49</v>
      </c>
      <c r="L557" t="s">
        <v>692</v>
      </c>
      <c r="M557" t="s">
        <v>24</v>
      </c>
      <c r="N557">
        <v>18</v>
      </c>
      <c r="O557">
        <v>8</v>
      </c>
      <c r="P557" t="b">
        <v>0</v>
      </c>
      <c r="Q557">
        <v>8</v>
      </c>
      <c r="R557">
        <v>4</v>
      </c>
    </row>
    <row r="558" spans="1:18">
      <c r="A558" t="s">
        <v>1157</v>
      </c>
      <c r="B558" t="s">
        <v>1158</v>
      </c>
      <c r="C558" s="1">
        <v>45358</v>
      </c>
      <c r="D558">
        <v>36</v>
      </c>
      <c r="E558" t="s">
        <v>20</v>
      </c>
      <c r="F558" t="s">
        <v>32</v>
      </c>
      <c r="G558" t="s">
        <v>64</v>
      </c>
      <c r="H558">
        <v>810.6</v>
      </c>
      <c r="I558">
        <v>2</v>
      </c>
      <c r="J558">
        <v>0</v>
      </c>
      <c r="K558">
        <v>1621.2</v>
      </c>
      <c r="L558" t="s">
        <v>692</v>
      </c>
      <c r="M558" t="s">
        <v>24</v>
      </c>
      <c r="N558">
        <v>17</v>
      </c>
      <c r="O558">
        <v>5</v>
      </c>
      <c r="P558" t="b">
        <v>0</v>
      </c>
      <c r="Q558">
        <v>10</v>
      </c>
      <c r="R558">
        <v>5</v>
      </c>
    </row>
    <row r="559" spans="1:18">
      <c r="A559" t="s">
        <v>1159</v>
      </c>
      <c r="B559" t="s">
        <v>1160</v>
      </c>
      <c r="C559" s="1">
        <v>45201</v>
      </c>
      <c r="D559">
        <v>36</v>
      </c>
      <c r="E559" t="s">
        <v>20</v>
      </c>
      <c r="F559" t="s">
        <v>32</v>
      </c>
      <c r="G559" t="s">
        <v>64</v>
      </c>
      <c r="H559">
        <v>2590.17</v>
      </c>
      <c r="I559">
        <v>1</v>
      </c>
      <c r="J559">
        <v>480.47</v>
      </c>
      <c r="K559">
        <v>2109.6999999999998</v>
      </c>
      <c r="L559" t="s">
        <v>692</v>
      </c>
      <c r="M559" t="s">
        <v>33</v>
      </c>
      <c r="N559">
        <v>20</v>
      </c>
      <c r="O559">
        <v>7</v>
      </c>
      <c r="P559" t="b">
        <v>1</v>
      </c>
      <c r="Q559">
        <v>2</v>
      </c>
      <c r="R559">
        <v>3</v>
      </c>
    </row>
    <row r="560" spans="1:18">
      <c r="A560" t="s">
        <v>1161</v>
      </c>
      <c r="B560" t="s">
        <v>1162</v>
      </c>
      <c r="C560" s="1">
        <v>44941</v>
      </c>
      <c r="D560">
        <v>40</v>
      </c>
      <c r="E560" t="s">
        <v>36</v>
      </c>
      <c r="F560" t="s">
        <v>59</v>
      </c>
      <c r="G560" t="s">
        <v>64</v>
      </c>
      <c r="H560">
        <v>1239.23</v>
      </c>
      <c r="I560">
        <v>1</v>
      </c>
      <c r="J560">
        <v>0</v>
      </c>
      <c r="K560">
        <v>1239.23</v>
      </c>
      <c r="L560" t="s">
        <v>692</v>
      </c>
      <c r="M560" t="s">
        <v>24</v>
      </c>
      <c r="N560">
        <v>31</v>
      </c>
      <c r="O560">
        <v>13</v>
      </c>
      <c r="P560" t="b">
        <v>1</v>
      </c>
      <c r="Q560">
        <v>12</v>
      </c>
      <c r="R560">
        <v>5</v>
      </c>
    </row>
    <row r="561" spans="1:18">
      <c r="A561" t="s">
        <v>1163</v>
      </c>
      <c r="B561" t="s">
        <v>1164</v>
      </c>
      <c r="C561" s="1">
        <v>44986</v>
      </c>
      <c r="D561">
        <v>37</v>
      </c>
      <c r="E561" t="s">
        <v>20</v>
      </c>
      <c r="F561" t="s">
        <v>59</v>
      </c>
      <c r="G561" t="s">
        <v>37</v>
      </c>
      <c r="H561">
        <v>126.2</v>
      </c>
      <c r="I561">
        <v>5</v>
      </c>
      <c r="J561">
        <v>0</v>
      </c>
      <c r="K561">
        <v>631</v>
      </c>
      <c r="L561" t="s">
        <v>692</v>
      </c>
      <c r="M561" t="s">
        <v>33</v>
      </c>
      <c r="N561">
        <v>13</v>
      </c>
      <c r="O561">
        <v>13</v>
      </c>
      <c r="P561" t="b">
        <v>0</v>
      </c>
      <c r="Q561">
        <v>5</v>
      </c>
      <c r="R561">
        <v>5</v>
      </c>
    </row>
    <row r="562" spans="1:18">
      <c r="A562" t="s">
        <v>1165</v>
      </c>
      <c r="B562" t="s">
        <v>1166</v>
      </c>
      <c r="C562" s="1">
        <v>45018</v>
      </c>
      <c r="D562">
        <v>57</v>
      </c>
      <c r="E562" t="s">
        <v>36</v>
      </c>
      <c r="F562" t="s">
        <v>21</v>
      </c>
      <c r="G562" t="s">
        <v>46</v>
      </c>
      <c r="H562">
        <v>351.37</v>
      </c>
      <c r="I562">
        <v>1</v>
      </c>
      <c r="J562">
        <v>0</v>
      </c>
      <c r="K562">
        <v>351.37</v>
      </c>
      <c r="L562" t="s">
        <v>692</v>
      </c>
      <c r="M562" t="s">
        <v>24</v>
      </c>
      <c r="N562">
        <v>13</v>
      </c>
      <c r="O562">
        <v>6</v>
      </c>
      <c r="P562" t="b">
        <v>0</v>
      </c>
      <c r="Q562">
        <v>6</v>
      </c>
      <c r="R562">
        <v>5</v>
      </c>
    </row>
    <row r="563" spans="1:18">
      <c r="A563" t="s">
        <v>1167</v>
      </c>
      <c r="B563" t="s">
        <v>1168</v>
      </c>
      <c r="C563" s="1">
        <v>45224</v>
      </c>
      <c r="D563">
        <v>51</v>
      </c>
      <c r="E563" t="s">
        <v>36</v>
      </c>
      <c r="F563" t="s">
        <v>76</v>
      </c>
      <c r="G563" t="s">
        <v>115</v>
      </c>
      <c r="H563">
        <v>105.07</v>
      </c>
      <c r="I563">
        <v>1</v>
      </c>
      <c r="J563">
        <v>21.03</v>
      </c>
      <c r="K563">
        <v>84.04</v>
      </c>
      <c r="L563" t="s">
        <v>692</v>
      </c>
      <c r="M563" t="s">
        <v>33</v>
      </c>
      <c r="N563">
        <v>6</v>
      </c>
      <c r="O563">
        <v>7</v>
      </c>
      <c r="P563" t="b">
        <v>1</v>
      </c>
      <c r="Q563">
        <v>4</v>
      </c>
      <c r="R563">
        <v>1</v>
      </c>
    </row>
    <row r="564" spans="1:18">
      <c r="A564" t="s">
        <v>1169</v>
      </c>
      <c r="B564" t="s">
        <v>1170</v>
      </c>
      <c r="C564" s="1">
        <v>45062</v>
      </c>
      <c r="D564">
        <v>54</v>
      </c>
      <c r="E564" t="s">
        <v>36</v>
      </c>
      <c r="F564" t="s">
        <v>83</v>
      </c>
      <c r="G564" t="s">
        <v>53</v>
      </c>
      <c r="H564">
        <v>50.09</v>
      </c>
      <c r="I564">
        <v>2</v>
      </c>
      <c r="J564">
        <v>0</v>
      </c>
      <c r="K564">
        <v>100.18</v>
      </c>
      <c r="L564" t="s">
        <v>692</v>
      </c>
      <c r="M564" t="s">
        <v>24</v>
      </c>
      <c r="N564">
        <v>36</v>
      </c>
      <c r="O564">
        <v>14</v>
      </c>
      <c r="P564" t="b">
        <v>1</v>
      </c>
      <c r="Q564">
        <v>5</v>
      </c>
      <c r="R564">
        <v>4</v>
      </c>
    </row>
    <row r="565" spans="1:18">
      <c r="A565" t="s">
        <v>1171</v>
      </c>
      <c r="B565" t="s">
        <v>1172</v>
      </c>
      <c r="C565" s="1">
        <v>45232</v>
      </c>
      <c r="D565">
        <v>33</v>
      </c>
      <c r="E565" t="s">
        <v>36</v>
      </c>
      <c r="F565" t="s">
        <v>32</v>
      </c>
      <c r="G565" t="s">
        <v>64</v>
      </c>
      <c r="H565">
        <v>971.23</v>
      </c>
      <c r="I565">
        <v>2</v>
      </c>
      <c r="J565">
        <v>108.91</v>
      </c>
      <c r="K565">
        <v>1833.55</v>
      </c>
      <c r="L565" t="s">
        <v>692</v>
      </c>
      <c r="M565" t="s">
        <v>33</v>
      </c>
      <c r="N565">
        <v>25</v>
      </c>
      <c r="O565">
        <v>6</v>
      </c>
      <c r="P565" t="b">
        <v>1</v>
      </c>
      <c r="Q565">
        <v>12</v>
      </c>
      <c r="R565">
        <v>5</v>
      </c>
    </row>
    <row r="566" spans="1:18">
      <c r="A566" t="s">
        <v>1173</v>
      </c>
      <c r="B566" t="s">
        <v>1174</v>
      </c>
      <c r="C566" s="1">
        <v>45103</v>
      </c>
      <c r="D566">
        <v>48</v>
      </c>
      <c r="E566" t="s">
        <v>20</v>
      </c>
      <c r="F566" t="s">
        <v>21</v>
      </c>
      <c r="G566" t="s">
        <v>53</v>
      </c>
      <c r="H566">
        <v>114.73</v>
      </c>
      <c r="I566">
        <v>1</v>
      </c>
      <c r="J566">
        <v>21.05</v>
      </c>
      <c r="K566">
        <v>93.68</v>
      </c>
      <c r="L566" t="s">
        <v>692</v>
      </c>
      <c r="M566" t="s">
        <v>24</v>
      </c>
      <c r="N566">
        <v>12</v>
      </c>
      <c r="O566">
        <v>13</v>
      </c>
      <c r="P566" t="b">
        <v>0</v>
      </c>
      <c r="Q566">
        <v>5</v>
      </c>
      <c r="R566">
        <v>2</v>
      </c>
    </row>
    <row r="567" spans="1:18">
      <c r="A567" t="s">
        <v>1175</v>
      </c>
      <c r="B567" t="s">
        <v>1176</v>
      </c>
      <c r="C567" s="1">
        <v>45300</v>
      </c>
      <c r="D567">
        <v>18</v>
      </c>
      <c r="E567" t="s">
        <v>36</v>
      </c>
      <c r="F567" t="s">
        <v>88</v>
      </c>
      <c r="G567" t="s">
        <v>28</v>
      </c>
      <c r="H567">
        <v>243.64</v>
      </c>
      <c r="I567">
        <v>2</v>
      </c>
      <c r="J567">
        <v>29.1</v>
      </c>
      <c r="K567">
        <v>458.18</v>
      </c>
      <c r="L567" t="s">
        <v>692</v>
      </c>
      <c r="M567" t="s">
        <v>33</v>
      </c>
      <c r="N567">
        <v>13</v>
      </c>
      <c r="O567">
        <v>11</v>
      </c>
      <c r="P567" t="b">
        <v>1</v>
      </c>
      <c r="Q567">
        <v>3</v>
      </c>
      <c r="R567">
        <v>4</v>
      </c>
    </row>
    <row r="568" spans="1:18">
      <c r="A568" t="s">
        <v>1177</v>
      </c>
      <c r="B568" t="s">
        <v>1178</v>
      </c>
      <c r="C568" s="1">
        <v>45087</v>
      </c>
      <c r="D568">
        <v>33</v>
      </c>
      <c r="E568" t="s">
        <v>36</v>
      </c>
      <c r="F568" t="s">
        <v>52</v>
      </c>
      <c r="G568" t="s">
        <v>53</v>
      </c>
      <c r="H568">
        <v>53.32</v>
      </c>
      <c r="I568">
        <v>5</v>
      </c>
      <c r="J568">
        <v>0</v>
      </c>
      <c r="K568">
        <v>266.60000000000002</v>
      </c>
      <c r="L568" t="s">
        <v>692</v>
      </c>
      <c r="M568" t="s">
        <v>24</v>
      </c>
      <c r="N568">
        <v>15</v>
      </c>
      <c r="O568">
        <v>6</v>
      </c>
      <c r="P568" t="b">
        <v>1</v>
      </c>
      <c r="Q568">
        <v>2</v>
      </c>
      <c r="R568">
        <v>1</v>
      </c>
    </row>
    <row r="569" spans="1:18">
      <c r="A569" t="s">
        <v>1179</v>
      </c>
      <c r="B569" t="s">
        <v>1180</v>
      </c>
      <c r="C569" s="1">
        <v>45188</v>
      </c>
      <c r="D569">
        <v>18</v>
      </c>
      <c r="E569" t="s">
        <v>36</v>
      </c>
      <c r="F569" t="s">
        <v>52</v>
      </c>
      <c r="G569" t="s">
        <v>53</v>
      </c>
      <c r="H569">
        <v>49.43</v>
      </c>
      <c r="I569">
        <v>1</v>
      </c>
      <c r="J569">
        <v>0</v>
      </c>
      <c r="K569">
        <v>49.43</v>
      </c>
      <c r="L569" t="s">
        <v>692</v>
      </c>
      <c r="M569" t="s">
        <v>24</v>
      </c>
      <c r="N569">
        <v>16</v>
      </c>
      <c r="O569">
        <v>6</v>
      </c>
      <c r="P569" t="b">
        <v>1</v>
      </c>
      <c r="Q569">
        <v>3</v>
      </c>
      <c r="R569">
        <v>2</v>
      </c>
    </row>
    <row r="570" spans="1:18">
      <c r="A570" t="s">
        <v>1181</v>
      </c>
      <c r="B570" t="s">
        <v>1182</v>
      </c>
      <c r="C570" s="1">
        <v>44949</v>
      </c>
      <c r="D570">
        <v>55</v>
      </c>
      <c r="E570" t="s">
        <v>36</v>
      </c>
      <c r="F570" t="s">
        <v>76</v>
      </c>
      <c r="G570" t="s">
        <v>64</v>
      </c>
      <c r="H570">
        <v>3242.84</v>
      </c>
      <c r="I570">
        <v>5</v>
      </c>
      <c r="J570">
        <v>0</v>
      </c>
      <c r="K570">
        <v>16214.2</v>
      </c>
      <c r="L570" t="s">
        <v>692</v>
      </c>
      <c r="M570" t="s">
        <v>24</v>
      </c>
      <c r="N570">
        <v>2</v>
      </c>
      <c r="O570">
        <v>10</v>
      </c>
      <c r="P570" t="b">
        <v>1</v>
      </c>
      <c r="Q570">
        <v>5</v>
      </c>
      <c r="R570">
        <v>5</v>
      </c>
    </row>
    <row r="571" spans="1:18">
      <c r="A571" t="s">
        <v>1183</v>
      </c>
      <c r="B571" t="s">
        <v>1184</v>
      </c>
      <c r="C571" s="1">
        <v>45150</v>
      </c>
      <c r="D571">
        <v>18</v>
      </c>
      <c r="E571" t="s">
        <v>20</v>
      </c>
      <c r="F571" t="s">
        <v>52</v>
      </c>
      <c r="G571" t="s">
        <v>56</v>
      </c>
      <c r="H571">
        <v>599.44000000000005</v>
      </c>
      <c r="I571">
        <v>1</v>
      </c>
      <c r="J571">
        <v>0</v>
      </c>
      <c r="K571">
        <v>599.44000000000005</v>
      </c>
      <c r="L571" t="s">
        <v>692</v>
      </c>
      <c r="M571" t="s">
        <v>24</v>
      </c>
      <c r="N571">
        <v>16</v>
      </c>
      <c r="O571">
        <v>9</v>
      </c>
      <c r="P571" t="b">
        <v>1</v>
      </c>
      <c r="Q571">
        <v>5</v>
      </c>
      <c r="R571">
        <v>5</v>
      </c>
    </row>
    <row r="572" spans="1:18">
      <c r="A572" t="s">
        <v>1185</v>
      </c>
      <c r="B572" t="s">
        <v>1186</v>
      </c>
      <c r="C572" s="1">
        <v>44927</v>
      </c>
      <c r="D572">
        <v>32</v>
      </c>
      <c r="E572" t="s">
        <v>20</v>
      </c>
      <c r="F572" t="s">
        <v>32</v>
      </c>
      <c r="G572" t="s">
        <v>64</v>
      </c>
      <c r="H572">
        <v>804.06</v>
      </c>
      <c r="I572">
        <v>1</v>
      </c>
      <c r="J572">
        <v>229.28</v>
      </c>
      <c r="K572">
        <v>574.78</v>
      </c>
      <c r="L572" t="s">
        <v>692</v>
      </c>
      <c r="M572" t="s">
        <v>33</v>
      </c>
      <c r="N572">
        <v>8</v>
      </c>
      <c r="O572">
        <v>10</v>
      </c>
      <c r="P572" t="b">
        <v>0</v>
      </c>
      <c r="Q572">
        <v>1</v>
      </c>
      <c r="R572">
        <v>4</v>
      </c>
    </row>
    <row r="573" spans="1:18">
      <c r="A573" t="s">
        <v>1187</v>
      </c>
      <c r="B573" t="s">
        <v>1188</v>
      </c>
      <c r="C573" s="1">
        <v>45339</v>
      </c>
      <c r="D573">
        <v>18</v>
      </c>
      <c r="E573" t="s">
        <v>36</v>
      </c>
      <c r="F573" t="s">
        <v>73</v>
      </c>
      <c r="G573" t="s">
        <v>56</v>
      </c>
      <c r="H573">
        <v>281.10000000000002</v>
      </c>
      <c r="I573">
        <v>2</v>
      </c>
      <c r="J573">
        <v>0</v>
      </c>
      <c r="K573">
        <v>562.20000000000005</v>
      </c>
      <c r="L573" t="s">
        <v>692</v>
      </c>
      <c r="M573" t="s">
        <v>24</v>
      </c>
      <c r="N573">
        <v>25</v>
      </c>
      <c r="O573">
        <v>9</v>
      </c>
      <c r="P573" t="b">
        <v>1</v>
      </c>
      <c r="Q573">
        <v>8</v>
      </c>
      <c r="R573">
        <v>4</v>
      </c>
    </row>
    <row r="574" spans="1:18">
      <c r="A574" t="s">
        <v>1189</v>
      </c>
      <c r="B574" t="s">
        <v>1190</v>
      </c>
      <c r="C574" s="1">
        <v>45202</v>
      </c>
      <c r="D574">
        <v>34</v>
      </c>
      <c r="E574" t="s">
        <v>36</v>
      </c>
      <c r="F574" t="s">
        <v>32</v>
      </c>
      <c r="G574" t="s">
        <v>28</v>
      </c>
      <c r="H574">
        <v>120.24</v>
      </c>
      <c r="I574">
        <v>2</v>
      </c>
      <c r="J574">
        <v>0</v>
      </c>
      <c r="K574">
        <v>240.48</v>
      </c>
      <c r="L574" t="s">
        <v>692</v>
      </c>
      <c r="M574" t="s">
        <v>33</v>
      </c>
      <c r="N574">
        <v>14</v>
      </c>
      <c r="O574">
        <v>10</v>
      </c>
      <c r="P574" t="b">
        <v>0</v>
      </c>
      <c r="Q574">
        <v>5</v>
      </c>
      <c r="R574">
        <v>5</v>
      </c>
    </row>
    <row r="575" spans="1:18">
      <c r="A575" t="s">
        <v>1191</v>
      </c>
      <c r="B575" t="s">
        <v>1192</v>
      </c>
      <c r="C575" s="1">
        <v>45306</v>
      </c>
      <c r="D575">
        <v>57</v>
      </c>
      <c r="E575" t="s">
        <v>20</v>
      </c>
      <c r="F575" t="s">
        <v>52</v>
      </c>
      <c r="G575" t="s">
        <v>22</v>
      </c>
      <c r="H575">
        <v>531.79</v>
      </c>
      <c r="I575">
        <v>1</v>
      </c>
      <c r="J575">
        <v>0</v>
      </c>
      <c r="K575">
        <v>531.79</v>
      </c>
      <c r="L575" t="s">
        <v>692</v>
      </c>
      <c r="M575" t="s">
        <v>29</v>
      </c>
      <c r="N575">
        <v>19</v>
      </c>
      <c r="O575">
        <v>7</v>
      </c>
      <c r="P575" t="b">
        <v>0</v>
      </c>
      <c r="Q575">
        <v>3</v>
      </c>
      <c r="R575">
        <v>4</v>
      </c>
    </row>
    <row r="576" spans="1:18">
      <c r="A576" t="s">
        <v>1193</v>
      </c>
      <c r="B576" t="s">
        <v>1194</v>
      </c>
      <c r="C576" s="1">
        <v>45304</v>
      </c>
      <c r="D576">
        <v>48</v>
      </c>
      <c r="E576" t="s">
        <v>20</v>
      </c>
      <c r="F576" t="s">
        <v>32</v>
      </c>
      <c r="G576" t="s">
        <v>22</v>
      </c>
      <c r="H576">
        <v>211.54</v>
      </c>
      <c r="I576">
        <v>2</v>
      </c>
      <c r="J576">
        <v>0</v>
      </c>
      <c r="K576">
        <v>423.08</v>
      </c>
      <c r="L576" t="s">
        <v>692</v>
      </c>
      <c r="M576" t="s">
        <v>24</v>
      </c>
      <c r="N576">
        <v>18</v>
      </c>
      <c r="O576">
        <v>11</v>
      </c>
      <c r="P576" t="b">
        <v>0</v>
      </c>
      <c r="Q576">
        <v>7</v>
      </c>
      <c r="R576">
        <v>5</v>
      </c>
    </row>
    <row r="577" spans="1:18">
      <c r="A577" t="s">
        <v>1195</v>
      </c>
      <c r="B577" t="s">
        <v>1196</v>
      </c>
      <c r="C577" s="1">
        <v>45270</v>
      </c>
      <c r="D577">
        <v>31</v>
      </c>
      <c r="E577" t="s">
        <v>20</v>
      </c>
      <c r="F577" t="s">
        <v>27</v>
      </c>
      <c r="G577" t="s">
        <v>22</v>
      </c>
      <c r="H577">
        <v>306.73</v>
      </c>
      <c r="I577">
        <v>3</v>
      </c>
      <c r="J577">
        <v>0</v>
      </c>
      <c r="K577">
        <v>920.19</v>
      </c>
      <c r="L577" t="s">
        <v>692</v>
      </c>
      <c r="M577" t="s">
        <v>33</v>
      </c>
      <c r="N577">
        <v>22</v>
      </c>
      <c r="O577">
        <v>10</v>
      </c>
      <c r="P577" t="b">
        <v>0</v>
      </c>
      <c r="Q577">
        <v>4</v>
      </c>
      <c r="R577">
        <v>1</v>
      </c>
    </row>
    <row r="578" spans="1:18">
      <c r="A578" t="s">
        <v>1197</v>
      </c>
      <c r="B578" t="s">
        <v>1198</v>
      </c>
      <c r="C578" s="1">
        <v>45027</v>
      </c>
      <c r="D578">
        <v>21</v>
      </c>
      <c r="E578" t="s">
        <v>20</v>
      </c>
      <c r="F578" t="s">
        <v>76</v>
      </c>
      <c r="G578" t="s">
        <v>56</v>
      </c>
      <c r="H578">
        <v>381.06</v>
      </c>
      <c r="I578">
        <v>2</v>
      </c>
      <c r="J578">
        <v>0</v>
      </c>
      <c r="K578">
        <v>762.12</v>
      </c>
      <c r="L578" t="s">
        <v>692</v>
      </c>
      <c r="M578" t="s">
        <v>29</v>
      </c>
      <c r="N578">
        <v>20</v>
      </c>
      <c r="O578">
        <v>7</v>
      </c>
      <c r="P578" t="b">
        <v>1</v>
      </c>
      <c r="Q578">
        <v>8</v>
      </c>
      <c r="R578">
        <v>5</v>
      </c>
    </row>
    <row r="579" spans="1:18">
      <c r="A579" t="s">
        <v>1199</v>
      </c>
      <c r="B579" t="s">
        <v>1200</v>
      </c>
      <c r="C579" s="1">
        <v>45186</v>
      </c>
      <c r="D579">
        <v>31</v>
      </c>
      <c r="E579" t="s">
        <v>36</v>
      </c>
      <c r="F579" t="s">
        <v>32</v>
      </c>
      <c r="G579" t="s">
        <v>37</v>
      </c>
      <c r="H579">
        <v>48.43</v>
      </c>
      <c r="I579">
        <v>2</v>
      </c>
      <c r="J579">
        <v>9.27</v>
      </c>
      <c r="K579">
        <v>87.59</v>
      </c>
      <c r="L579" t="s">
        <v>692</v>
      </c>
      <c r="M579" t="s">
        <v>29</v>
      </c>
      <c r="N579">
        <v>24</v>
      </c>
      <c r="O579">
        <v>9</v>
      </c>
      <c r="P579" t="b">
        <v>0</v>
      </c>
      <c r="Q579">
        <v>4</v>
      </c>
      <c r="R579">
        <v>1</v>
      </c>
    </row>
    <row r="580" spans="1:18">
      <c r="A580" t="s">
        <v>1201</v>
      </c>
      <c r="B580" t="s">
        <v>1202</v>
      </c>
      <c r="C580" s="1">
        <v>45283</v>
      </c>
      <c r="D580">
        <v>30</v>
      </c>
      <c r="E580" t="s">
        <v>20</v>
      </c>
      <c r="F580" t="s">
        <v>21</v>
      </c>
      <c r="G580" t="s">
        <v>37</v>
      </c>
      <c r="H580">
        <v>247.09</v>
      </c>
      <c r="I580">
        <v>5</v>
      </c>
      <c r="J580">
        <v>0</v>
      </c>
      <c r="K580">
        <v>1235.45</v>
      </c>
      <c r="L580" t="s">
        <v>692</v>
      </c>
      <c r="M580" t="s">
        <v>33</v>
      </c>
      <c r="N580">
        <v>26</v>
      </c>
      <c r="O580">
        <v>9</v>
      </c>
      <c r="P580" t="b">
        <v>1</v>
      </c>
      <c r="Q580">
        <v>8</v>
      </c>
      <c r="R580">
        <v>3</v>
      </c>
    </row>
    <row r="581" spans="1:18">
      <c r="A581" t="s">
        <v>1203</v>
      </c>
      <c r="B581" t="s">
        <v>1204</v>
      </c>
      <c r="C581" s="1">
        <v>45210</v>
      </c>
      <c r="D581">
        <v>18</v>
      </c>
      <c r="E581" t="s">
        <v>20</v>
      </c>
      <c r="F581" t="s">
        <v>76</v>
      </c>
      <c r="G581" t="s">
        <v>28</v>
      </c>
      <c r="H581">
        <v>609.87</v>
      </c>
      <c r="I581">
        <v>4</v>
      </c>
      <c r="J581">
        <v>0</v>
      </c>
      <c r="K581">
        <v>2439.48</v>
      </c>
      <c r="L581" t="s">
        <v>692</v>
      </c>
      <c r="M581" t="s">
        <v>24</v>
      </c>
      <c r="N581">
        <v>6</v>
      </c>
      <c r="O581">
        <v>10</v>
      </c>
      <c r="P581" t="b">
        <v>1</v>
      </c>
      <c r="Q581">
        <v>4</v>
      </c>
      <c r="R581">
        <v>3</v>
      </c>
    </row>
    <row r="582" spans="1:18">
      <c r="A582" t="s">
        <v>1205</v>
      </c>
      <c r="B582" t="s">
        <v>1206</v>
      </c>
      <c r="C582" s="1">
        <v>45025</v>
      </c>
      <c r="D582">
        <v>21</v>
      </c>
      <c r="E582" t="s">
        <v>20</v>
      </c>
      <c r="F582" t="s">
        <v>88</v>
      </c>
      <c r="G582" t="s">
        <v>56</v>
      </c>
      <c r="H582">
        <v>934.88</v>
      </c>
      <c r="I582">
        <v>5</v>
      </c>
      <c r="J582">
        <v>0</v>
      </c>
      <c r="K582">
        <v>4674.3999999999996</v>
      </c>
      <c r="L582" t="s">
        <v>692</v>
      </c>
      <c r="M582" t="s">
        <v>24</v>
      </c>
      <c r="N582">
        <v>12</v>
      </c>
      <c r="O582">
        <v>6</v>
      </c>
      <c r="P582" t="b">
        <v>1</v>
      </c>
      <c r="Q582">
        <v>5</v>
      </c>
      <c r="R582">
        <v>4</v>
      </c>
    </row>
    <row r="583" spans="1:18">
      <c r="A583" t="s">
        <v>1207</v>
      </c>
      <c r="B583" t="s">
        <v>1208</v>
      </c>
      <c r="C583" s="1">
        <v>45142</v>
      </c>
      <c r="D583">
        <v>56</v>
      </c>
      <c r="E583" t="s">
        <v>20</v>
      </c>
      <c r="F583" t="s">
        <v>59</v>
      </c>
      <c r="G583" t="s">
        <v>115</v>
      </c>
      <c r="H583">
        <v>120.98</v>
      </c>
      <c r="I583">
        <v>3</v>
      </c>
      <c r="J583">
        <v>0</v>
      </c>
      <c r="K583">
        <v>362.94</v>
      </c>
      <c r="L583" t="s">
        <v>692</v>
      </c>
      <c r="M583" t="s">
        <v>24</v>
      </c>
      <c r="N583">
        <v>21</v>
      </c>
      <c r="O583">
        <v>11</v>
      </c>
      <c r="P583" t="b">
        <v>0</v>
      </c>
      <c r="Q583">
        <v>2</v>
      </c>
      <c r="R583">
        <v>4</v>
      </c>
    </row>
    <row r="584" spans="1:18">
      <c r="A584" t="s">
        <v>1209</v>
      </c>
      <c r="B584" t="s">
        <v>1210</v>
      </c>
      <c r="C584" s="1">
        <v>45267</v>
      </c>
      <c r="D584">
        <v>46</v>
      </c>
      <c r="E584" t="s">
        <v>36</v>
      </c>
      <c r="F584" t="s">
        <v>32</v>
      </c>
      <c r="G584" t="s">
        <v>115</v>
      </c>
      <c r="H584">
        <v>216.03</v>
      </c>
      <c r="I584">
        <v>1</v>
      </c>
      <c r="J584">
        <v>0</v>
      </c>
      <c r="K584">
        <v>216.03</v>
      </c>
      <c r="L584" t="s">
        <v>692</v>
      </c>
      <c r="M584" t="s">
        <v>29</v>
      </c>
      <c r="N584">
        <v>13</v>
      </c>
      <c r="O584">
        <v>8</v>
      </c>
      <c r="P584" t="b">
        <v>0</v>
      </c>
      <c r="Q584">
        <v>6</v>
      </c>
      <c r="R584">
        <v>3</v>
      </c>
    </row>
    <row r="585" spans="1:18">
      <c r="A585" t="s">
        <v>1211</v>
      </c>
      <c r="B585" t="s">
        <v>1212</v>
      </c>
      <c r="C585" s="1">
        <v>45273</v>
      </c>
      <c r="D585">
        <v>43</v>
      </c>
      <c r="E585" t="s">
        <v>20</v>
      </c>
      <c r="F585" t="s">
        <v>32</v>
      </c>
      <c r="G585" t="s">
        <v>37</v>
      </c>
      <c r="H585">
        <v>95.35</v>
      </c>
      <c r="I585">
        <v>3</v>
      </c>
      <c r="J585">
        <v>0</v>
      </c>
      <c r="K585">
        <v>286.05</v>
      </c>
      <c r="L585" t="s">
        <v>692</v>
      </c>
      <c r="M585" t="s">
        <v>29</v>
      </c>
      <c r="N585">
        <v>11</v>
      </c>
      <c r="O585">
        <v>9</v>
      </c>
      <c r="P585" t="b">
        <v>0</v>
      </c>
      <c r="Q585">
        <v>10</v>
      </c>
      <c r="R585">
        <v>1</v>
      </c>
    </row>
    <row r="586" spans="1:18">
      <c r="A586" t="s">
        <v>1213</v>
      </c>
      <c r="B586" t="s">
        <v>1214</v>
      </c>
      <c r="C586" s="1">
        <v>45310</v>
      </c>
      <c r="D586">
        <v>21</v>
      </c>
      <c r="E586" t="s">
        <v>20</v>
      </c>
      <c r="F586" t="s">
        <v>59</v>
      </c>
      <c r="G586" t="s">
        <v>22</v>
      </c>
      <c r="H586">
        <v>208.35</v>
      </c>
      <c r="I586">
        <v>1</v>
      </c>
      <c r="J586">
        <v>0</v>
      </c>
      <c r="K586">
        <v>208.35</v>
      </c>
      <c r="L586" t="s">
        <v>692</v>
      </c>
      <c r="M586" t="s">
        <v>24</v>
      </c>
      <c r="N586">
        <v>25</v>
      </c>
      <c r="O586">
        <v>4</v>
      </c>
      <c r="P586" t="b">
        <v>0</v>
      </c>
      <c r="Q586">
        <v>3</v>
      </c>
      <c r="R586">
        <v>3</v>
      </c>
    </row>
    <row r="587" spans="1:18">
      <c r="A587" t="s">
        <v>1215</v>
      </c>
      <c r="B587" t="s">
        <v>1216</v>
      </c>
      <c r="C587" s="1">
        <v>45016</v>
      </c>
      <c r="D587">
        <v>28</v>
      </c>
      <c r="E587" t="s">
        <v>20</v>
      </c>
      <c r="F587" t="s">
        <v>32</v>
      </c>
      <c r="G587" t="s">
        <v>22</v>
      </c>
      <c r="H587">
        <v>399.82</v>
      </c>
      <c r="I587">
        <v>2</v>
      </c>
      <c r="J587">
        <v>70.66</v>
      </c>
      <c r="K587">
        <v>728.98</v>
      </c>
      <c r="L587" t="s">
        <v>692</v>
      </c>
      <c r="M587" t="s">
        <v>33</v>
      </c>
      <c r="N587">
        <v>3</v>
      </c>
      <c r="O587">
        <v>12</v>
      </c>
      <c r="P587" t="b">
        <v>1</v>
      </c>
      <c r="Q587">
        <v>4</v>
      </c>
      <c r="R587">
        <v>3</v>
      </c>
    </row>
    <row r="588" spans="1:18">
      <c r="A588" t="s">
        <v>1217</v>
      </c>
      <c r="B588" t="s">
        <v>1218</v>
      </c>
      <c r="C588" s="1">
        <v>45242</v>
      </c>
      <c r="D588">
        <v>40</v>
      </c>
      <c r="E588" t="s">
        <v>36</v>
      </c>
      <c r="F588" t="s">
        <v>32</v>
      </c>
      <c r="G588" t="s">
        <v>115</v>
      </c>
      <c r="H588">
        <v>152.36000000000001</v>
      </c>
      <c r="I588">
        <v>1</v>
      </c>
      <c r="J588">
        <v>0</v>
      </c>
      <c r="K588">
        <v>152.36000000000001</v>
      </c>
      <c r="L588" t="s">
        <v>692</v>
      </c>
      <c r="M588" t="s">
        <v>33</v>
      </c>
      <c r="N588">
        <v>11</v>
      </c>
      <c r="O588">
        <v>8</v>
      </c>
      <c r="P588" t="b">
        <v>1</v>
      </c>
      <c r="Q588">
        <v>9</v>
      </c>
      <c r="R588">
        <v>4</v>
      </c>
    </row>
    <row r="589" spans="1:18">
      <c r="A589" t="s">
        <v>1219</v>
      </c>
      <c r="B589" t="s">
        <v>1220</v>
      </c>
      <c r="C589" s="1">
        <v>45218</v>
      </c>
      <c r="D589">
        <v>20</v>
      </c>
      <c r="E589" t="s">
        <v>36</v>
      </c>
      <c r="F589" t="s">
        <v>21</v>
      </c>
      <c r="G589" t="s">
        <v>22</v>
      </c>
      <c r="H589">
        <v>608.26</v>
      </c>
      <c r="I589">
        <v>1</v>
      </c>
      <c r="J589">
        <v>83.46</v>
      </c>
      <c r="K589">
        <v>524.79999999999995</v>
      </c>
      <c r="L589" t="s">
        <v>692</v>
      </c>
      <c r="M589" t="s">
        <v>24</v>
      </c>
      <c r="N589">
        <v>24</v>
      </c>
      <c r="O589">
        <v>4</v>
      </c>
      <c r="P589" t="b">
        <v>1</v>
      </c>
      <c r="Q589">
        <v>6</v>
      </c>
      <c r="R589">
        <v>4</v>
      </c>
    </row>
    <row r="590" spans="1:18">
      <c r="A590" t="s">
        <v>1221</v>
      </c>
      <c r="B590" t="s">
        <v>1222</v>
      </c>
      <c r="C590" s="1">
        <v>45081</v>
      </c>
      <c r="D590">
        <v>43</v>
      </c>
      <c r="E590" t="s">
        <v>36</v>
      </c>
      <c r="F590" t="s">
        <v>73</v>
      </c>
      <c r="G590" t="s">
        <v>115</v>
      </c>
      <c r="H590">
        <v>37.340000000000003</v>
      </c>
      <c r="I590">
        <v>4</v>
      </c>
      <c r="J590">
        <v>3.78</v>
      </c>
      <c r="K590">
        <v>145.58000000000001</v>
      </c>
      <c r="L590" t="s">
        <v>692</v>
      </c>
      <c r="M590" t="s">
        <v>24</v>
      </c>
      <c r="N590">
        <v>8</v>
      </c>
      <c r="O590">
        <v>7</v>
      </c>
      <c r="P590" t="b">
        <v>1</v>
      </c>
      <c r="Q590">
        <v>11</v>
      </c>
      <c r="R590">
        <v>4</v>
      </c>
    </row>
    <row r="591" spans="1:18">
      <c r="A591" t="s">
        <v>1223</v>
      </c>
      <c r="B591" t="s">
        <v>1224</v>
      </c>
      <c r="C591" s="1">
        <v>45034</v>
      </c>
      <c r="D591">
        <v>22</v>
      </c>
      <c r="E591" t="s">
        <v>20</v>
      </c>
      <c r="F591" t="s">
        <v>21</v>
      </c>
      <c r="G591" t="s">
        <v>46</v>
      </c>
      <c r="H591">
        <v>914.24</v>
      </c>
      <c r="I591">
        <v>1</v>
      </c>
      <c r="J591">
        <v>0</v>
      </c>
      <c r="K591">
        <v>914.24</v>
      </c>
      <c r="L591" t="s">
        <v>692</v>
      </c>
      <c r="M591" t="s">
        <v>33</v>
      </c>
      <c r="N591">
        <v>15</v>
      </c>
      <c r="O591">
        <v>14</v>
      </c>
      <c r="P591" t="b">
        <v>0</v>
      </c>
      <c r="Q591">
        <v>12</v>
      </c>
      <c r="R591">
        <v>3</v>
      </c>
    </row>
    <row r="592" spans="1:18">
      <c r="A592" t="s">
        <v>1225</v>
      </c>
      <c r="B592" t="s">
        <v>1226</v>
      </c>
      <c r="C592" s="1">
        <v>45329</v>
      </c>
      <c r="D592">
        <v>42</v>
      </c>
      <c r="E592" t="s">
        <v>36</v>
      </c>
      <c r="F592" t="s">
        <v>21</v>
      </c>
      <c r="G592" t="s">
        <v>22</v>
      </c>
      <c r="H592">
        <v>94.57</v>
      </c>
      <c r="I592">
        <v>1</v>
      </c>
      <c r="J592">
        <v>0</v>
      </c>
      <c r="K592">
        <v>94.57</v>
      </c>
      <c r="L592" t="s">
        <v>692</v>
      </c>
      <c r="M592" t="s">
        <v>24</v>
      </c>
      <c r="N592">
        <v>3</v>
      </c>
      <c r="O592">
        <v>11</v>
      </c>
      <c r="P592" t="b">
        <v>1</v>
      </c>
      <c r="Q592">
        <v>7</v>
      </c>
      <c r="R592">
        <v>4</v>
      </c>
    </row>
    <row r="593" spans="1:18">
      <c r="A593" t="s">
        <v>1227</v>
      </c>
      <c r="B593" t="s">
        <v>1228</v>
      </c>
      <c r="C593" s="1">
        <v>45262</v>
      </c>
      <c r="D593">
        <v>19</v>
      </c>
      <c r="E593" t="s">
        <v>36</v>
      </c>
      <c r="F593" t="s">
        <v>73</v>
      </c>
      <c r="G593" t="s">
        <v>53</v>
      </c>
      <c r="H593">
        <v>65.7</v>
      </c>
      <c r="I593">
        <v>3</v>
      </c>
      <c r="J593">
        <v>0</v>
      </c>
      <c r="K593">
        <v>197.1</v>
      </c>
      <c r="L593" t="s">
        <v>692</v>
      </c>
      <c r="M593" t="s">
        <v>24</v>
      </c>
      <c r="N593">
        <v>13</v>
      </c>
      <c r="O593">
        <v>4</v>
      </c>
      <c r="P593" t="b">
        <v>1</v>
      </c>
      <c r="Q593">
        <v>4</v>
      </c>
      <c r="R593">
        <v>4</v>
      </c>
    </row>
    <row r="594" spans="1:18">
      <c r="A594" t="s">
        <v>1229</v>
      </c>
      <c r="B594" t="s">
        <v>1230</v>
      </c>
      <c r="C594" s="1">
        <v>45214</v>
      </c>
      <c r="D594">
        <v>28</v>
      </c>
      <c r="E594" t="s">
        <v>20</v>
      </c>
      <c r="F594" t="s">
        <v>27</v>
      </c>
      <c r="G594" t="s">
        <v>53</v>
      </c>
      <c r="H594">
        <v>89.32</v>
      </c>
      <c r="I594">
        <v>1</v>
      </c>
      <c r="J594">
        <v>0</v>
      </c>
      <c r="K594">
        <v>89.32</v>
      </c>
      <c r="L594" t="s">
        <v>1231</v>
      </c>
      <c r="M594" t="s">
        <v>33</v>
      </c>
      <c r="N594">
        <v>4</v>
      </c>
      <c r="O594">
        <v>6</v>
      </c>
      <c r="P594" t="b">
        <v>1</v>
      </c>
      <c r="Q594">
        <v>10</v>
      </c>
      <c r="R594">
        <v>5</v>
      </c>
    </row>
    <row r="595" spans="1:18">
      <c r="A595" t="s">
        <v>1232</v>
      </c>
      <c r="B595" t="s">
        <v>1233</v>
      </c>
      <c r="C595" s="1">
        <v>45101</v>
      </c>
      <c r="D595">
        <v>31</v>
      </c>
      <c r="E595" t="s">
        <v>36</v>
      </c>
      <c r="F595" t="s">
        <v>32</v>
      </c>
      <c r="G595" t="s">
        <v>22</v>
      </c>
      <c r="H595">
        <v>376.78</v>
      </c>
      <c r="I595">
        <v>1</v>
      </c>
      <c r="J595">
        <v>105.42</v>
      </c>
      <c r="K595">
        <v>271.36</v>
      </c>
      <c r="L595" t="s">
        <v>1231</v>
      </c>
      <c r="M595" t="s">
        <v>29</v>
      </c>
      <c r="N595">
        <v>32</v>
      </c>
      <c r="O595">
        <v>16</v>
      </c>
      <c r="P595" t="b">
        <v>0</v>
      </c>
      <c r="Q595">
        <v>4</v>
      </c>
      <c r="R595">
        <v>5</v>
      </c>
    </row>
    <row r="596" spans="1:18">
      <c r="A596" t="s">
        <v>1234</v>
      </c>
      <c r="B596" t="s">
        <v>1235</v>
      </c>
      <c r="C596" s="1">
        <v>45317</v>
      </c>
      <c r="D596">
        <v>47</v>
      </c>
      <c r="E596" t="s">
        <v>20</v>
      </c>
      <c r="F596" t="s">
        <v>49</v>
      </c>
      <c r="G596" t="s">
        <v>37</v>
      </c>
      <c r="H596">
        <v>139.34</v>
      </c>
      <c r="I596">
        <v>1</v>
      </c>
      <c r="J596">
        <v>0</v>
      </c>
      <c r="K596">
        <v>139.34</v>
      </c>
      <c r="L596" t="s">
        <v>1231</v>
      </c>
      <c r="M596" t="s">
        <v>33</v>
      </c>
      <c r="N596">
        <v>4</v>
      </c>
      <c r="O596">
        <v>7</v>
      </c>
      <c r="P596" t="b">
        <v>1</v>
      </c>
      <c r="Q596">
        <v>4</v>
      </c>
      <c r="R596">
        <v>4</v>
      </c>
    </row>
    <row r="597" spans="1:18">
      <c r="A597" t="s">
        <v>1236</v>
      </c>
      <c r="B597" t="s">
        <v>1237</v>
      </c>
      <c r="C597" s="1">
        <v>45201</v>
      </c>
      <c r="D597">
        <v>21</v>
      </c>
      <c r="E597" t="s">
        <v>20</v>
      </c>
      <c r="F597" t="s">
        <v>52</v>
      </c>
      <c r="G597" t="s">
        <v>22</v>
      </c>
      <c r="H597">
        <v>461.3</v>
      </c>
      <c r="I597">
        <v>2</v>
      </c>
      <c r="J597">
        <v>0</v>
      </c>
      <c r="K597">
        <v>922.6</v>
      </c>
      <c r="L597" t="s">
        <v>1231</v>
      </c>
      <c r="M597" t="s">
        <v>24</v>
      </c>
      <c r="N597">
        <v>13</v>
      </c>
      <c r="O597">
        <v>8</v>
      </c>
      <c r="P597" t="b">
        <v>1</v>
      </c>
      <c r="Q597">
        <v>4</v>
      </c>
      <c r="R597">
        <v>5</v>
      </c>
    </row>
    <row r="598" spans="1:18">
      <c r="A598" t="s">
        <v>1238</v>
      </c>
      <c r="B598" t="s">
        <v>1239</v>
      </c>
      <c r="C598" s="1">
        <v>45043</v>
      </c>
      <c r="D598">
        <v>18</v>
      </c>
      <c r="E598" t="s">
        <v>20</v>
      </c>
      <c r="F598" t="s">
        <v>52</v>
      </c>
      <c r="G598" t="s">
        <v>28</v>
      </c>
      <c r="H598">
        <v>252.16</v>
      </c>
      <c r="I598">
        <v>1</v>
      </c>
      <c r="J598">
        <v>0</v>
      </c>
      <c r="K598">
        <v>252.16</v>
      </c>
      <c r="L598" t="s">
        <v>1231</v>
      </c>
      <c r="M598" t="s">
        <v>24</v>
      </c>
      <c r="N598">
        <v>47</v>
      </c>
      <c r="O598">
        <v>9</v>
      </c>
      <c r="P598" t="b">
        <v>1</v>
      </c>
      <c r="Q598">
        <v>6</v>
      </c>
      <c r="R598">
        <v>5</v>
      </c>
    </row>
    <row r="599" spans="1:18">
      <c r="A599" t="s">
        <v>1240</v>
      </c>
      <c r="B599" t="s">
        <v>1241</v>
      </c>
      <c r="C599" s="1">
        <v>45200</v>
      </c>
      <c r="D599">
        <v>57</v>
      </c>
      <c r="E599" t="s">
        <v>36</v>
      </c>
      <c r="F599" t="s">
        <v>32</v>
      </c>
      <c r="G599" t="s">
        <v>56</v>
      </c>
      <c r="H599">
        <v>593.52</v>
      </c>
      <c r="I599">
        <v>3</v>
      </c>
      <c r="J599">
        <v>0</v>
      </c>
      <c r="K599">
        <v>1780.56</v>
      </c>
      <c r="L599" t="s">
        <v>1231</v>
      </c>
      <c r="M599" t="s">
        <v>33</v>
      </c>
      <c r="N599">
        <v>12</v>
      </c>
      <c r="O599">
        <v>14</v>
      </c>
      <c r="P599" t="b">
        <v>1</v>
      </c>
      <c r="Q599">
        <v>6</v>
      </c>
      <c r="R599">
        <v>4</v>
      </c>
    </row>
    <row r="600" spans="1:18">
      <c r="A600" t="s">
        <v>1242</v>
      </c>
      <c r="B600" t="s">
        <v>1243</v>
      </c>
      <c r="C600" s="1">
        <v>45300</v>
      </c>
      <c r="D600">
        <v>37</v>
      </c>
      <c r="E600" t="s">
        <v>20</v>
      </c>
      <c r="F600" t="s">
        <v>21</v>
      </c>
      <c r="G600" t="s">
        <v>37</v>
      </c>
      <c r="H600">
        <v>107.61</v>
      </c>
      <c r="I600">
        <v>1</v>
      </c>
      <c r="J600">
        <v>0</v>
      </c>
      <c r="K600">
        <v>107.61</v>
      </c>
      <c r="L600" t="s">
        <v>1231</v>
      </c>
      <c r="M600" t="s">
        <v>29</v>
      </c>
      <c r="N600">
        <v>26</v>
      </c>
      <c r="O600">
        <v>5</v>
      </c>
      <c r="P600" t="b">
        <v>1</v>
      </c>
      <c r="Q600">
        <v>2</v>
      </c>
      <c r="R600">
        <v>5</v>
      </c>
    </row>
    <row r="601" spans="1:18">
      <c r="A601" t="s">
        <v>1244</v>
      </c>
      <c r="B601" t="s">
        <v>1245</v>
      </c>
      <c r="C601" s="1">
        <v>45052</v>
      </c>
      <c r="D601">
        <v>38</v>
      </c>
      <c r="E601" t="s">
        <v>36</v>
      </c>
      <c r="F601" t="s">
        <v>21</v>
      </c>
      <c r="G601" t="s">
        <v>28</v>
      </c>
      <c r="H601">
        <v>226.86</v>
      </c>
      <c r="I601">
        <v>1</v>
      </c>
      <c r="J601">
        <v>0</v>
      </c>
      <c r="K601">
        <v>226.86</v>
      </c>
      <c r="L601" t="s">
        <v>1231</v>
      </c>
      <c r="M601" t="s">
        <v>33</v>
      </c>
      <c r="N601">
        <v>23</v>
      </c>
      <c r="O601">
        <v>7</v>
      </c>
      <c r="P601" t="b">
        <v>1</v>
      </c>
      <c r="Q601">
        <v>1</v>
      </c>
      <c r="R601">
        <v>3</v>
      </c>
    </row>
    <row r="602" spans="1:18">
      <c r="A602" t="s">
        <v>1246</v>
      </c>
      <c r="B602" t="s">
        <v>1247</v>
      </c>
      <c r="C602" s="1">
        <v>45254</v>
      </c>
      <c r="D602">
        <v>64</v>
      </c>
      <c r="E602" t="s">
        <v>36</v>
      </c>
      <c r="F602" t="s">
        <v>88</v>
      </c>
      <c r="G602" t="s">
        <v>37</v>
      </c>
      <c r="H602">
        <v>180.82</v>
      </c>
      <c r="I602">
        <v>4</v>
      </c>
      <c r="J602">
        <v>0</v>
      </c>
      <c r="K602">
        <v>723.28</v>
      </c>
      <c r="L602" t="s">
        <v>1231</v>
      </c>
      <c r="M602" t="s">
        <v>33</v>
      </c>
      <c r="N602">
        <v>7</v>
      </c>
      <c r="O602">
        <v>8</v>
      </c>
      <c r="P602" t="b">
        <v>0</v>
      </c>
      <c r="Q602">
        <v>3</v>
      </c>
      <c r="R602">
        <v>5</v>
      </c>
    </row>
    <row r="603" spans="1:18">
      <c r="A603" t="s">
        <v>1248</v>
      </c>
      <c r="B603" t="s">
        <v>1249</v>
      </c>
      <c r="C603" s="1">
        <v>44955</v>
      </c>
      <c r="D603">
        <v>51</v>
      </c>
      <c r="E603" t="s">
        <v>20</v>
      </c>
      <c r="F603" t="s">
        <v>88</v>
      </c>
      <c r="G603" t="s">
        <v>53</v>
      </c>
      <c r="H603">
        <v>13.38</v>
      </c>
      <c r="I603">
        <v>1</v>
      </c>
      <c r="J603">
        <v>2.36</v>
      </c>
      <c r="K603">
        <v>11.02</v>
      </c>
      <c r="L603" t="s">
        <v>1231</v>
      </c>
      <c r="M603" t="s">
        <v>33</v>
      </c>
      <c r="N603">
        <v>11</v>
      </c>
      <c r="O603">
        <v>9</v>
      </c>
      <c r="P603" t="b">
        <v>1</v>
      </c>
      <c r="Q603">
        <v>5</v>
      </c>
      <c r="R603">
        <v>1</v>
      </c>
    </row>
    <row r="604" spans="1:18">
      <c r="A604" t="s">
        <v>1250</v>
      </c>
      <c r="B604" t="s">
        <v>1251</v>
      </c>
      <c r="C604" s="1">
        <v>45161</v>
      </c>
      <c r="D604">
        <v>50</v>
      </c>
      <c r="E604" t="s">
        <v>20</v>
      </c>
      <c r="F604" t="s">
        <v>27</v>
      </c>
      <c r="G604" t="s">
        <v>53</v>
      </c>
      <c r="H604">
        <v>69.61</v>
      </c>
      <c r="I604">
        <v>1</v>
      </c>
      <c r="J604">
        <v>5.46</v>
      </c>
      <c r="K604">
        <v>64.150000000000006</v>
      </c>
      <c r="L604" t="s">
        <v>1231</v>
      </c>
      <c r="M604" t="s">
        <v>24</v>
      </c>
      <c r="N604">
        <v>24</v>
      </c>
      <c r="O604">
        <v>4</v>
      </c>
      <c r="P604" t="b">
        <v>0</v>
      </c>
      <c r="Q604">
        <v>10</v>
      </c>
      <c r="R604">
        <v>4</v>
      </c>
    </row>
    <row r="605" spans="1:18">
      <c r="A605" t="s">
        <v>1252</v>
      </c>
      <c r="B605" t="s">
        <v>1253</v>
      </c>
      <c r="C605" s="1">
        <v>45332</v>
      </c>
      <c r="D605">
        <v>32</v>
      </c>
      <c r="E605" t="s">
        <v>20</v>
      </c>
      <c r="F605" t="s">
        <v>73</v>
      </c>
      <c r="G605" t="s">
        <v>28</v>
      </c>
      <c r="H605">
        <v>28.21</v>
      </c>
      <c r="I605">
        <v>1</v>
      </c>
      <c r="J605">
        <v>0</v>
      </c>
      <c r="K605">
        <v>28.21</v>
      </c>
      <c r="L605" t="s">
        <v>1231</v>
      </c>
      <c r="M605" t="s">
        <v>24</v>
      </c>
      <c r="N605">
        <v>6</v>
      </c>
      <c r="O605">
        <v>11</v>
      </c>
      <c r="P605" t="b">
        <v>1</v>
      </c>
      <c r="Q605">
        <v>3</v>
      </c>
      <c r="R605">
        <v>4</v>
      </c>
    </row>
    <row r="606" spans="1:18">
      <c r="A606" t="s">
        <v>1254</v>
      </c>
      <c r="B606" t="s">
        <v>1255</v>
      </c>
      <c r="C606" s="1">
        <v>44959</v>
      </c>
      <c r="D606">
        <v>34</v>
      </c>
      <c r="E606" t="s">
        <v>36</v>
      </c>
      <c r="F606" t="s">
        <v>52</v>
      </c>
      <c r="G606" t="s">
        <v>64</v>
      </c>
      <c r="H606">
        <v>1563.53</v>
      </c>
      <c r="I606">
        <v>3</v>
      </c>
      <c r="J606">
        <v>0</v>
      </c>
      <c r="K606">
        <v>4690.59</v>
      </c>
      <c r="L606" t="s">
        <v>1231</v>
      </c>
      <c r="M606" t="s">
        <v>24</v>
      </c>
      <c r="N606">
        <v>5</v>
      </c>
      <c r="O606">
        <v>8</v>
      </c>
      <c r="P606" t="b">
        <v>1</v>
      </c>
      <c r="Q606">
        <v>7</v>
      </c>
      <c r="R606">
        <v>4</v>
      </c>
    </row>
    <row r="607" spans="1:18">
      <c r="A607" t="s">
        <v>1256</v>
      </c>
      <c r="B607" t="s">
        <v>1257</v>
      </c>
      <c r="C607" s="1">
        <v>45376</v>
      </c>
      <c r="D607">
        <v>43</v>
      </c>
      <c r="E607" t="s">
        <v>20</v>
      </c>
      <c r="F607" t="s">
        <v>52</v>
      </c>
      <c r="G607" t="s">
        <v>64</v>
      </c>
      <c r="H607">
        <v>2275.2399999999998</v>
      </c>
      <c r="I607">
        <v>2</v>
      </c>
      <c r="J607">
        <v>601.72</v>
      </c>
      <c r="K607">
        <v>3948.76</v>
      </c>
      <c r="L607" t="s">
        <v>1231</v>
      </c>
      <c r="M607" t="s">
        <v>24</v>
      </c>
      <c r="N607">
        <v>5</v>
      </c>
      <c r="O607">
        <v>9</v>
      </c>
      <c r="P607" t="b">
        <v>1</v>
      </c>
      <c r="Q607">
        <v>7</v>
      </c>
      <c r="R607">
        <v>4</v>
      </c>
    </row>
    <row r="608" spans="1:18">
      <c r="A608" t="s">
        <v>1258</v>
      </c>
      <c r="B608" t="s">
        <v>1259</v>
      </c>
      <c r="C608" s="1">
        <v>45264</v>
      </c>
      <c r="D608">
        <v>39</v>
      </c>
      <c r="E608" t="s">
        <v>20</v>
      </c>
      <c r="F608" t="s">
        <v>49</v>
      </c>
      <c r="G608" t="s">
        <v>53</v>
      </c>
      <c r="H608">
        <v>37.119999999999997</v>
      </c>
      <c r="I608">
        <v>1</v>
      </c>
      <c r="J608">
        <v>0</v>
      </c>
      <c r="K608">
        <v>37.119999999999997</v>
      </c>
      <c r="L608" t="s">
        <v>1231</v>
      </c>
      <c r="M608" t="s">
        <v>33</v>
      </c>
      <c r="N608">
        <v>12</v>
      </c>
      <c r="O608">
        <v>4</v>
      </c>
      <c r="P608" t="b">
        <v>1</v>
      </c>
      <c r="Q608">
        <v>3</v>
      </c>
      <c r="R608">
        <v>4</v>
      </c>
    </row>
    <row r="609" spans="1:18">
      <c r="A609" t="s">
        <v>1260</v>
      </c>
      <c r="B609" t="s">
        <v>1261</v>
      </c>
      <c r="C609" s="1">
        <v>45228</v>
      </c>
      <c r="D609">
        <v>30</v>
      </c>
      <c r="E609" t="s">
        <v>36</v>
      </c>
      <c r="F609" t="s">
        <v>59</v>
      </c>
      <c r="G609" t="s">
        <v>28</v>
      </c>
      <c r="H609">
        <v>164.95</v>
      </c>
      <c r="I609">
        <v>4</v>
      </c>
      <c r="J609">
        <v>0</v>
      </c>
      <c r="K609">
        <v>659.8</v>
      </c>
      <c r="L609" t="s">
        <v>1231</v>
      </c>
      <c r="M609" t="s">
        <v>33</v>
      </c>
      <c r="N609">
        <v>11</v>
      </c>
      <c r="O609">
        <v>8</v>
      </c>
      <c r="P609" t="b">
        <v>0</v>
      </c>
      <c r="Q609">
        <v>9</v>
      </c>
      <c r="R609">
        <v>3</v>
      </c>
    </row>
    <row r="610" spans="1:18">
      <c r="A610" t="s">
        <v>1262</v>
      </c>
      <c r="B610" t="s">
        <v>1263</v>
      </c>
      <c r="C610" s="1">
        <v>44934</v>
      </c>
      <c r="D610">
        <v>38</v>
      </c>
      <c r="E610" t="s">
        <v>36</v>
      </c>
      <c r="F610" t="s">
        <v>52</v>
      </c>
      <c r="G610" t="s">
        <v>37</v>
      </c>
      <c r="H610">
        <v>94.59</v>
      </c>
      <c r="I610">
        <v>3</v>
      </c>
      <c r="J610">
        <v>0</v>
      </c>
      <c r="K610">
        <v>283.77</v>
      </c>
      <c r="L610" t="s">
        <v>1231</v>
      </c>
      <c r="M610" t="s">
        <v>33</v>
      </c>
      <c r="N610">
        <v>24</v>
      </c>
      <c r="O610">
        <v>13</v>
      </c>
      <c r="P610" t="b">
        <v>1</v>
      </c>
      <c r="Q610">
        <v>2</v>
      </c>
      <c r="R610">
        <v>4</v>
      </c>
    </row>
    <row r="611" spans="1:18">
      <c r="A611" t="s">
        <v>1264</v>
      </c>
      <c r="B611" t="s">
        <v>1265</v>
      </c>
      <c r="C611" s="1">
        <v>45175</v>
      </c>
      <c r="D611">
        <v>30</v>
      </c>
      <c r="E611" t="s">
        <v>36</v>
      </c>
      <c r="F611" t="s">
        <v>21</v>
      </c>
      <c r="G611" t="s">
        <v>64</v>
      </c>
      <c r="H611">
        <v>2897.09</v>
      </c>
      <c r="I611">
        <v>5</v>
      </c>
      <c r="J611">
        <v>0</v>
      </c>
      <c r="K611">
        <v>14485.45</v>
      </c>
      <c r="L611" t="s">
        <v>1231</v>
      </c>
      <c r="M611" t="s">
        <v>33</v>
      </c>
      <c r="N611">
        <v>7</v>
      </c>
      <c r="O611">
        <v>5</v>
      </c>
      <c r="P611" t="b">
        <v>1</v>
      </c>
      <c r="Q611">
        <v>4</v>
      </c>
      <c r="R611">
        <v>5</v>
      </c>
    </row>
    <row r="612" spans="1:18">
      <c r="A612" t="s">
        <v>1266</v>
      </c>
      <c r="B612" t="s">
        <v>1267</v>
      </c>
      <c r="C612" s="1">
        <v>45184</v>
      </c>
      <c r="D612">
        <v>35</v>
      </c>
      <c r="E612" t="s">
        <v>36</v>
      </c>
      <c r="F612" t="s">
        <v>52</v>
      </c>
      <c r="G612" t="s">
        <v>22</v>
      </c>
      <c r="H612">
        <v>280.36</v>
      </c>
      <c r="I612">
        <v>5</v>
      </c>
      <c r="J612">
        <v>0</v>
      </c>
      <c r="K612">
        <v>1401.8</v>
      </c>
      <c r="L612" t="s">
        <v>1231</v>
      </c>
      <c r="M612" t="s">
        <v>33</v>
      </c>
      <c r="N612">
        <v>20</v>
      </c>
      <c r="O612">
        <v>5</v>
      </c>
      <c r="P612" t="b">
        <v>0</v>
      </c>
      <c r="Q612">
        <v>4</v>
      </c>
      <c r="R612">
        <v>4</v>
      </c>
    </row>
    <row r="613" spans="1:18">
      <c r="A613" t="s">
        <v>1268</v>
      </c>
      <c r="B613" t="s">
        <v>1269</v>
      </c>
      <c r="C613" s="1">
        <v>44968</v>
      </c>
      <c r="D613">
        <v>41</v>
      </c>
      <c r="E613" t="s">
        <v>122</v>
      </c>
      <c r="F613" t="s">
        <v>32</v>
      </c>
      <c r="G613" t="s">
        <v>53</v>
      </c>
      <c r="H613">
        <v>185.48</v>
      </c>
      <c r="I613">
        <v>1</v>
      </c>
      <c r="J613">
        <v>36.340000000000003</v>
      </c>
      <c r="K613">
        <v>149.13999999999999</v>
      </c>
      <c r="L613" t="s">
        <v>1231</v>
      </c>
      <c r="M613" t="s">
        <v>29</v>
      </c>
      <c r="N613">
        <v>12</v>
      </c>
      <c r="O613">
        <v>12</v>
      </c>
      <c r="P613" t="b">
        <v>1</v>
      </c>
      <c r="Q613">
        <v>5</v>
      </c>
      <c r="R613">
        <v>5</v>
      </c>
    </row>
    <row r="614" spans="1:18">
      <c r="A614" t="s">
        <v>1270</v>
      </c>
      <c r="B614" t="s">
        <v>1271</v>
      </c>
      <c r="C614" s="1">
        <v>44968</v>
      </c>
      <c r="D614">
        <v>23</v>
      </c>
      <c r="E614" t="s">
        <v>20</v>
      </c>
      <c r="F614" t="s">
        <v>73</v>
      </c>
      <c r="G614" t="s">
        <v>64</v>
      </c>
      <c r="H614">
        <v>1635.67</v>
      </c>
      <c r="I614">
        <v>4</v>
      </c>
      <c r="J614">
        <v>178.7</v>
      </c>
      <c r="K614">
        <v>6363.98</v>
      </c>
      <c r="L614" t="s">
        <v>1231</v>
      </c>
      <c r="M614" t="s">
        <v>24</v>
      </c>
      <c r="N614">
        <v>7</v>
      </c>
      <c r="O614">
        <v>9</v>
      </c>
      <c r="P614" t="b">
        <v>0</v>
      </c>
      <c r="Q614">
        <v>11</v>
      </c>
      <c r="R614">
        <v>1</v>
      </c>
    </row>
    <row r="615" spans="1:18">
      <c r="A615" t="s">
        <v>1272</v>
      </c>
      <c r="B615" t="s">
        <v>1273</v>
      </c>
      <c r="C615" s="1">
        <v>44931</v>
      </c>
      <c r="D615">
        <v>22</v>
      </c>
      <c r="E615" t="s">
        <v>36</v>
      </c>
      <c r="F615" t="s">
        <v>88</v>
      </c>
      <c r="G615" t="s">
        <v>53</v>
      </c>
      <c r="H615">
        <v>77.599999999999994</v>
      </c>
      <c r="I615">
        <v>1</v>
      </c>
      <c r="J615">
        <v>10.69</v>
      </c>
      <c r="K615">
        <v>66.91</v>
      </c>
      <c r="L615" t="s">
        <v>1231</v>
      </c>
      <c r="M615" t="s">
        <v>33</v>
      </c>
      <c r="N615">
        <v>9</v>
      </c>
      <c r="O615">
        <v>10</v>
      </c>
      <c r="P615" t="b">
        <v>1</v>
      </c>
      <c r="Q615">
        <v>1</v>
      </c>
      <c r="R615">
        <v>4</v>
      </c>
    </row>
    <row r="616" spans="1:18">
      <c r="A616" t="s">
        <v>1274</v>
      </c>
      <c r="B616" t="s">
        <v>1275</v>
      </c>
      <c r="C616" s="1">
        <v>45007</v>
      </c>
      <c r="D616">
        <v>42</v>
      </c>
      <c r="E616" t="s">
        <v>20</v>
      </c>
      <c r="F616" t="s">
        <v>52</v>
      </c>
      <c r="G616" t="s">
        <v>22</v>
      </c>
      <c r="H616">
        <v>125.69</v>
      </c>
      <c r="I616">
        <v>2</v>
      </c>
      <c r="J616">
        <v>36.31</v>
      </c>
      <c r="K616">
        <v>215.07</v>
      </c>
      <c r="L616" t="s">
        <v>1231</v>
      </c>
      <c r="M616" t="s">
        <v>33</v>
      </c>
      <c r="N616">
        <v>9</v>
      </c>
      <c r="O616">
        <v>11</v>
      </c>
      <c r="P616" t="b">
        <v>1</v>
      </c>
      <c r="Q616">
        <v>5</v>
      </c>
      <c r="R616">
        <v>5</v>
      </c>
    </row>
    <row r="617" spans="1:18">
      <c r="A617" t="s">
        <v>1276</v>
      </c>
      <c r="B617" t="s">
        <v>1277</v>
      </c>
      <c r="C617" s="1">
        <v>44995</v>
      </c>
      <c r="D617">
        <v>25</v>
      </c>
      <c r="E617" t="s">
        <v>36</v>
      </c>
      <c r="F617" t="s">
        <v>76</v>
      </c>
      <c r="G617" t="s">
        <v>64</v>
      </c>
      <c r="H617">
        <v>1852.09</v>
      </c>
      <c r="I617">
        <v>1</v>
      </c>
      <c r="J617">
        <v>0</v>
      </c>
      <c r="K617">
        <v>1852.09</v>
      </c>
      <c r="L617" t="s">
        <v>1231</v>
      </c>
      <c r="M617" t="s">
        <v>33</v>
      </c>
      <c r="N617">
        <v>26</v>
      </c>
      <c r="O617">
        <v>9</v>
      </c>
      <c r="P617" t="b">
        <v>1</v>
      </c>
      <c r="Q617">
        <v>10</v>
      </c>
      <c r="R617">
        <v>4</v>
      </c>
    </row>
    <row r="618" spans="1:18">
      <c r="A618" t="s">
        <v>1278</v>
      </c>
      <c r="B618" t="s">
        <v>1279</v>
      </c>
      <c r="C618" s="1">
        <v>45153</v>
      </c>
      <c r="D618">
        <v>41</v>
      </c>
      <c r="E618" t="s">
        <v>20</v>
      </c>
      <c r="F618" t="s">
        <v>52</v>
      </c>
      <c r="G618" t="s">
        <v>53</v>
      </c>
      <c r="H618">
        <v>17.25</v>
      </c>
      <c r="I618">
        <v>3</v>
      </c>
      <c r="J618">
        <v>1.07</v>
      </c>
      <c r="K618">
        <v>50.68</v>
      </c>
      <c r="L618" t="s">
        <v>1231</v>
      </c>
      <c r="M618" t="s">
        <v>24</v>
      </c>
      <c r="N618">
        <v>14</v>
      </c>
      <c r="O618">
        <v>17</v>
      </c>
      <c r="P618" t="b">
        <v>0</v>
      </c>
      <c r="Q618">
        <v>3</v>
      </c>
      <c r="R618">
        <v>4</v>
      </c>
    </row>
    <row r="619" spans="1:18">
      <c r="A619" t="s">
        <v>1280</v>
      </c>
      <c r="B619" t="s">
        <v>1281</v>
      </c>
      <c r="C619" s="1">
        <v>44984</v>
      </c>
      <c r="D619">
        <v>35</v>
      </c>
      <c r="E619" t="s">
        <v>20</v>
      </c>
      <c r="F619" t="s">
        <v>76</v>
      </c>
      <c r="G619" t="s">
        <v>64</v>
      </c>
      <c r="H619">
        <v>1122.1199999999999</v>
      </c>
      <c r="I619">
        <v>2</v>
      </c>
      <c r="J619">
        <v>0</v>
      </c>
      <c r="K619">
        <v>2244.2399999999998</v>
      </c>
      <c r="L619" t="s">
        <v>1231</v>
      </c>
      <c r="M619" t="s">
        <v>29</v>
      </c>
      <c r="N619">
        <v>29</v>
      </c>
      <c r="O619">
        <v>8</v>
      </c>
      <c r="P619" t="b">
        <v>0</v>
      </c>
      <c r="Q619">
        <v>3</v>
      </c>
      <c r="R619">
        <v>4</v>
      </c>
    </row>
    <row r="620" spans="1:18">
      <c r="A620" t="s">
        <v>1282</v>
      </c>
      <c r="B620" t="s">
        <v>1283</v>
      </c>
      <c r="C620" s="1">
        <v>45337</v>
      </c>
      <c r="D620">
        <v>32</v>
      </c>
      <c r="E620" t="s">
        <v>36</v>
      </c>
      <c r="F620" t="s">
        <v>32</v>
      </c>
      <c r="G620" t="s">
        <v>56</v>
      </c>
      <c r="H620">
        <v>261</v>
      </c>
      <c r="I620">
        <v>4</v>
      </c>
      <c r="J620">
        <v>0</v>
      </c>
      <c r="K620">
        <v>1044</v>
      </c>
      <c r="L620" t="s">
        <v>1231</v>
      </c>
      <c r="M620" t="s">
        <v>33</v>
      </c>
      <c r="N620">
        <v>5</v>
      </c>
      <c r="O620">
        <v>9</v>
      </c>
      <c r="P620" t="b">
        <v>0</v>
      </c>
      <c r="Q620">
        <v>5</v>
      </c>
      <c r="R620">
        <v>2</v>
      </c>
    </row>
    <row r="621" spans="1:18">
      <c r="A621" t="s">
        <v>1284</v>
      </c>
      <c r="B621" t="s">
        <v>1285</v>
      </c>
      <c r="C621" s="1">
        <v>45054</v>
      </c>
      <c r="D621">
        <v>18</v>
      </c>
      <c r="E621" t="s">
        <v>20</v>
      </c>
      <c r="F621" t="s">
        <v>76</v>
      </c>
      <c r="G621" t="s">
        <v>37</v>
      </c>
      <c r="H621">
        <v>93.11</v>
      </c>
      <c r="I621">
        <v>3</v>
      </c>
      <c r="J621">
        <v>12.18</v>
      </c>
      <c r="K621">
        <v>267.14999999999998</v>
      </c>
      <c r="L621" t="s">
        <v>1231</v>
      </c>
      <c r="M621" t="s">
        <v>24</v>
      </c>
      <c r="N621">
        <v>24</v>
      </c>
      <c r="O621">
        <v>7</v>
      </c>
      <c r="P621" t="b">
        <v>0</v>
      </c>
      <c r="Q621">
        <v>15</v>
      </c>
      <c r="R621">
        <v>5</v>
      </c>
    </row>
    <row r="622" spans="1:18">
      <c r="A622" t="s">
        <v>1286</v>
      </c>
      <c r="B622" t="s">
        <v>1287</v>
      </c>
      <c r="C622" s="1">
        <v>45167</v>
      </c>
      <c r="D622">
        <v>44</v>
      </c>
      <c r="E622" t="s">
        <v>36</v>
      </c>
      <c r="F622" t="s">
        <v>52</v>
      </c>
      <c r="G622" t="s">
        <v>64</v>
      </c>
      <c r="H622">
        <v>1897.92</v>
      </c>
      <c r="I622">
        <v>5</v>
      </c>
      <c r="J622">
        <v>443.01</v>
      </c>
      <c r="K622">
        <v>9046.59</v>
      </c>
      <c r="L622" t="s">
        <v>1231</v>
      </c>
      <c r="M622" t="s">
        <v>33</v>
      </c>
      <c r="N622">
        <v>16</v>
      </c>
      <c r="O622">
        <v>13</v>
      </c>
      <c r="P622" t="b">
        <v>0</v>
      </c>
      <c r="Q622">
        <v>4</v>
      </c>
      <c r="R622">
        <v>4</v>
      </c>
    </row>
    <row r="623" spans="1:18">
      <c r="A623" t="s">
        <v>1288</v>
      </c>
      <c r="B623" t="s">
        <v>1289</v>
      </c>
      <c r="C623" s="1">
        <v>45069</v>
      </c>
      <c r="D623">
        <v>57</v>
      </c>
      <c r="E623" t="s">
        <v>36</v>
      </c>
      <c r="F623" t="s">
        <v>32</v>
      </c>
      <c r="G623" t="s">
        <v>37</v>
      </c>
      <c r="H623">
        <v>194.88</v>
      </c>
      <c r="I623">
        <v>4</v>
      </c>
      <c r="J623">
        <v>11.1</v>
      </c>
      <c r="K623">
        <v>768.42</v>
      </c>
      <c r="L623" t="s">
        <v>1231</v>
      </c>
      <c r="M623" t="s">
        <v>24</v>
      </c>
      <c r="N623">
        <v>20</v>
      </c>
      <c r="O623">
        <v>10</v>
      </c>
      <c r="P623" t="b">
        <v>1</v>
      </c>
      <c r="Q623">
        <v>10</v>
      </c>
      <c r="R623">
        <v>4</v>
      </c>
    </row>
    <row r="624" spans="1:18">
      <c r="A624" t="s">
        <v>1290</v>
      </c>
      <c r="B624" t="s">
        <v>1291</v>
      </c>
      <c r="C624" s="1">
        <v>45329</v>
      </c>
      <c r="D624">
        <v>53</v>
      </c>
      <c r="E624" t="s">
        <v>20</v>
      </c>
      <c r="F624" t="s">
        <v>32</v>
      </c>
      <c r="G624" t="s">
        <v>28</v>
      </c>
      <c r="H624">
        <v>326.16000000000003</v>
      </c>
      <c r="I624">
        <v>1</v>
      </c>
      <c r="J624">
        <v>28.55</v>
      </c>
      <c r="K624">
        <v>297.61</v>
      </c>
      <c r="L624" t="s">
        <v>1231</v>
      </c>
      <c r="M624" t="s">
        <v>24</v>
      </c>
      <c r="N624">
        <v>22</v>
      </c>
      <c r="O624">
        <v>5</v>
      </c>
      <c r="P624" t="b">
        <v>1</v>
      </c>
      <c r="Q624">
        <v>7</v>
      </c>
      <c r="R624">
        <v>5</v>
      </c>
    </row>
    <row r="625" spans="1:18">
      <c r="A625" t="s">
        <v>1292</v>
      </c>
      <c r="B625" t="s">
        <v>1293</v>
      </c>
      <c r="C625" s="1">
        <v>45193</v>
      </c>
      <c r="D625">
        <v>31</v>
      </c>
      <c r="E625" t="s">
        <v>36</v>
      </c>
      <c r="F625" t="s">
        <v>32</v>
      </c>
      <c r="G625" t="s">
        <v>46</v>
      </c>
      <c r="H625">
        <v>405.53</v>
      </c>
      <c r="I625">
        <v>4</v>
      </c>
      <c r="J625">
        <v>0</v>
      </c>
      <c r="K625">
        <v>1622.12</v>
      </c>
      <c r="L625" t="s">
        <v>1231</v>
      </c>
      <c r="M625" t="s">
        <v>33</v>
      </c>
      <c r="N625">
        <v>21</v>
      </c>
      <c r="O625">
        <v>9</v>
      </c>
      <c r="P625" t="b">
        <v>1</v>
      </c>
      <c r="Q625">
        <v>5</v>
      </c>
      <c r="R625">
        <v>4</v>
      </c>
    </row>
    <row r="626" spans="1:18">
      <c r="A626" t="s">
        <v>1294</v>
      </c>
      <c r="B626" t="s">
        <v>1295</v>
      </c>
      <c r="C626" s="1">
        <v>44927</v>
      </c>
      <c r="D626">
        <v>40</v>
      </c>
      <c r="E626" t="s">
        <v>36</v>
      </c>
      <c r="F626" t="s">
        <v>32</v>
      </c>
      <c r="G626" t="s">
        <v>46</v>
      </c>
      <c r="H626">
        <v>755.61</v>
      </c>
      <c r="I626">
        <v>5</v>
      </c>
      <c r="J626">
        <v>0</v>
      </c>
      <c r="K626">
        <v>3778.05</v>
      </c>
      <c r="L626" t="s">
        <v>1231</v>
      </c>
      <c r="M626" t="s">
        <v>24</v>
      </c>
      <c r="N626">
        <v>21</v>
      </c>
      <c r="O626">
        <v>10</v>
      </c>
      <c r="P626" t="b">
        <v>1</v>
      </c>
      <c r="Q626">
        <v>7</v>
      </c>
      <c r="R626">
        <v>4</v>
      </c>
    </row>
    <row r="627" spans="1:18">
      <c r="A627" t="s">
        <v>1296</v>
      </c>
      <c r="B627" t="s">
        <v>1297</v>
      </c>
      <c r="C627" s="1">
        <v>45306</v>
      </c>
      <c r="D627">
        <v>53</v>
      </c>
      <c r="E627" t="s">
        <v>20</v>
      </c>
      <c r="F627" t="s">
        <v>21</v>
      </c>
      <c r="G627" t="s">
        <v>115</v>
      </c>
      <c r="H627">
        <v>112.65</v>
      </c>
      <c r="I627">
        <v>1</v>
      </c>
      <c r="J627">
        <v>0</v>
      </c>
      <c r="K627">
        <v>112.65</v>
      </c>
      <c r="L627" t="s">
        <v>1298</v>
      </c>
      <c r="M627" t="s">
        <v>33</v>
      </c>
      <c r="N627">
        <v>9</v>
      </c>
      <c r="O627">
        <v>6</v>
      </c>
      <c r="P627" t="b">
        <v>0</v>
      </c>
      <c r="Q627">
        <v>5</v>
      </c>
      <c r="R627">
        <v>4</v>
      </c>
    </row>
    <row r="628" spans="1:18">
      <c r="A628" t="s">
        <v>1299</v>
      </c>
      <c r="B628" t="s">
        <v>1300</v>
      </c>
      <c r="C628" s="1">
        <v>45067</v>
      </c>
      <c r="D628">
        <v>32</v>
      </c>
      <c r="E628" t="s">
        <v>20</v>
      </c>
      <c r="F628" t="s">
        <v>52</v>
      </c>
      <c r="G628" t="s">
        <v>53</v>
      </c>
      <c r="H628">
        <v>69.89</v>
      </c>
      <c r="I628">
        <v>5</v>
      </c>
      <c r="J628">
        <v>0</v>
      </c>
      <c r="K628">
        <v>349.45</v>
      </c>
      <c r="L628" t="s">
        <v>1298</v>
      </c>
      <c r="M628" t="s">
        <v>33</v>
      </c>
      <c r="N628">
        <v>13</v>
      </c>
      <c r="O628">
        <v>7</v>
      </c>
      <c r="P628" t="b">
        <v>0</v>
      </c>
      <c r="Q628">
        <v>3</v>
      </c>
      <c r="R628">
        <v>3</v>
      </c>
    </row>
    <row r="629" spans="1:18">
      <c r="A629" t="s">
        <v>1301</v>
      </c>
      <c r="B629" t="s">
        <v>1302</v>
      </c>
      <c r="C629" s="1">
        <v>45143</v>
      </c>
      <c r="D629">
        <v>28</v>
      </c>
      <c r="E629" t="s">
        <v>36</v>
      </c>
      <c r="F629" t="s">
        <v>32</v>
      </c>
      <c r="G629" t="s">
        <v>28</v>
      </c>
      <c r="H629">
        <v>176.15</v>
      </c>
      <c r="I629">
        <v>5</v>
      </c>
      <c r="J629">
        <v>12.35</v>
      </c>
      <c r="K629">
        <v>868.4</v>
      </c>
      <c r="L629" t="s">
        <v>1298</v>
      </c>
      <c r="M629" t="s">
        <v>29</v>
      </c>
      <c r="N629">
        <v>10</v>
      </c>
      <c r="O629">
        <v>9</v>
      </c>
      <c r="P629" t="b">
        <v>1</v>
      </c>
      <c r="Q629">
        <v>3</v>
      </c>
      <c r="R629">
        <v>3</v>
      </c>
    </row>
    <row r="630" spans="1:18">
      <c r="A630" t="s">
        <v>1303</v>
      </c>
      <c r="B630" t="s">
        <v>1304</v>
      </c>
      <c r="C630" s="1">
        <v>44943</v>
      </c>
      <c r="D630">
        <v>22</v>
      </c>
      <c r="E630" t="s">
        <v>20</v>
      </c>
      <c r="F630" t="s">
        <v>52</v>
      </c>
      <c r="G630" t="s">
        <v>37</v>
      </c>
      <c r="H630">
        <v>67.22</v>
      </c>
      <c r="I630">
        <v>1</v>
      </c>
      <c r="J630">
        <v>0</v>
      </c>
      <c r="K630">
        <v>67.22</v>
      </c>
      <c r="L630" t="s">
        <v>1298</v>
      </c>
      <c r="M630" t="s">
        <v>33</v>
      </c>
      <c r="N630">
        <v>3</v>
      </c>
      <c r="O630">
        <v>8</v>
      </c>
      <c r="P630" t="b">
        <v>1</v>
      </c>
      <c r="Q630">
        <v>6</v>
      </c>
      <c r="R630">
        <v>5</v>
      </c>
    </row>
    <row r="631" spans="1:18">
      <c r="A631" t="s">
        <v>1305</v>
      </c>
      <c r="B631" t="s">
        <v>1306</v>
      </c>
      <c r="C631" s="1">
        <v>44942</v>
      </c>
      <c r="D631">
        <v>38</v>
      </c>
      <c r="E631" t="s">
        <v>36</v>
      </c>
      <c r="F631" t="s">
        <v>73</v>
      </c>
      <c r="G631" t="s">
        <v>22</v>
      </c>
      <c r="H631">
        <v>198.21</v>
      </c>
      <c r="I631">
        <v>1</v>
      </c>
      <c r="J631">
        <v>0</v>
      </c>
      <c r="K631">
        <v>198.21</v>
      </c>
      <c r="L631" t="s">
        <v>1298</v>
      </c>
      <c r="M631" t="s">
        <v>24</v>
      </c>
      <c r="N631">
        <v>20</v>
      </c>
      <c r="O631">
        <v>6</v>
      </c>
      <c r="P631" t="b">
        <v>1</v>
      </c>
      <c r="Q631">
        <v>2</v>
      </c>
      <c r="R631">
        <v>2</v>
      </c>
    </row>
    <row r="632" spans="1:18">
      <c r="A632" t="s">
        <v>1307</v>
      </c>
      <c r="B632" t="s">
        <v>1308</v>
      </c>
      <c r="C632" s="1">
        <v>44940</v>
      </c>
      <c r="D632">
        <v>18</v>
      </c>
      <c r="E632" t="s">
        <v>36</v>
      </c>
      <c r="F632" t="s">
        <v>73</v>
      </c>
      <c r="G632" t="s">
        <v>46</v>
      </c>
      <c r="H632">
        <v>79.59</v>
      </c>
      <c r="I632">
        <v>1</v>
      </c>
      <c r="J632">
        <v>0</v>
      </c>
      <c r="K632">
        <v>79.59</v>
      </c>
      <c r="L632" t="s">
        <v>1298</v>
      </c>
      <c r="M632" t="s">
        <v>33</v>
      </c>
      <c r="N632">
        <v>6</v>
      </c>
      <c r="O632">
        <v>11</v>
      </c>
      <c r="P632" t="b">
        <v>0</v>
      </c>
      <c r="Q632">
        <v>4</v>
      </c>
      <c r="R632">
        <v>3</v>
      </c>
    </row>
    <row r="633" spans="1:18">
      <c r="A633" t="s">
        <v>1309</v>
      </c>
      <c r="B633" t="s">
        <v>1310</v>
      </c>
      <c r="C633" s="1">
        <v>45206</v>
      </c>
      <c r="D633">
        <v>31</v>
      </c>
      <c r="E633" t="s">
        <v>36</v>
      </c>
      <c r="F633" t="s">
        <v>27</v>
      </c>
      <c r="G633" t="s">
        <v>64</v>
      </c>
      <c r="H633">
        <v>2497.83</v>
      </c>
      <c r="I633">
        <v>1</v>
      </c>
      <c r="J633">
        <v>0</v>
      </c>
      <c r="K633">
        <v>2497.83</v>
      </c>
      <c r="L633" t="s">
        <v>1298</v>
      </c>
      <c r="M633" t="s">
        <v>33</v>
      </c>
      <c r="N633">
        <v>12</v>
      </c>
      <c r="O633">
        <v>11</v>
      </c>
      <c r="P633" t="b">
        <v>1</v>
      </c>
      <c r="Q633">
        <v>7</v>
      </c>
      <c r="R633">
        <v>4</v>
      </c>
    </row>
    <row r="634" spans="1:18">
      <c r="A634" t="s">
        <v>1311</v>
      </c>
      <c r="B634" t="s">
        <v>1312</v>
      </c>
      <c r="C634" s="1">
        <v>45341</v>
      </c>
      <c r="D634">
        <v>20</v>
      </c>
      <c r="E634" t="s">
        <v>20</v>
      </c>
      <c r="F634" t="s">
        <v>32</v>
      </c>
      <c r="G634" t="s">
        <v>46</v>
      </c>
      <c r="H634">
        <v>503.69</v>
      </c>
      <c r="I634">
        <v>5</v>
      </c>
      <c r="J634">
        <v>93.97</v>
      </c>
      <c r="K634">
        <v>2424.48</v>
      </c>
      <c r="L634" t="s">
        <v>1298</v>
      </c>
      <c r="M634" t="s">
        <v>33</v>
      </c>
      <c r="N634">
        <v>2</v>
      </c>
      <c r="O634">
        <v>8</v>
      </c>
      <c r="P634" t="b">
        <v>1</v>
      </c>
      <c r="Q634">
        <v>11</v>
      </c>
      <c r="R634">
        <v>5</v>
      </c>
    </row>
    <row r="635" spans="1:18">
      <c r="A635" t="s">
        <v>1313</v>
      </c>
      <c r="B635" t="s">
        <v>1314</v>
      </c>
      <c r="C635" s="1">
        <v>45037</v>
      </c>
      <c r="D635">
        <v>29</v>
      </c>
      <c r="E635" t="s">
        <v>20</v>
      </c>
      <c r="F635" t="s">
        <v>73</v>
      </c>
      <c r="G635" t="s">
        <v>37</v>
      </c>
      <c r="H635">
        <v>67.209999999999994</v>
      </c>
      <c r="I635">
        <v>3</v>
      </c>
      <c r="J635">
        <v>18.55</v>
      </c>
      <c r="K635">
        <v>183.08</v>
      </c>
      <c r="L635" t="s">
        <v>1298</v>
      </c>
      <c r="M635" t="s">
        <v>24</v>
      </c>
      <c r="N635">
        <v>22</v>
      </c>
      <c r="O635">
        <v>12</v>
      </c>
      <c r="P635" t="b">
        <v>1</v>
      </c>
      <c r="Q635">
        <v>4</v>
      </c>
      <c r="R635">
        <v>4</v>
      </c>
    </row>
    <row r="636" spans="1:18">
      <c r="A636" t="s">
        <v>1315</v>
      </c>
      <c r="B636" t="s">
        <v>1316</v>
      </c>
      <c r="C636" s="1">
        <v>45025</v>
      </c>
      <c r="D636">
        <v>18</v>
      </c>
      <c r="E636" t="s">
        <v>20</v>
      </c>
      <c r="F636" t="s">
        <v>32</v>
      </c>
      <c r="G636" t="s">
        <v>37</v>
      </c>
      <c r="H636">
        <v>52.78</v>
      </c>
      <c r="I636">
        <v>5</v>
      </c>
      <c r="J636">
        <v>13.58</v>
      </c>
      <c r="K636">
        <v>250.32</v>
      </c>
      <c r="L636" t="s">
        <v>1298</v>
      </c>
      <c r="M636" t="s">
        <v>33</v>
      </c>
      <c r="N636">
        <v>24</v>
      </c>
      <c r="O636">
        <v>9</v>
      </c>
      <c r="P636" t="b">
        <v>0</v>
      </c>
      <c r="Q636">
        <v>4</v>
      </c>
      <c r="R636">
        <v>5</v>
      </c>
    </row>
    <row r="637" spans="1:18">
      <c r="A637" t="s">
        <v>1317</v>
      </c>
      <c r="B637" t="s">
        <v>1318</v>
      </c>
      <c r="C637" s="1">
        <v>45322</v>
      </c>
      <c r="D637">
        <v>32</v>
      </c>
      <c r="E637" t="s">
        <v>20</v>
      </c>
      <c r="F637" t="s">
        <v>76</v>
      </c>
      <c r="G637" t="s">
        <v>64</v>
      </c>
      <c r="H637">
        <v>2699.1</v>
      </c>
      <c r="I637">
        <v>2</v>
      </c>
      <c r="J637">
        <v>480.87</v>
      </c>
      <c r="K637">
        <v>4917.33</v>
      </c>
      <c r="L637" t="s">
        <v>1298</v>
      </c>
      <c r="M637" t="s">
        <v>24</v>
      </c>
      <c r="N637">
        <v>23</v>
      </c>
      <c r="O637">
        <v>8</v>
      </c>
      <c r="P637" t="b">
        <v>0</v>
      </c>
      <c r="Q637">
        <v>11</v>
      </c>
      <c r="R637">
        <v>3</v>
      </c>
    </row>
    <row r="638" spans="1:18">
      <c r="A638" t="s">
        <v>1319</v>
      </c>
      <c r="B638" t="s">
        <v>1320</v>
      </c>
      <c r="C638" s="1">
        <v>45370</v>
      </c>
      <c r="D638">
        <v>28</v>
      </c>
      <c r="E638" t="s">
        <v>20</v>
      </c>
      <c r="F638" t="s">
        <v>52</v>
      </c>
      <c r="G638" t="s">
        <v>22</v>
      </c>
      <c r="H638">
        <v>331.93</v>
      </c>
      <c r="I638">
        <v>1</v>
      </c>
      <c r="J638">
        <v>57.9</v>
      </c>
      <c r="K638">
        <v>274.02999999999997</v>
      </c>
      <c r="L638" t="s">
        <v>1298</v>
      </c>
      <c r="M638" t="s">
        <v>24</v>
      </c>
      <c r="N638">
        <v>15</v>
      </c>
      <c r="O638">
        <v>17</v>
      </c>
      <c r="P638" t="b">
        <v>0</v>
      </c>
      <c r="Q638">
        <v>5</v>
      </c>
      <c r="R638">
        <v>5</v>
      </c>
    </row>
    <row r="639" spans="1:18">
      <c r="A639" t="s">
        <v>1321</v>
      </c>
      <c r="B639" t="s">
        <v>1322</v>
      </c>
      <c r="C639" s="1">
        <v>45065</v>
      </c>
      <c r="D639">
        <v>35</v>
      </c>
      <c r="E639" t="s">
        <v>20</v>
      </c>
      <c r="F639" t="s">
        <v>32</v>
      </c>
      <c r="G639" t="s">
        <v>53</v>
      </c>
      <c r="H639">
        <v>36.14</v>
      </c>
      <c r="I639">
        <v>2</v>
      </c>
      <c r="J639">
        <v>3.85</v>
      </c>
      <c r="K639">
        <v>68.430000000000007</v>
      </c>
      <c r="L639" t="s">
        <v>1298</v>
      </c>
      <c r="M639" t="s">
        <v>33</v>
      </c>
      <c r="N639">
        <v>9</v>
      </c>
      <c r="O639">
        <v>11</v>
      </c>
      <c r="P639" t="b">
        <v>0</v>
      </c>
      <c r="Q639">
        <v>9</v>
      </c>
      <c r="R639">
        <v>4</v>
      </c>
    </row>
    <row r="640" spans="1:18">
      <c r="A640" t="s">
        <v>1323</v>
      </c>
      <c r="B640" t="s">
        <v>1324</v>
      </c>
      <c r="C640" s="1">
        <v>45358</v>
      </c>
      <c r="D640">
        <v>44</v>
      </c>
      <c r="E640" t="s">
        <v>20</v>
      </c>
      <c r="F640" t="s">
        <v>32</v>
      </c>
      <c r="G640" t="s">
        <v>115</v>
      </c>
      <c r="H640">
        <v>7.89</v>
      </c>
      <c r="I640">
        <v>1</v>
      </c>
      <c r="J640">
        <v>0</v>
      </c>
      <c r="K640">
        <v>7.89</v>
      </c>
      <c r="L640" t="s">
        <v>1298</v>
      </c>
      <c r="M640" t="s">
        <v>29</v>
      </c>
      <c r="N640">
        <v>12</v>
      </c>
      <c r="O640">
        <v>9</v>
      </c>
      <c r="P640" t="b">
        <v>1</v>
      </c>
      <c r="Q640">
        <v>7</v>
      </c>
      <c r="R640">
        <v>4</v>
      </c>
    </row>
    <row r="641" spans="1:18">
      <c r="A641" t="s">
        <v>1325</v>
      </c>
      <c r="B641" t="s">
        <v>1326</v>
      </c>
      <c r="C641" s="1">
        <v>45000</v>
      </c>
      <c r="D641">
        <v>18</v>
      </c>
      <c r="E641" t="s">
        <v>36</v>
      </c>
      <c r="F641" t="s">
        <v>52</v>
      </c>
      <c r="G641" t="s">
        <v>22</v>
      </c>
      <c r="H641">
        <v>360.56</v>
      </c>
      <c r="I641">
        <v>4</v>
      </c>
      <c r="J641">
        <v>0</v>
      </c>
      <c r="K641">
        <v>1442.24</v>
      </c>
      <c r="L641" t="s">
        <v>1298</v>
      </c>
      <c r="M641" t="s">
        <v>24</v>
      </c>
      <c r="N641">
        <v>20</v>
      </c>
      <c r="O641">
        <v>7</v>
      </c>
      <c r="P641" t="b">
        <v>1</v>
      </c>
      <c r="Q641">
        <v>13</v>
      </c>
      <c r="R641">
        <v>4</v>
      </c>
    </row>
    <row r="642" spans="1:18">
      <c r="A642" t="s">
        <v>1327</v>
      </c>
      <c r="B642" t="s">
        <v>1328</v>
      </c>
      <c r="C642" s="1">
        <v>45309</v>
      </c>
      <c r="D642">
        <v>38</v>
      </c>
      <c r="E642" t="s">
        <v>36</v>
      </c>
      <c r="F642" t="s">
        <v>52</v>
      </c>
      <c r="G642" t="s">
        <v>53</v>
      </c>
      <c r="H642">
        <v>102.45</v>
      </c>
      <c r="I642">
        <v>1</v>
      </c>
      <c r="J642">
        <v>0</v>
      </c>
      <c r="K642">
        <v>102.45</v>
      </c>
      <c r="L642" t="s">
        <v>1298</v>
      </c>
      <c r="M642" t="s">
        <v>33</v>
      </c>
      <c r="N642">
        <v>5</v>
      </c>
      <c r="O642">
        <v>10</v>
      </c>
      <c r="P642" t="b">
        <v>0</v>
      </c>
      <c r="Q642">
        <v>12</v>
      </c>
      <c r="R642">
        <v>4</v>
      </c>
    </row>
    <row r="643" spans="1:18">
      <c r="A643" t="s">
        <v>1329</v>
      </c>
      <c r="B643" t="s">
        <v>1330</v>
      </c>
      <c r="C643" s="1">
        <v>45112</v>
      </c>
      <c r="D643">
        <v>26</v>
      </c>
      <c r="E643" t="s">
        <v>20</v>
      </c>
      <c r="F643" t="s">
        <v>52</v>
      </c>
      <c r="G643" t="s">
        <v>53</v>
      </c>
      <c r="H643">
        <v>114.28</v>
      </c>
      <c r="I643">
        <v>1</v>
      </c>
      <c r="J643">
        <v>0</v>
      </c>
      <c r="K643">
        <v>114.28</v>
      </c>
      <c r="L643" t="s">
        <v>1298</v>
      </c>
      <c r="M643" t="s">
        <v>24</v>
      </c>
      <c r="N643">
        <v>17</v>
      </c>
      <c r="O643">
        <v>6</v>
      </c>
      <c r="P643" t="b">
        <v>1</v>
      </c>
      <c r="Q643">
        <v>7</v>
      </c>
      <c r="R643">
        <v>5</v>
      </c>
    </row>
    <row r="644" spans="1:18">
      <c r="A644" t="s">
        <v>1331</v>
      </c>
      <c r="B644" t="s">
        <v>1332</v>
      </c>
      <c r="C644" s="1">
        <v>45232</v>
      </c>
      <c r="D644">
        <v>25</v>
      </c>
      <c r="E644" t="s">
        <v>36</v>
      </c>
      <c r="F644" t="s">
        <v>32</v>
      </c>
      <c r="G644" t="s">
        <v>64</v>
      </c>
      <c r="H644">
        <v>2214.16</v>
      </c>
      <c r="I644">
        <v>2</v>
      </c>
      <c r="J644">
        <v>0</v>
      </c>
      <c r="K644">
        <v>4428.32</v>
      </c>
      <c r="L644" t="s">
        <v>1298</v>
      </c>
      <c r="M644" t="s">
        <v>24</v>
      </c>
      <c r="N644">
        <v>17</v>
      </c>
      <c r="O644">
        <v>8</v>
      </c>
      <c r="P644" t="b">
        <v>1</v>
      </c>
      <c r="Q644">
        <v>17</v>
      </c>
      <c r="R644">
        <v>5</v>
      </c>
    </row>
    <row r="645" spans="1:18">
      <c r="A645" t="s">
        <v>1333</v>
      </c>
      <c r="B645" t="s">
        <v>1334</v>
      </c>
      <c r="C645" s="1">
        <v>45201</v>
      </c>
      <c r="D645">
        <v>40</v>
      </c>
      <c r="E645" t="s">
        <v>36</v>
      </c>
      <c r="F645" t="s">
        <v>32</v>
      </c>
      <c r="G645" t="s">
        <v>46</v>
      </c>
      <c r="H645">
        <v>146.52000000000001</v>
      </c>
      <c r="I645">
        <v>2</v>
      </c>
      <c r="J645">
        <v>39.08</v>
      </c>
      <c r="K645">
        <v>253.96</v>
      </c>
      <c r="L645" t="s">
        <v>1298</v>
      </c>
      <c r="M645" t="s">
        <v>24</v>
      </c>
      <c r="N645">
        <v>9</v>
      </c>
      <c r="O645">
        <v>9</v>
      </c>
      <c r="P645" t="b">
        <v>0</v>
      </c>
      <c r="Q645">
        <v>4</v>
      </c>
      <c r="R645">
        <v>3</v>
      </c>
    </row>
    <row r="646" spans="1:18">
      <c r="A646" t="s">
        <v>1335</v>
      </c>
      <c r="B646" t="s">
        <v>1336</v>
      </c>
      <c r="C646" s="1">
        <v>45077</v>
      </c>
      <c r="D646">
        <v>20</v>
      </c>
      <c r="E646" t="s">
        <v>36</v>
      </c>
      <c r="F646" t="s">
        <v>49</v>
      </c>
      <c r="G646" t="s">
        <v>53</v>
      </c>
      <c r="H646">
        <v>84.6</v>
      </c>
      <c r="I646">
        <v>3</v>
      </c>
      <c r="J646">
        <v>0</v>
      </c>
      <c r="K646">
        <v>253.8</v>
      </c>
      <c r="L646" t="s">
        <v>1298</v>
      </c>
      <c r="M646" t="s">
        <v>24</v>
      </c>
      <c r="N646">
        <v>21</v>
      </c>
      <c r="O646">
        <v>7</v>
      </c>
      <c r="P646" t="b">
        <v>0</v>
      </c>
      <c r="Q646">
        <v>2</v>
      </c>
      <c r="R646">
        <v>5</v>
      </c>
    </row>
    <row r="647" spans="1:18">
      <c r="A647" t="s">
        <v>1337</v>
      </c>
      <c r="B647" t="s">
        <v>1338</v>
      </c>
      <c r="C647" s="1">
        <v>45149</v>
      </c>
      <c r="D647">
        <v>37</v>
      </c>
      <c r="E647" t="s">
        <v>36</v>
      </c>
      <c r="F647" t="s">
        <v>83</v>
      </c>
      <c r="G647" t="s">
        <v>46</v>
      </c>
      <c r="H647">
        <v>561.6</v>
      </c>
      <c r="I647">
        <v>3</v>
      </c>
      <c r="J647">
        <v>0</v>
      </c>
      <c r="K647">
        <v>1684.8</v>
      </c>
      <c r="L647" t="s">
        <v>1298</v>
      </c>
      <c r="M647" t="s">
        <v>33</v>
      </c>
      <c r="N647">
        <v>16</v>
      </c>
      <c r="O647">
        <v>9</v>
      </c>
      <c r="P647" t="b">
        <v>1</v>
      </c>
      <c r="Q647">
        <v>4</v>
      </c>
      <c r="R647">
        <v>2</v>
      </c>
    </row>
    <row r="648" spans="1:18">
      <c r="A648" t="s">
        <v>1339</v>
      </c>
      <c r="B648" t="s">
        <v>1340</v>
      </c>
      <c r="C648" s="1">
        <v>45247</v>
      </c>
      <c r="D648">
        <v>41</v>
      </c>
      <c r="E648" t="s">
        <v>36</v>
      </c>
      <c r="F648" t="s">
        <v>21</v>
      </c>
      <c r="G648" t="s">
        <v>46</v>
      </c>
      <c r="H648">
        <v>580.51</v>
      </c>
      <c r="I648">
        <v>3</v>
      </c>
      <c r="J648">
        <v>0</v>
      </c>
      <c r="K648">
        <v>1741.53</v>
      </c>
      <c r="L648" t="s">
        <v>1298</v>
      </c>
      <c r="M648" t="s">
        <v>33</v>
      </c>
      <c r="N648">
        <v>17</v>
      </c>
      <c r="O648">
        <v>10</v>
      </c>
      <c r="P648" t="b">
        <v>1</v>
      </c>
      <c r="Q648">
        <v>10</v>
      </c>
      <c r="R648">
        <v>5</v>
      </c>
    </row>
    <row r="649" spans="1:18">
      <c r="A649" t="s">
        <v>1341</v>
      </c>
      <c r="B649" t="s">
        <v>1342</v>
      </c>
      <c r="C649" s="1">
        <v>45340</v>
      </c>
      <c r="D649">
        <v>37</v>
      </c>
      <c r="E649" t="s">
        <v>36</v>
      </c>
      <c r="F649" t="s">
        <v>21</v>
      </c>
      <c r="G649" t="s">
        <v>28</v>
      </c>
      <c r="H649">
        <v>146.1</v>
      </c>
      <c r="I649">
        <v>1</v>
      </c>
      <c r="J649">
        <v>0</v>
      </c>
      <c r="K649">
        <v>146.1</v>
      </c>
      <c r="L649" t="s">
        <v>1298</v>
      </c>
      <c r="M649" t="s">
        <v>33</v>
      </c>
      <c r="N649">
        <v>7</v>
      </c>
      <c r="O649">
        <v>8</v>
      </c>
      <c r="P649" t="b">
        <v>1</v>
      </c>
      <c r="Q649">
        <v>5</v>
      </c>
      <c r="R649">
        <v>4</v>
      </c>
    </row>
    <row r="650" spans="1:18">
      <c r="A650" t="s">
        <v>1343</v>
      </c>
      <c r="B650" t="s">
        <v>1344</v>
      </c>
      <c r="C650" s="1">
        <v>44962</v>
      </c>
      <c r="D650">
        <v>45</v>
      </c>
      <c r="E650" t="s">
        <v>36</v>
      </c>
      <c r="F650" t="s">
        <v>59</v>
      </c>
      <c r="G650" t="s">
        <v>22</v>
      </c>
      <c r="H650">
        <v>21.76</v>
      </c>
      <c r="I650">
        <v>1</v>
      </c>
      <c r="J650">
        <v>0</v>
      </c>
      <c r="K650">
        <v>21.76</v>
      </c>
      <c r="L650" t="s">
        <v>1298</v>
      </c>
      <c r="M650" t="s">
        <v>24</v>
      </c>
      <c r="N650">
        <v>8</v>
      </c>
      <c r="O650">
        <v>9</v>
      </c>
      <c r="P650" t="b">
        <v>0</v>
      </c>
      <c r="Q650">
        <v>9</v>
      </c>
      <c r="R650">
        <v>4</v>
      </c>
    </row>
    <row r="651" spans="1:18">
      <c r="A651" t="s">
        <v>1345</v>
      </c>
      <c r="B651" t="s">
        <v>1346</v>
      </c>
      <c r="C651" s="1">
        <v>44991</v>
      </c>
      <c r="D651">
        <v>27</v>
      </c>
      <c r="E651" t="s">
        <v>20</v>
      </c>
      <c r="F651" t="s">
        <v>27</v>
      </c>
      <c r="G651" t="s">
        <v>56</v>
      </c>
      <c r="H651">
        <v>353.9</v>
      </c>
      <c r="I651">
        <v>1</v>
      </c>
      <c r="J651">
        <v>29.33</v>
      </c>
      <c r="K651">
        <v>324.57</v>
      </c>
      <c r="L651" t="s">
        <v>1298</v>
      </c>
      <c r="M651" t="s">
        <v>29</v>
      </c>
      <c r="N651">
        <v>29</v>
      </c>
      <c r="O651">
        <v>12</v>
      </c>
      <c r="P651" t="b">
        <v>0</v>
      </c>
      <c r="Q651">
        <v>6</v>
      </c>
      <c r="R651">
        <v>5</v>
      </c>
    </row>
    <row r="652" spans="1:18">
      <c r="A652" t="s">
        <v>1347</v>
      </c>
      <c r="B652" t="s">
        <v>1348</v>
      </c>
      <c r="C652" s="1">
        <v>45208</v>
      </c>
      <c r="D652">
        <v>46</v>
      </c>
      <c r="E652" t="s">
        <v>20</v>
      </c>
      <c r="F652" t="s">
        <v>32</v>
      </c>
      <c r="G652" t="s">
        <v>115</v>
      </c>
      <c r="H652">
        <v>263.52999999999997</v>
      </c>
      <c r="I652">
        <v>5</v>
      </c>
      <c r="J652">
        <v>0</v>
      </c>
      <c r="K652">
        <v>1317.65</v>
      </c>
      <c r="L652" t="s">
        <v>1298</v>
      </c>
      <c r="M652" t="s">
        <v>33</v>
      </c>
      <c r="N652">
        <v>14</v>
      </c>
      <c r="O652">
        <v>9</v>
      </c>
      <c r="P652" t="b">
        <v>1</v>
      </c>
      <c r="Q652">
        <v>4</v>
      </c>
      <c r="R652">
        <v>5</v>
      </c>
    </row>
    <row r="653" spans="1:18">
      <c r="A653" t="s">
        <v>1349</v>
      </c>
      <c r="B653" t="s">
        <v>1350</v>
      </c>
      <c r="C653" s="1">
        <v>44988</v>
      </c>
      <c r="D653">
        <v>35</v>
      </c>
      <c r="E653" t="s">
        <v>20</v>
      </c>
      <c r="F653" t="s">
        <v>52</v>
      </c>
      <c r="G653" t="s">
        <v>22</v>
      </c>
      <c r="H653">
        <v>154.55000000000001</v>
      </c>
      <c r="I653">
        <v>3</v>
      </c>
      <c r="J653">
        <v>32.39</v>
      </c>
      <c r="K653">
        <v>431.26</v>
      </c>
      <c r="L653" t="s">
        <v>1298</v>
      </c>
      <c r="M653" t="s">
        <v>33</v>
      </c>
      <c r="N653">
        <v>17</v>
      </c>
      <c r="O653">
        <v>8</v>
      </c>
      <c r="P653" t="b">
        <v>1</v>
      </c>
      <c r="Q653">
        <v>8</v>
      </c>
      <c r="R653">
        <v>3</v>
      </c>
    </row>
    <row r="654" spans="1:18">
      <c r="A654" t="s">
        <v>1351</v>
      </c>
      <c r="B654" t="s">
        <v>1352</v>
      </c>
      <c r="C654" s="1">
        <v>44959</v>
      </c>
      <c r="D654">
        <v>37</v>
      </c>
      <c r="E654" t="s">
        <v>20</v>
      </c>
      <c r="F654" t="s">
        <v>32</v>
      </c>
      <c r="G654" t="s">
        <v>22</v>
      </c>
      <c r="H654">
        <v>114.14</v>
      </c>
      <c r="I654">
        <v>2</v>
      </c>
      <c r="J654">
        <v>0</v>
      </c>
      <c r="K654">
        <v>228.28</v>
      </c>
      <c r="L654" t="s">
        <v>1298</v>
      </c>
      <c r="M654" t="s">
        <v>33</v>
      </c>
      <c r="N654">
        <v>5</v>
      </c>
      <c r="O654">
        <v>10</v>
      </c>
      <c r="P654" t="b">
        <v>1</v>
      </c>
      <c r="Q654">
        <v>9</v>
      </c>
      <c r="R654">
        <v>5</v>
      </c>
    </row>
    <row r="655" spans="1:18">
      <c r="A655" t="s">
        <v>1353</v>
      </c>
      <c r="B655" t="s">
        <v>1354</v>
      </c>
      <c r="C655" s="1">
        <v>44930</v>
      </c>
      <c r="D655">
        <v>60</v>
      </c>
      <c r="E655" t="s">
        <v>20</v>
      </c>
      <c r="F655" t="s">
        <v>73</v>
      </c>
      <c r="G655" t="s">
        <v>56</v>
      </c>
      <c r="H655">
        <v>912.21</v>
      </c>
      <c r="I655">
        <v>4</v>
      </c>
      <c r="J655">
        <v>63.68</v>
      </c>
      <c r="K655">
        <v>3585.16</v>
      </c>
      <c r="L655" t="s">
        <v>1298</v>
      </c>
      <c r="M655" t="s">
        <v>33</v>
      </c>
      <c r="N655">
        <v>13</v>
      </c>
      <c r="O655">
        <v>10</v>
      </c>
      <c r="P655" t="b">
        <v>1</v>
      </c>
      <c r="Q655">
        <v>4</v>
      </c>
      <c r="R655">
        <v>5</v>
      </c>
    </row>
    <row r="656" spans="1:18">
      <c r="A656" t="s">
        <v>1355</v>
      </c>
      <c r="B656" t="s">
        <v>1356</v>
      </c>
      <c r="C656" s="1">
        <v>45044</v>
      </c>
      <c r="D656">
        <v>27</v>
      </c>
      <c r="E656" t="s">
        <v>20</v>
      </c>
      <c r="F656" t="s">
        <v>32</v>
      </c>
      <c r="G656" t="s">
        <v>46</v>
      </c>
      <c r="H656">
        <v>742.38</v>
      </c>
      <c r="I656">
        <v>2</v>
      </c>
      <c r="J656">
        <v>0</v>
      </c>
      <c r="K656">
        <v>1484.76</v>
      </c>
      <c r="L656" t="s">
        <v>1298</v>
      </c>
      <c r="M656" t="s">
        <v>33</v>
      </c>
      <c r="N656">
        <v>18</v>
      </c>
      <c r="O656">
        <v>6</v>
      </c>
      <c r="P656" t="b">
        <v>0</v>
      </c>
      <c r="Q656">
        <v>8</v>
      </c>
      <c r="R656">
        <v>5</v>
      </c>
    </row>
    <row r="657" spans="1:18">
      <c r="A657" t="s">
        <v>1357</v>
      </c>
      <c r="B657" t="s">
        <v>1358</v>
      </c>
      <c r="C657" s="1">
        <v>45269</v>
      </c>
      <c r="D657">
        <v>44</v>
      </c>
      <c r="E657" t="s">
        <v>36</v>
      </c>
      <c r="F657" t="s">
        <v>52</v>
      </c>
      <c r="G657" t="s">
        <v>115</v>
      </c>
      <c r="H657">
        <v>55.19</v>
      </c>
      <c r="I657">
        <v>1</v>
      </c>
      <c r="J657">
        <v>3.94</v>
      </c>
      <c r="K657">
        <v>51.25</v>
      </c>
      <c r="L657" t="s">
        <v>1298</v>
      </c>
      <c r="M657" t="s">
        <v>24</v>
      </c>
      <c r="N657">
        <v>20</v>
      </c>
      <c r="O657">
        <v>4</v>
      </c>
      <c r="P657" t="b">
        <v>1</v>
      </c>
      <c r="Q657">
        <v>6</v>
      </c>
      <c r="R657">
        <v>4</v>
      </c>
    </row>
    <row r="658" spans="1:18">
      <c r="A658" t="s">
        <v>1359</v>
      </c>
      <c r="B658" t="s">
        <v>1360</v>
      </c>
      <c r="C658" s="1">
        <v>45222</v>
      </c>
      <c r="D658">
        <v>36</v>
      </c>
      <c r="E658" t="s">
        <v>36</v>
      </c>
      <c r="F658" t="s">
        <v>59</v>
      </c>
      <c r="G658" t="s">
        <v>46</v>
      </c>
      <c r="H658">
        <v>332.34</v>
      </c>
      <c r="I658">
        <v>1</v>
      </c>
      <c r="J658">
        <v>0</v>
      </c>
      <c r="K658">
        <v>332.34</v>
      </c>
      <c r="L658" t="s">
        <v>1298</v>
      </c>
      <c r="M658" t="s">
        <v>29</v>
      </c>
      <c r="N658">
        <v>13</v>
      </c>
      <c r="O658">
        <v>5</v>
      </c>
      <c r="P658" t="b">
        <v>1</v>
      </c>
      <c r="Q658">
        <v>6</v>
      </c>
      <c r="R658">
        <v>4</v>
      </c>
    </row>
    <row r="659" spans="1:18">
      <c r="A659" t="s">
        <v>1361</v>
      </c>
      <c r="B659" t="s">
        <v>1362</v>
      </c>
      <c r="C659" s="1">
        <v>45328</v>
      </c>
      <c r="D659">
        <v>41</v>
      </c>
      <c r="E659" t="s">
        <v>20</v>
      </c>
      <c r="F659" t="s">
        <v>52</v>
      </c>
      <c r="G659" t="s">
        <v>53</v>
      </c>
      <c r="H659">
        <v>63</v>
      </c>
      <c r="I659">
        <v>1</v>
      </c>
      <c r="J659">
        <v>0</v>
      </c>
      <c r="K659">
        <v>63</v>
      </c>
      <c r="L659" t="s">
        <v>1298</v>
      </c>
      <c r="M659" t="s">
        <v>33</v>
      </c>
      <c r="N659">
        <v>16</v>
      </c>
      <c r="O659">
        <v>11</v>
      </c>
      <c r="P659" t="b">
        <v>1</v>
      </c>
      <c r="Q659">
        <v>12</v>
      </c>
      <c r="R659">
        <v>5</v>
      </c>
    </row>
    <row r="660" spans="1:18">
      <c r="A660" t="s">
        <v>1363</v>
      </c>
      <c r="B660" t="s">
        <v>1364</v>
      </c>
      <c r="C660" s="1">
        <v>45024</v>
      </c>
      <c r="D660">
        <v>44</v>
      </c>
      <c r="E660" t="s">
        <v>36</v>
      </c>
      <c r="F660" t="s">
        <v>32</v>
      </c>
      <c r="G660" t="s">
        <v>64</v>
      </c>
      <c r="H660">
        <v>504.27</v>
      </c>
      <c r="I660">
        <v>1</v>
      </c>
      <c r="J660">
        <v>80.12</v>
      </c>
      <c r="K660">
        <v>424.15</v>
      </c>
      <c r="L660" t="s">
        <v>1298</v>
      </c>
      <c r="M660" t="s">
        <v>33</v>
      </c>
      <c r="N660">
        <v>12</v>
      </c>
      <c r="O660">
        <v>10</v>
      </c>
      <c r="P660" t="b">
        <v>1</v>
      </c>
      <c r="Q660">
        <v>9</v>
      </c>
      <c r="R660">
        <v>2</v>
      </c>
    </row>
    <row r="661" spans="1:18">
      <c r="A661" t="s">
        <v>1365</v>
      </c>
      <c r="B661" t="s">
        <v>1366</v>
      </c>
      <c r="C661" s="1">
        <v>45137</v>
      </c>
      <c r="D661">
        <v>33</v>
      </c>
      <c r="E661" t="s">
        <v>20</v>
      </c>
      <c r="F661" t="s">
        <v>73</v>
      </c>
      <c r="G661" t="s">
        <v>46</v>
      </c>
      <c r="H661">
        <v>72.16</v>
      </c>
      <c r="I661">
        <v>1</v>
      </c>
      <c r="J661">
        <v>0</v>
      </c>
      <c r="K661">
        <v>72.16</v>
      </c>
      <c r="L661" t="s">
        <v>1298</v>
      </c>
      <c r="M661" t="s">
        <v>24</v>
      </c>
      <c r="N661">
        <v>7</v>
      </c>
      <c r="O661">
        <v>14</v>
      </c>
      <c r="P661" t="b">
        <v>1</v>
      </c>
      <c r="Q661">
        <v>4</v>
      </c>
      <c r="R661">
        <v>3</v>
      </c>
    </row>
    <row r="662" spans="1:18">
      <c r="A662" t="s">
        <v>1367</v>
      </c>
      <c r="B662" t="s">
        <v>1368</v>
      </c>
      <c r="C662" s="1">
        <v>45300</v>
      </c>
      <c r="D662">
        <v>25</v>
      </c>
      <c r="E662" t="s">
        <v>20</v>
      </c>
      <c r="F662" t="s">
        <v>52</v>
      </c>
      <c r="G662" t="s">
        <v>64</v>
      </c>
      <c r="H662">
        <v>1925.4</v>
      </c>
      <c r="I662">
        <v>3</v>
      </c>
      <c r="J662">
        <v>247.59</v>
      </c>
      <c r="K662">
        <v>5528.61</v>
      </c>
      <c r="L662" t="s">
        <v>1298</v>
      </c>
      <c r="M662" t="s">
        <v>24</v>
      </c>
      <c r="N662">
        <v>13</v>
      </c>
      <c r="O662">
        <v>16</v>
      </c>
      <c r="P662" t="b">
        <v>1</v>
      </c>
      <c r="Q662">
        <v>4</v>
      </c>
      <c r="R662">
        <v>3</v>
      </c>
    </row>
    <row r="663" spans="1:18">
      <c r="A663" t="s">
        <v>1369</v>
      </c>
      <c r="B663" t="s">
        <v>1370</v>
      </c>
      <c r="C663" s="1">
        <v>45163</v>
      </c>
      <c r="D663">
        <v>29</v>
      </c>
      <c r="E663" t="s">
        <v>36</v>
      </c>
      <c r="F663" t="s">
        <v>32</v>
      </c>
      <c r="G663" t="s">
        <v>46</v>
      </c>
      <c r="H663">
        <v>523.16</v>
      </c>
      <c r="I663">
        <v>5</v>
      </c>
      <c r="J663">
        <v>0</v>
      </c>
      <c r="K663">
        <v>2615.8000000000002</v>
      </c>
      <c r="L663" t="s">
        <v>1298</v>
      </c>
      <c r="M663" t="s">
        <v>33</v>
      </c>
      <c r="N663">
        <v>11</v>
      </c>
      <c r="O663">
        <v>6</v>
      </c>
      <c r="P663" t="b">
        <v>1</v>
      </c>
      <c r="Q663">
        <v>8</v>
      </c>
      <c r="R663">
        <v>4</v>
      </c>
    </row>
    <row r="664" spans="1:18">
      <c r="A664" t="s">
        <v>1371</v>
      </c>
      <c r="B664" t="s">
        <v>1372</v>
      </c>
      <c r="C664" s="1">
        <v>44952</v>
      </c>
      <c r="D664">
        <v>34</v>
      </c>
      <c r="E664" t="s">
        <v>36</v>
      </c>
      <c r="F664" t="s">
        <v>52</v>
      </c>
      <c r="G664" t="s">
        <v>28</v>
      </c>
      <c r="H664">
        <v>412.45</v>
      </c>
      <c r="I664">
        <v>2</v>
      </c>
      <c r="J664">
        <v>0</v>
      </c>
      <c r="K664">
        <v>824.9</v>
      </c>
      <c r="L664" t="s">
        <v>1298</v>
      </c>
      <c r="M664" t="s">
        <v>33</v>
      </c>
      <c r="N664">
        <v>30</v>
      </c>
      <c r="O664">
        <v>10</v>
      </c>
      <c r="P664" t="b">
        <v>1</v>
      </c>
      <c r="Q664">
        <v>2</v>
      </c>
      <c r="R664">
        <v>4</v>
      </c>
    </row>
    <row r="665" spans="1:18">
      <c r="A665" t="s">
        <v>1373</v>
      </c>
      <c r="B665" t="s">
        <v>1374</v>
      </c>
      <c r="C665" s="1">
        <v>45132</v>
      </c>
      <c r="D665">
        <v>25</v>
      </c>
      <c r="E665" t="s">
        <v>36</v>
      </c>
      <c r="F665" t="s">
        <v>49</v>
      </c>
      <c r="G665" t="s">
        <v>115</v>
      </c>
      <c r="H665">
        <v>75.87</v>
      </c>
      <c r="I665">
        <v>1</v>
      </c>
      <c r="J665">
        <v>13.41</v>
      </c>
      <c r="K665">
        <v>62.46</v>
      </c>
      <c r="L665" t="s">
        <v>1298</v>
      </c>
      <c r="M665" t="s">
        <v>33</v>
      </c>
      <c r="N665">
        <v>11</v>
      </c>
      <c r="O665">
        <v>15</v>
      </c>
      <c r="P665" t="b">
        <v>1</v>
      </c>
      <c r="Q665">
        <v>5</v>
      </c>
      <c r="R665">
        <v>4</v>
      </c>
    </row>
    <row r="666" spans="1:18">
      <c r="A666" t="s">
        <v>1375</v>
      </c>
      <c r="B666" t="s">
        <v>1376</v>
      </c>
      <c r="C666" s="1">
        <v>45223</v>
      </c>
      <c r="D666">
        <v>56</v>
      </c>
      <c r="E666" t="s">
        <v>36</v>
      </c>
      <c r="F666" t="s">
        <v>32</v>
      </c>
      <c r="G666" t="s">
        <v>56</v>
      </c>
      <c r="H666">
        <v>457.14</v>
      </c>
      <c r="I666">
        <v>3</v>
      </c>
      <c r="J666">
        <v>0</v>
      </c>
      <c r="K666">
        <v>1371.42</v>
      </c>
      <c r="L666" t="s">
        <v>1298</v>
      </c>
      <c r="M666" t="s">
        <v>33</v>
      </c>
      <c r="N666">
        <v>7</v>
      </c>
      <c r="O666">
        <v>8</v>
      </c>
      <c r="P666" t="b">
        <v>1</v>
      </c>
      <c r="Q666">
        <v>6</v>
      </c>
      <c r="R666">
        <v>4</v>
      </c>
    </row>
    <row r="667" spans="1:18">
      <c r="A667" t="s">
        <v>1377</v>
      </c>
      <c r="B667" t="s">
        <v>1378</v>
      </c>
      <c r="C667" s="1">
        <v>45218</v>
      </c>
      <c r="D667">
        <v>59</v>
      </c>
      <c r="E667" t="s">
        <v>36</v>
      </c>
      <c r="F667" t="s">
        <v>59</v>
      </c>
      <c r="G667" t="s">
        <v>53</v>
      </c>
      <c r="H667">
        <v>23.26</v>
      </c>
      <c r="I667">
        <v>1</v>
      </c>
      <c r="J667">
        <v>0</v>
      </c>
      <c r="K667">
        <v>23.26</v>
      </c>
      <c r="L667" t="s">
        <v>1298</v>
      </c>
      <c r="M667" t="s">
        <v>33</v>
      </c>
      <c r="N667">
        <v>45</v>
      </c>
      <c r="O667">
        <v>8</v>
      </c>
      <c r="P667" t="b">
        <v>0</v>
      </c>
      <c r="Q667">
        <v>5</v>
      </c>
      <c r="R667">
        <v>4</v>
      </c>
    </row>
    <row r="668" spans="1:18">
      <c r="A668" t="s">
        <v>1379</v>
      </c>
      <c r="B668" t="s">
        <v>1380</v>
      </c>
      <c r="C668" s="1">
        <v>45053</v>
      </c>
      <c r="D668">
        <v>56</v>
      </c>
      <c r="E668" t="s">
        <v>36</v>
      </c>
      <c r="F668" t="s">
        <v>59</v>
      </c>
      <c r="G668" t="s">
        <v>22</v>
      </c>
      <c r="H668">
        <v>157.38999999999999</v>
      </c>
      <c r="I668">
        <v>3</v>
      </c>
      <c r="J668">
        <v>0</v>
      </c>
      <c r="K668">
        <v>472.17</v>
      </c>
      <c r="L668" t="s">
        <v>1298</v>
      </c>
      <c r="M668" t="s">
        <v>33</v>
      </c>
      <c r="N668">
        <v>9</v>
      </c>
      <c r="O668">
        <v>13</v>
      </c>
      <c r="P668" t="b">
        <v>1</v>
      </c>
      <c r="Q668">
        <v>11</v>
      </c>
      <c r="R668">
        <v>5</v>
      </c>
    </row>
    <row r="669" spans="1:18">
      <c r="A669" t="s">
        <v>1381</v>
      </c>
      <c r="B669" t="s">
        <v>1382</v>
      </c>
      <c r="C669" s="1">
        <v>45141</v>
      </c>
      <c r="D669">
        <v>43</v>
      </c>
      <c r="E669" t="s">
        <v>20</v>
      </c>
      <c r="F669" t="s">
        <v>32</v>
      </c>
      <c r="G669" t="s">
        <v>37</v>
      </c>
      <c r="H669">
        <v>87.59</v>
      </c>
      <c r="I669">
        <v>1</v>
      </c>
      <c r="J669">
        <v>5.76</v>
      </c>
      <c r="K669">
        <v>81.83</v>
      </c>
      <c r="L669" t="s">
        <v>1298</v>
      </c>
      <c r="M669" t="s">
        <v>29</v>
      </c>
      <c r="N669">
        <v>16</v>
      </c>
      <c r="O669">
        <v>4</v>
      </c>
      <c r="P669" t="b">
        <v>0</v>
      </c>
      <c r="Q669">
        <v>8</v>
      </c>
      <c r="R669">
        <v>4</v>
      </c>
    </row>
    <row r="670" spans="1:18">
      <c r="A670" t="s">
        <v>1383</v>
      </c>
      <c r="B670" t="s">
        <v>1384</v>
      </c>
      <c r="C670" s="1">
        <v>45087</v>
      </c>
      <c r="D670">
        <v>18</v>
      </c>
      <c r="E670" t="s">
        <v>20</v>
      </c>
      <c r="F670" t="s">
        <v>32</v>
      </c>
      <c r="G670" t="s">
        <v>28</v>
      </c>
      <c r="H670">
        <v>314.82</v>
      </c>
      <c r="I670">
        <v>5</v>
      </c>
      <c r="J670">
        <v>34.229999999999997</v>
      </c>
      <c r="K670">
        <v>1539.87</v>
      </c>
      <c r="L670" t="s">
        <v>1298</v>
      </c>
      <c r="M670" t="s">
        <v>33</v>
      </c>
      <c r="N670">
        <v>18</v>
      </c>
      <c r="O670">
        <v>12</v>
      </c>
      <c r="P670" t="b">
        <v>1</v>
      </c>
      <c r="Q670">
        <v>1</v>
      </c>
      <c r="R670">
        <v>3</v>
      </c>
    </row>
    <row r="671" spans="1:18">
      <c r="A671" t="s">
        <v>1385</v>
      </c>
      <c r="B671" t="s">
        <v>1386</v>
      </c>
      <c r="C671" s="1">
        <v>45062</v>
      </c>
      <c r="D671">
        <v>34</v>
      </c>
      <c r="E671" t="s">
        <v>20</v>
      </c>
      <c r="F671" t="s">
        <v>52</v>
      </c>
      <c r="G671" t="s">
        <v>22</v>
      </c>
      <c r="H671">
        <v>118.91</v>
      </c>
      <c r="I671">
        <v>4</v>
      </c>
      <c r="J671">
        <v>0</v>
      </c>
      <c r="K671">
        <v>475.64</v>
      </c>
      <c r="L671" t="s">
        <v>1298</v>
      </c>
      <c r="M671" t="s">
        <v>33</v>
      </c>
      <c r="N671">
        <v>6</v>
      </c>
      <c r="O671">
        <v>12</v>
      </c>
      <c r="P671" t="b">
        <v>1</v>
      </c>
      <c r="Q671">
        <v>8</v>
      </c>
      <c r="R671">
        <v>4</v>
      </c>
    </row>
    <row r="672" spans="1:18">
      <c r="A672" t="s">
        <v>1387</v>
      </c>
      <c r="B672" t="s">
        <v>1388</v>
      </c>
      <c r="C672" s="1">
        <v>45129</v>
      </c>
      <c r="D672">
        <v>39</v>
      </c>
      <c r="E672" t="s">
        <v>36</v>
      </c>
      <c r="F672" t="s">
        <v>32</v>
      </c>
      <c r="G672" t="s">
        <v>115</v>
      </c>
      <c r="H672">
        <v>11.65</v>
      </c>
      <c r="I672">
        <v>1</v>
      </c>
      <c r="J672">
        <v>0</v>
      </c>
      <c r="K672">
        <v>11.65</v>
      </c>
      <c r="L672" t="s">
        <v>1298</v>
      </c>
      <c r="M672" t="s">
        <v>24</v>
      </c>
      <c r="N672">
        <v>18</v>
      </c>
      <c r="O672">
        <v>10</v>
      </c>
      <c r="P672" t="b">
        <v>1</v>
      </c>
      <c r="Q672">
        <v>5</v>
      </c>
      <c r="R672">
        <v>5</v>
      </c>
    </row>
    <row r="673" spans="1:18">
      <c r="A673" t="s">
        <v>1389</v>
      </c>
      <c r="B673" t="s">
        <v>1390</v>
      </c>
      <c r="C673" s="1">
        <v>45088</v>
      </c>
      <c r="D673">
        <v>39</v>
      </c>
      <c r="E673" t="s">
        <v>36</v>
      </c>
      <c r="F673" t="s">
        <v>27</v>
      </c>
      <c r="G673" t="s">
        <v>37</v>
      </c>
      <c r="H673">
        <v>110.03</v>
      </c>
      <c r="I673">
        <v>1</v>
      </c>
      <c r="J673">
        <v>0</v>
      </c>
      <c r="K673">
        <v>110.03</v>
      </c>
      <c r="L673" t="s">
        <v>1298</v>
      </c>
      <c r="M673" t="s">
        <v>33</v>
      </c>
      <c r="N673">
        <v>8</v>
      </c>
      <c r="O673">
        <v>13</v>
      </c>
      <c r="P673" t="b">
        <v>1</v>
      </c>
      <c r="Q673">
        <v>8</v>
      </c>
      <c r="R673">
        <v>5</v>
      </c>
    </row>
    <row r="674" spans="1:18">
      <c r="A674" t="s">
        <v>1391</v>
      </c>
      <c r="B674" t="s">
        <v>1392</v>
      </c>
      <c r="C674" s="1">
        <v>45287</v>
      </c>
      <c r="D674">
        <v>31</v>
      </c>
      <c r="E674" t="s">
        <v>36</v>
      </c>
      <c r="F674" t="s">
        <v>27</v>
      </c>
      <c r="G674" t="s">
        <v>37</v>
      </c>
      <c r="H674">
        <v>69.81</v>
      </c>
      <c r="I674">
        <v>1</v>
      </c>
      <c r="J674">
        <v>7.88</v>
      </c>
      <c r="K674">
        <v>61.93</v>
      </c>
      <c r="L674" t="s">
        <v>1298</v>
      </c>
      <c r="M674" t="s">
        <v>33</v>
      </c>
      <c r="N674">
        <v>12</v>
      </c>
      <c r="O674">
        <v>13</v>
      </c>
      <c r="P674" t="b">
        <v>0</v>
      </c>
      <c r="Q674">
        <v>12</v>
      </c>
      <c r="R674">
        <v>5</v>
      </c>
    </row>
    <row r="675" spans="1:18">
      <c r="A675" t="s">
        <v>1393</v>
      </c>
      <c r="B675" t="s">
        <v>1394</v>
      </c>
      <c r="C675" s="1">
        <v>44931</v>
      </c>
      <c r="D675">
        <v>41</v>
      </c>
      <c r="E675" t="s">
        <v>20</v>
      </c>
      <c r="F675" t="s">
        <v>32</v>
      </c>
      <c r="G675" t="s">
        <v>28</v>
      </c>
      <c r="H675">
        <v>181.88</v>
      </c>
      <c r="I675">
        <v>1</v>
      </c>
      <c r="J675">
        <v>26.42</v>
      </c>
      <c r="K675">
        <v>155.46</v>
      </c>
      <c r="L675" t="s">
        <v>1298</v>
      </c>
      <c r="M675" t="s">
        <v>33</v>
      </c>
      <c r="N675">
        <v>14</v>
      </c>
      <c r="O675">
        <v>9</v>
      </c>
      <c r="P675" t="b">
        <v>1</v>
      </c>
      <c r="Q675">
        <v>9</v>
      </c>
      <c r="R675">
        <v>5</v>
      </c>
    </row>
    <row r="676" spans="1:18">
      <c r="A676" t="s">
        <v>1395</v>
      </c>
      <c r="B676" t="s">
        <v>1396</v>
      </c>
      <c r="C676" s="1">
        <v>45031</v>
      </c>
      <c r="D676">
        <v>32</v>
      </c>
      <c r="E676" t="s">
        <v>36</v>
      </c>
      <c r="F676" t="s">
        <v>76</v>
      </c>
      <c r="G676" t="s">
        <v>22</v>
      </c>
      <c r="H676">
        <v>669.82</v>
      </c>
      <c r="I676">
        <v>1</v>
      </c>
      <c r="J676">
        <v>0</v>
      </c>
      <c r="K676">
        <v>669.82</v>
      </c>
      <c r="L676" t="s">
        <v>1298</v>
      </c>
      <c r="M676" t="s">
        <v>24</v>
      </c>
      <c r="N676">
        <v>9</v>
      </c>
      <c r="O676">
        <v>9</v>
      </c>
      <c r="P676" t="b">
        <v>1</v>
      </c>
      <c r="Q676">
        <v>8</v>
      </c>
      <c r="R676">
        <v>5</v>
      </c>
    </row>
    <row r="677" spans="1:18">
      <c r="A677" t="s">
        <v>1397</v>
      </c>
      <c r="B677" t="s">
        <v>1398</v>
      </c>
      <c r="C677" s="1">
        <v>45363</v>
      </c>
      <c r="D677">
        <v>46</v>
      </c>
      <c r="E677" t="s">
        <v>20</v>
      </c>
      <c r="F677" t="s">
        <v>73</v>
      </c>
      <c r="G677" t="s">
        <v>46</v>
      </c>
      <c r="H677">
        <v>725.33</v>
      </c>
      <c r="I677">
        <v>5</v>
      </c>
      <c r="J677">
        <v>0</v>
      </c>
      <c r="K677">
        <v>3626.65</v>
      </c>
      <c r="L677" t="s">
        <v>1298</v>
      </c>
      <c r="M677" t="s">
        <v>24</v>
      </c>
      <c r="N677">
        <v>12</v>
      </c>
      <c r="O677">
        <v>7</v>
      </c>
      <c r="P677" t="b">
        <v>0</v>
      </c>
      <c r="Q677">
        <v>4</v>
      </c>
      <c r="R677">
        <v>5</v>
      </c>
    </row>
    <row r="678" spans="1:18">
      <c r="A678" t="s">
        <v>1399</v>
      </c>
      <c r="B678" t="s">
        <v>1400</v>
      </c>
      <c r="C678" s="1">
        <v>45055</v>
      </c>
      <c r="D678">
        <v>27</v>
      </c>
      <c r="E678" t="s">
        <v>36</v>
      </c>
      <c r="F678" t="s">
        <v>32</v>
      </c>
      <c r="G678" t="s">
        <v>37</v>
      </c>
      <c r="H678">
        <v>133</v>
      </c>
      <c r="I678">
        <v>2</v>
      </c>
      <c r="J678">
        <v>0</v>
      </c>
      <c r="K678">
        <v>266</v>
      </c>
      <c r="L678" t="s">
        <v>1298</v>
      </c>
      <c r="M678" t="s">
        <v>24</v>
      </c>
      <c r="N678">
        <v>8</v>
      </c>
      <c r="O678">
        <v>9</v>
      </c>
      <c r="P678" t="b">
        <v>1</v>
      </c>
      <c r="Q678">
        <v>5</v>
      </c>
      <c r="R678">
        <v>2</v>
      </c>
    </row>
    <row r="679" spans="1:18">
      <c r="A679" t="s">
        <v>1401</v>
      </c>
      <c r="B679" t="s">
        <v>1402</v>
      </c>
      <c r="C679" s="1">
        <v>44949</v>
      </c>
      <c r="D679">
        <v>32</v>
      </c>
      <c r="E679" t="s">
        <v>36</v>
      </c>
      <c r="F679" t="s">
        <v>52</v>
      </c>
      <c r="G679" t="s">
        <v>53</v>
      </c>
      <c r="H679">
        <v>63.89</v>
      </c>
      <c r="I679">
        <v>2</v>
      </c>
      <c r="J679">
        <v>11.91</v>
      </c>
      <c r="K679">
        <v>115.87</v>
      </c>
      <c r="L679" t="s">
        <v>1298</v>
      </c>
      <c r="M679" t="s">
        <v>29</v>
      </c>
      <c r="N679">
        <v>21</v>
      </c>
      <c r="O679">
        <v>13</v>
      </c>
      <c r="P679" t="b">
        <v>1</v>
      </c>
      <c r="Q679">
        <v>7</v>
      </c>
      <c r="R679">
        <v>1</v>
      </c>
    </row>
    <row r="680" spans="1:18">
      <c r="A680" t="s">
        <v>1403</v>
      </c>
      <c r="B680" t="s">
        <v>1404</v>
      </c>
      <c r="C680" s="1">
        <v>45061</v>
      </c>
      <c r="D680">
        <v>36</v>
      </c>
      <c r="E680" t="s">
        <v>20</v>
      </c>
      <c r="F680" t="s">
        <v>73</v>
      </c>
      <c r="G680" t="s">
        <v>46</v>
      </c>
      <c r="H680">
        <v>288.48</v>
      </c>
      <c r="I680">
        <v>1</v>
      </c>
      <c r="J680">
        <v>0</v>
      </c>
      <c r="K680">
        <v>288.48</v>
      </c>
      <c r="L680" t="s">
        <v>1298</v>
      </c>
      <c r="M680" t="s">
        <v>33</v>
      </c>
      <c r="N680">
        <v>28</v>
      </c>
      <c r="O680">
        <v>11</v>
      </c>
      <c r="P680" t="b">
        <v>1</v>
      </c>
      <c r="Q680">
        <v>6</v>
      </c>
      <c r="R680">
        <v>4</v>
      </c>
    </row>
    <row r="681" spans="1:18">
      <c r="A681" t="s">
        <v>1405</v>
      </c>
      <c r="B681" t="s">
        <v>1406</v>
      </c>
      <c r="C681" s="1">
        <v>45288</v>
      </c>
      <c r="D681">
        <v>41</v>
      </c>
      <c r="E681" t="s">
        <v>36</v>
      </c>
      <c r="F681" t="s">
        <v>27</v>
      </c>
      <c r="G681" t="s">
        <v>53</v>
      </c>
      <c r="H681">
        <v>77.75</v>
      </c>
      <c r="I681">
        <v>1</v>
      </c>
      <c r="J681">
        <v>0</v>
      </c>
      <c r="K681">
        <v>77.75</v>
      </c>
      <c r="L681" t="s">
        <v>1298</v>
      </c>
      <c r="M681" t="s">
        <v>33</v>
      </c>
      <c r="N681">
        <v>24</v>
      </c>
      <c r="O681">
        <v>14</v>
      </c>
      <c r="P681" t="b">
        <v>0</v>
      </c>
      <c r="Q681">
        <v>4</v>
      </c>
      <c r="R681">
        <v>5</v>
      </c>
    </row>
    <row r="682" spans="1:18">
      <c r="A682" t="s">
        <v>1407</v>
      </c>
      <c r="B682" t="s">
        <v>1408</v>
      </c>
      <c r="C682" s="1">
        <v>45145</v>
      </c>
      <c r="D682">
        <v>25</v>
      </c>
      <c r="E682" t="s">
        <v>20</v>
      </c>
      <c r="F682" t="s">
        <v>76</v>
      </c>
      <c r="G682" t="s">
        <v>64</v>
      </c>
      <c r="H682">
        <v>4257.38</v>
      </c>
      <c r="I682">
        <v>5</v>
      </c>
      <c r="J682">
        <v>1075.0899999999999</v>
      </c>
      <c r="K682">
        <v>20211.810000000001</v>
      </c>
      <c r="L682" t="s">
        <v>1298</v>
      </c>
      <c r="M682" t="s">
        <v>24</v>
      </c>
      <c r="N682">
        <v>12</v>
      </c>
      <c r="O682">
        <v>8</v>
      </c>
      <c r="P682" t="b">
        <v>0</v>
      </c>
      <c r="Q682">
        <v>2</v>
      </c>
      <c r="R682">
        <v>4</v>
      </c>
    </row>
    <row r="683" spans="1:18">
      <c r="A683" t="s">
        <v>1409</v>
      </c>
      <c r="B683" t="s">
        <v>1410</v>
      </c>
      <c r="C683" s="1">
        <v>45354</v>
      </c>
      <c r="D683">
        <v>20</v>
      </c>
      <c r="E683" t="s">
        <v>36</v>
      </c>
      <c r="F683" t="s">
        <v>49</v>
      </c>
      <c r="G683" t="s">
        <v>37</v>
      </c>
      <c r="H683">
        <v>52.53</v>
      </c>
      <c r="I683">
        <v>1</v>
      </c>
      <c r="J683">
        <v>6.69</v>
      </c>
      <c r="K683">
        <v>45.84</v>
      </c>
      <c r="L683" t="s">
        <v>1298</v>
      </c>
      <c r="M683" t="s">
        <v>24</v>
      </c>
      <c r="N683">
        <v>15</v>
      </c>
      <c r="O683">
        <v>11</v>
      </c>
      <c r="P683" t="b">
        <v>1</v>
      </c>
      <c r="Q683">
        <v>4</v>
      </c>
      <c r="R683">
        <v>3</v>
      </c>
    </row>
    <row r="684" spans="1:18">
      <c r="A684" t="s">
        <v>1411</v>
      </c>
      <c r="B684" t="s">
        <v>1412</v>
      </c>
      <c r="C684" s="1">
        <v>45116</v>
      </c>
      <c r="D684">
        <v>27</v>
      </c>
      <c r="E684" t="s">
        <v>36</v>
      </c>
      <c r="F684" t="s">
        <v>83</v>
      </c>
      <c r="G684" t="s">
        <v>56</v>
      </c>
      <c r="H684">
        <v>339.98</v>
      </c>
      <c r="I684">
        <v>1</v>
      </c>
      <c r="J684">
        <v>0</v>
      </c>
      <c r="K684">
        <v>339.98</v>
      </c>
      <c r="L684" t="s">
        <v>1298</v>
      </c>
      <c r="M684" t="s">
        <v>33</v>
      </c>
      <c r="N684">
        <v>9</v>
      </c>
      <c r="O684">
        <v>8</v>
      </c>
      <c r="P684" t="b">
        <v>0</v>
      </c>
      <c r="Q684">
        <v>7</v>
      </c>
      <c r="R684">
        <v>2</v>
      </c>
    </row>
    <row r="685" spans="1:18">
      <c r="A685" t="s">
        <v>1413</v>
      </c>
      <c r="B685" t="s">
        <v>1414</v>
      </c>
      <c r="C685" s="1">
        <v>45225</v>
      </c>
      <c r="D685">
        <v>35</v>
      </c>
      <c r="E685" t="s">
        <v>20</v>
      </c>
      <c r="F685" t="s">
        <v>52</v>
      </c>
      <c r="G685" t="s">
        <v>56</v>
      </c>
      <c r="H685">
        <v>353.29</v>
      </c>
      <c r="I685">
        <v>4</v>
      </c>
      <c r="J685">
        <v>0</v>
      </c>
      <c r="K685">
        <v>1413.16</v>
      </c>
      <c r="L685" t="s">
        <v>1298</v>
      </c>
      <c r="M685" t="s">
        <v>24</v>
      </c>
      <c r="N685">
        <v>18</v>
      </c>
      <c r="O685">
        <v>6</v>
      </c>
      <c r="P685" t="b">
        <v>0</v>
      </c>
      <c r="Q685">
        <v>4</v>
      </c>
      <c r="R685">
        <v>3</v>
      </c>
    </row>
    <row r="686" spans="1:18">
      <c r="A686" t="s">
        <v>1415</v>
      </c>
      <c r="B686" t="s">
        <v>1416</v>
      </c>
      <c r="C686" s="1">
        <v>45113</v>
      </c>
      <c r="D686">
        <v>41</v>
      </c>
      <c r="E686" t="s">
        <v>36</v>
      </c>
      <c r="F686" t="s">
        <v>49</v>
      </c>
      <c r="G686" t="s">
        <v>53</v>
      </c>
      <c r="H686">
        <v>150.69</v>
      </c>
      <c r="I686">
        <v>4</v>
      </c>
      <c r="J686">
        <v>0</v>
      </c>
      <c r="K686">
        <v>602.76</v>
      </c>
      <c r="L686" t="s">
        <v>1298</v>
      </c>
      <c r="M686" t="s">
        <v>24</v>
      </c>
      <c r="N686">
        <v>7</v>
      </c>
      <c r="O686">
        <v>9</v>
      </c>
      <c r="P686" t="b">
        <v>1</v>
      </c>
      <c r="Q686">
        <v>6</v>
      </c>
      <c r="R686">
        <v>4</v>
      </c>
    </row>
    <row r="687" spans="1:18">
      <c r="A687" t="s">
        <v>1417</v>
      </c>
      <c r="B687" t="s">
        <v>1418</v>
      </c>
      <c r="C687" s="1">
        <v>45268</v>
      </c>
      <c r="D687">
        <v>36</v>
      </c>
      <c r="E687" t="s">
        <v>20</v>
      </c>
      <c r="F687" t="s">
        <v>32</v>
      </c>
      <c r="G687" t="s">
        <v>64</v>
      </c>
      <c r="H687">
        <v>1911.31</v>
      </c>
      <c r="I687">
        <v>3</v>
      </c>
      <c r="J687">
        <v>0</v>
      </c>
      <c r="K687">
        <v>5733.93</v>
      </c>
      <c r="L687" t="s">
        <v>1298</v>
      </c>
      <c r="M687" t="s">
        <v>33</v>
      </c>
      <c r="N687">
        <v>5</v>
      </c>
      <c r="O687">
        <v>8</v>
      </c>
      <c r="P687" t="b">
        <v>0</v>
      </c>
      <c r="Q687">
        <v>2</v>
      </c>
      <c r="R687">
        <v>5</v>
      </c>
    </row>
    <row r="688" spans="1:18">
      <c r="A688" t="s">
        <v>1419</v>
      </c>
      <c r="B688" t="s">
        <v>1420</v>
      </c>
      <c r="C688" s="1">
        <v>44939</v>
      </c>
      <c r="D688">
        <v>22</v>
      </c>
      <c r="E688" t="s">
        <v>36</v>
      </c>
      <c r="F688" t="s">
        <v>21</v>
      </c>
      <c r="G688" t="s">
        <v>64</v>
      </c>
      <c r="H688">
        <v>2111.5700000000002</v>
      </c>
      <c r="I688">
        <v>3</v>
      </c>
      <c r="J688">
        <v>0</v>
      </c>
      <c r="K688">
        <v>6334.71</v>
      </c>
      <c r="L688" t="s">
        <v>1298</v>
      </c>
      <c r="M688" t="s">
        <v>29</v>
      </c>
      <c r="N688">
        <v>6</v>
      </c>
      <c r="O688">
        <v>7</v>
      </c>
      <c r="P688" t="b">
        <v>0</v>
      </c>
      <c r="Q688">
        <v>3</v>
      </c>
      <c r="R688">
        <v>2</v>
      </c>
    </row>
    <row r="689" spans="1:18">
      <c r="A689" t="s">
        <v>1421</v>
      </c>
      <c r="B689" t="s">
        <v>1422</v>
      </c>
      <c r="C689" s="1">
        <v>45369</v>
      </c>
      <c r="D689">
        <v>18</v>
      </c>
      <c r="E689" t="s">
        <v>36</v>
      </c>
      <c r="F689" t="s">
        <v>73</v>
      </c>
      <c r="G689" t="s">
        <v>56</v>
      </c>
      <c r="H689">
        <v>260.91000000000003</v>
      </c>
      <c r="I689">
        <v>1</v>
      </c>
      <c r="J689">
        <v>0</v>
      </c>
      <c r="K689">
        <v>260.91000000000003</v>
      </c>
      <c r="L689" t="s">
        <v>1298</v>
      </c>
      <c r="M689" t="s">
        <v>24</v>
      </c>
      <c r="N689">
        <v>8</v>
      </c>
      <c r="O689">
        <v>12</v>
      </c>
      <c r="P689" t="b">
        <v>1</v>
      </c>
      <c r="Q689">
        <v>8</v>
      </c>
      <c r="R689">
        <v>4</v>
      </c>
    </row>
    <row r="690" spans="1:18">
      <c r="A690" t="s">
        <v>1423</v>
      </c>
      <c r="B690" t="s">
        <v>1424</v>
      </c>
      <c r="C690" s="1">
        <v>45330</v>
      </c>
      <c r="D690">
        <v>30</v>
      </c>
      <c r="E690" t="s">
        <v>36</v>
      </c>
      <c r="F690" t="s">
        <v>83</v>
      </c>
      <c r="G690" t="s">
        <v>115</v>
      </c>
      <c r="H690">
        <v>125.42</v>
      </c>
      <c r="I690">
        <v>1</v>
      </c>
      <c r="J690">
        <v>17.46</v>
      </c>
      <c r="K690">
        <v>107.96</v>
      </c>
      <c r="L690" t="s">
        <v>1298</v>
      </c>
      <c r="M690" t="s">
        <v>33</v>
      </c>
      <c r="N690">
        <v>5</v>
      </c>
      <c r="O690">
        <v>5</v>
      </c>
      <c r="P690" t="b">
        <v>1</v>
      </c>
      <c r="Q690">
        <v>4</v>
      </c>
      <c r="R690">
        <v>5</v>
      </c>
    </row>
    <row r="691" spans="1:18">
      <c r="A691" t="s">
        <v>1425</v>
      </c>
      <c r="B691" t="s">
        <v>1426</v>
      </c>
      <c r="C691" s="1">
        <v>45286</v>
      </c>
      <c r="D691">
        <v>42</v>
      </c>
      <c r="E691" t="s">
        <v>36</v>
      </c>
      <c r="F691" t="s">
        <v>32</v>
      </c>
      <c r="G691" t="s">
        <v>64</v>
      </c>
      <c r="H691">
        <v>962.37</v>
      </c>
      <c r="I691">
        <v>1</v>
      </c>
      <c r="J691">
        <v>0</v>
      </c>
      <c r="K691">
        <v>962.37</v>
      </c>
      <c r="L691" t="s">
        <v>1298</v>
      </c>
      <c r="M691" t="s">
        <v>33</v>
      </c>
      <c r="N691">
        <v>23</v>
      </c>
      <c r="O691">
        <v>5</v>
      </c>
      <c r="P691" t="b">
        <v>0</v>
      </c>
      <c r="Q691">
        <v>5</v>
      </c>
      <c r="R691">
        <v>5</v>
      </c>
    </row>
    <row r="692" spans="1:18">
      <c r="A692" t="s">
        <v>1427</v>
      </c>
      <c r="B692" t="s">
        <v>1428</v>
      </c>
      <c r="C692" s="1">
        <v>45122</v>
      </c>
      <c r="D692">
        <v>37</v>
      </c>
      <c r="E692" t="s">
        <v>36</v>
      </c>
      <c r="F692" t="s">
        <v>59</v>
      </c>
      <c r="G692" t="s">
        <v>46</v>
      </c>
      <c r="H692">
        <v>270.27999999999997</v>
      </c>
      <c r="I692">
        <v>2</v>
      </c>
      <c r="J692">
        <v>0</v>
      </c>
      <c r="K692">
        <v>540.55999999999995</v>
      </c>
      <c r="L692" t="s">
        <v>1298</v>
      </c>
      <c r="M692" t="s">
        <v>33</v>
      </c>
      <c r="N692">
        <v>4</v>
      </c>
      <c r="O692">
        <v>9</v>
      </c>
      <c r="P692" t="b">
        <v>1</v>
      </c>
      <c r="Q692">
        <v>5</v>
      </c>
      <c r="R692">
        <v>4</v>
      </c>
    </row>
    <row r="693" spans="1:18">
      <c r="A693" t="s">
        <v>1429</v>
      </c>
      <c r="B693" t="s">
        <v>1430</v>
      </c>
      <c r="C693" s="1">
        <v>44962</v>
      </c>
      <c r="D693">
        <v>20</v>
      </c>
      <c r="E693" t="s">
        <v>20</v>
      </c>
      <c r="F693" t="s">
        <v>88</v>
      </c>
      <c r="G693" t="s">
        <v>56</v>
      </c>
      <c r="H693">
        <v>1119.96</v>
      </c>
      <c r="I693">
        <v>1</v>
      </c>
      <c r="J693">
        <v>0</v>
      </c>
      <c r="K693">
        <v>1119.96</v>
      </c>
      <c r="L693" t="s">
        <v>1298</v>
      </c>
      <c r="M693" t="s">
        <v>24</v>
      </c>
      <c r="N693">
        <v>16</v>
      </c>
      <c r="O693">
        <v>12</v>
      </c>
      <c r="P693" t="b">
        <v>0</v>
      </c>
      <c r="Q693">
        <v>5</v>
      </c>
      <c r="R693">
        <v>5</v>
      </c>
    </row>
    <row r="694" spans="1:18">
      <c r="A694" t="s">
        <v>1431</v>
      </c>
      <c r="B694" t="s">
        <v>1432</v>
      </c>
      <c r="C694" s="1">
        <v>45376</v>
      </c>
      <c r="D694">
        <v>25</v>
      </c>
      <c r="E694" t="s">
        <v>36</v>
      </c>
      <c r="F694" t="s">
        <v>49</v>
      </c>
      <c r="G694" t="s">
        <v>46</v>
      </c>
      <c r="H694">
        <v>330.82</v>
      </c>
      <c r="I694">
        <v>3</v>
      </c>
      <c r="J694">
        <v>0</v>
      </c>
      <c r="K694">
        <v>992.46</v>
      </c>
      <c r="L694" t="s">
        <v>1298</v>
      </c>
      <c r="M694" t="s">
        <v>33</v>
      </c>
      <c r="N694">
        <v>7</v>
      </c>
      <c r="O694">
        <v>12</v>
      </c>
      <c r="P694" t="b">
        <v>0</v>
      </c>
      <c r="Q694">
        <v>6</v>
      </c>
      <c r="R694">
        <v>5</v>
      </c>
    </row>
    <row r="695" spans="1:18">
      <c r="A695" t="s">
        <v>1433</v>
      </c>
      <c r="B695" t="s">
        <v>1434</v>
      </c>
      <c r="C695" s="1">
        <v>45149</v>
      </c>
      <c r="D695">
        <v>35</v>
      </c>
      <c r="E695" t="s">
        <v>20</v>
      </c>
      <c r="F695" t="s">
        <v>73</v>
      </c>
      <c r="G695" t="s">
        <v>28</v>
      </c>
      <c r="H695">
        <v>249.81</v>
      </c>
      <c r="I695">
        <v>4</v>
      </c>
      <c r="J695">
        <v>0</v>
      </c>
      <c r="K695">
        <v>999.24</v>
      </c>
      <c r="L695" t="s">
        <v>1298</v>
      </c>
      <c r="M695" t="s">
        <v>33</v>
      </c>
      <c r="N695">
        <v>16</v>
      </c>
      <c r="O695">
        <v>9</v>
      </c>
      <c r="P695" t="b">
        <v>0</v>
      </c>
      <c r="Q695">
        <v>6</v>
      </c>
      <c r="R695">
        <v>5</v>
      </c>
    </row>
    <row r="696" spans="1:18">
      <c r="A696" t="s">
        <v>1435</v>
      </c>
      <c r="B696" t="s">
        <v>1436</v>
      </c>
      <c r="C696" s="1">
        <v>45150</v>
      </c>
      <c r="D696">
        <v>29</v>
      </c>
      <c r="E696" t="s">
        <v>20</v>
      </c>
      <c r="F696" t="s">
        <v>27</v>
      </c>
      <c r="G696" t="s">
        <v>115</v>
      </c>
      <c r="H696">
        <v>94.37</v>
      </c>
      <c r="I696">
        <v>1</v>
      </c>
      <c r="J696">
        <v>6.99</v>
      </c>
      <c r="K696">
        <v>87.38</v>
      </c>
      <c r="L696" t="s">
        <v>1298</v>
      </c>
      <c r="M696" t="s">
        <v>33</v>
      </c>
      <c r="N696">
        <v>24</v>
      </c>
      <c r="O696">
        <v>10</v>
      </c>
      <c r="P696" t="b">
        <v>0</v>
      </c>
      <c r="Q696">
        <v>6</v>
      </c>
      <c r="R696">
        <v>3</v>
      </c>
    </row>
    <row r="697" spans="1:18">
      <c r="A697" t="s">
        <v>1437</v>
      </c>
      <c r="B697" t="s">
        <v>1438</v>
      </c>
      <c r="C697" s="1">
        <v>45222</v>
      </c>
      <c r="D697">
        <v>19</v>
      </c>
      <c r="E697" t="s">
        <v>36</v>
      </c>
      <c r="F697" t="s">
        <v>32</v>
      </c>
      <c r="G697" t="s">
        <v>22</v>
      </c>
      <c r="H697">
        <v>656.45</v>
      </c>
      <c r="I697">
        <v>1</v>
      </c>
      <c r="J697">
        <v>0</v>
      </c>
      <c r="K697">
        <v>656.45</v>
      </c>
      <c r="L697" t="s">
        <v>1298</v>
      </c>
      <c r="M697" t="s">
        <v>29</v>
      </c>
      <c r="N697">
        <v>10</v>
      </c>
      <c r="O697">
        <v>7</v>
      </c>
      <c r="P697" t="b">
        <v>1</v>
      </c>
      <c r="Q697">
        <v>5</v>
      </c>
      <c r="R697">
        <v>5</v>
      </c>
    </row>
    <row r="698" spans="1:18">
      <c r="A698" t="s">
        <v>1439</v>
      </c>
      <c r="B698" t="s">
        <v>1440</v>
      </c>
      <c r="C698" s="1">
        <v>45087</v>
      </c>
      <c r="D698">
        <v>28</v>
      </c>
      <c r="E698" t="s">
        <v>36</v>
      </c>
      <c r="F698" t="s">
        <v>88</v>
      </c>
      <c r="G698" t="s">
        <v>56</v>
      </c>
      <c r="H698">
        <v>174.49</v>
      </c>
      <c r="I698">
        <v>4</v>
      </c>
      <c r="J698">
        <v>0</v>
      </c>
      <c r="K698">
        <v>697.96</v>
      </c>
      <c r="L698" t="s">
        <v>1298</v>
      </c>
      <c r="M698" t="s">
        <v>33</v>
      </c>
      <c r="N698">
        <v>11</v>
      </c>
      <c r="O698">
        <v>5</v>
      </c>
      <c r="P698" t="b">
        <v>1</v>
      </c>
      <c r="Q698">
        <v>6</v>
      </c>
      <c r="R698">
        <v>4</v>
      </c>
    </row>
    <row r="699" spans="1:18">
      <c r="A699" t="s">
        <v>1441</v>
      </c>
      <c r="B699" t="s">
        <v>1442</v>
      </c>
      <c r="C699" s="1">
        <v>45078</v>
      </c>
      <c r="D699">
        <v>30</v>
      </c>
      <c r="E699" t="s">
        <v>20</v>
      </c>
      <c r="F699" t="s">
        <v>83</v>
      </c>
      <c r="G699" t="s">
        <v>64</v>
      </c>
      <c r="H699">
        <v>1458.12</v>
      </c>
      <c r="I699">
        <v>2</v>
      </c>
      <c r="J699">
        <v>0</v>
      </c>
      <c r="K699">
        <v>2916.24</v>
      </c>
      <c r="L699" t="s">
        <v>1298</v>
      </c>
      <c r="M699" t="s">
        <v>33</v>
      </c>
      <c r="N699">
        <v>13</v>
      </c>
      <c r="O699">
        <v>8</v>
      </c>
      <c r="P699" t="b">
        <v>1</v>
      </c>
      <c r="Q699">
        <v>10</v>
      </c>
      <c r="R699">
        <v>4</v>
      </c>
    </row>
    <row r="700" spans="1:18">
      <c r="A700" t="s">
        <v>1443</v>
      </c>
      <c r="B700" t="s">
        <v>1444</v>
      </c>
      <c r="C700" s="1">
        <v>45073</v>
      </c>
      <c r="D700">
        <v>48</v>
      </c>
      <c r="E700" t="s">
        <v>122</v>
      </c>
      <c r="F700" t="s">
        <v>73</v>
      </c>
      <c r="G700" t="s">
        <v>115</v>
      </c>
      <c r="H700">
        <v>136.6</v>
      </c>
      <c r="I700">
        <v>3</v>
      </c>
      <c r="J700">
        <v>27.29</v>
      </c>
      <c r="K700">
        <v>382.51</v>
      </c>
      <c r="L700" t="s">
        <v>1298</v>
      </c>
      <c r="M700" t="s">
        <v>33</v>
      </c>
      <c r="N700">
        <v>28</v>
      </c>
      <c r="O700">
        <v>6</v>
      </c>
      <c r="P700" t="b">
        <v>1</v>
      </c>
      <c r="Q700">
        <v>7</v>
      </c>
      <c r="R700">
        <v>5</v>
      </c>
    </row>
  </sheetData>
  <sortState xmlns:xlrd2="http://schemas.microsoft.com/office/spreadsheetml/2017/richdata2" ref="A2:R700">
    <sortCondition descending="1" ref="L2:L7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8D87-AF5A-4DC6-9122-A8238DE3BE38}">
  <dimension ref="A1:AB700"/>
  <sheetViews>
    <sheetView topLeftCell="J1" workbookViewId="0">
      <selection activeCell="T2" sqref="T2"/>
    </sheetView>
  </sheetViews>
  <sheetFormatPr defaultRowHeight="15"/>
  <cols>
    <col min="1" max="1" width="15" customWidth="1"/>
    <col min="2" max="2" width="15.42578125" customWidth="1"/>
    <col min="3" max="3" width="15.85546875" customWidth="1"/>
    <col min="4" max="4" width="6.7109375" customWidth="1"/>
    <col min="5" max="5" width="10.85546875" customWidth="1"/>
    <col min="6" max="6" width="12" customWidth="1"/>
    <col min="7" max="7" width="17.5703125" customWidth="1"/>
    <col min="8" max="8" width="10.42578125" customWidth="1"/>
    <col min="9" max="9" width="13" customWidth="1"/>
    <col min="10" max="10" width="14.5703125" customWidth="1"/>
    <col min="11" max="11" width="12.42578125" customWidth="1"/>
    <col min="12" max="12" width="19.42578125" customWidth="1"/>
    <col min="13" max="13" width="12.5703125" customWidth="1"/>
    <col min="14" max="14" width="18.28515625" customWidth="1"/>
    <col min="15" max="15" width="12.28515625" customWidth="1"/>
    <col min="16" max="16" width="17" customWidth="1"/>
    <col min="17" max="17" width="16.7109375" customWidth="1"/>
    <col min="18" max="18" width="17.85546875" customWidth="1"/>
  </cols>
  <sheetData>
    <row r="1" spans="1:28" ht="44.25" customHeight="1">
      <c r="A1" s="2" t="s">
        <v>1445</v>
      </c>
      <c r="B1" s="2" t="s">
        <v>1446</v>
      </c>
      <c r="C1" s="2" t="s">
        <v>1447</v>
      </c>
      <c r="D1" s="2" t="s">
        <v>1448</v>
      </c>
      <c r="E1" s="2" t="s">
        <v>1449</v>
      </c>
      <c r="F1" s="2" t="s">
        <v>1450</v>
      </c>
      <c r="G1" s="2" t="s">
        <v>1451</v>
      </c>
      <c r="H1" s="2" t="s">
        <v>1452</v>
      </c>
      <c r="I1" s="2" t="s">
        <v>1453</v>
      </c>
      <c r="J1" s="2" t="s">
        <v>1454</v>
      </c>
      <c r="K1" s="2" t="s">
        <v>1455</v>
      </c>
      <c r="L1" s="2" t="s">
        <v>1456</v>
      </c>
      <c r="M1" s="2" t="s">
        <v>1457</v>
      </c>
      <c r="N1" s="2" t="s">
        <v>1458</v>
      </c>
      <c r="O1" s="2" t="s">
        <v>1459</v>
      </c>
      <c r="P1" s="2" t="s">
        <v>1460</v>
      </c>
      <c r="Q1" s="2" t="s">
        <v>1461</v>
      </c>
      <c r="R1" s="2" t="s">
        <v>1462</v>
      </c>
    </row>
    <row r="2" spans="1:28">
      <c r="A2" s="5" t="s">
        <v>325</v>
      </c>
      <c r="B2" s="5" t="s">
        <v>326</v>
      </c>
      <c r="C2" s="6">
        <v>45254</v>
      </c>
      <c r="D2" s="5">
        <v>40</v>
      </c>
      <c r="E2" s="5" t="s">
        <v>20</v>
      </c>
      <c r="F2" s="5" t="s">
        <v>52</v>
      </c>
      <c r="G2" s="5" t="s">
        <v>115</v>
      </c>
      <c r="H2" s="7">
        <v>54.83</v>
      </c>
      <c r="I2" s="3">
        <v>4</v>
      </c>
      <c r="J2" s="4">
        <v>0</v>
      </c>
      <c r="K2" s="7">
        <v>219.32</v>
      </c>
      <c r="L2" s="5" t="s">
        <v>327</v>
      </c>
      <c r="M2" s="5" t="s">
        <v>33</v>
      </c>
      <c r="N2" s="3">
        <v>8</v>
      </c>
      <c r="O2" s="3">
        <v>9</v>
      </c>
      <c r="P2" s="5" t="b">
        <v>1</v>
      </c>
      <c r="Q2" s="3">
        <v>8</v>
      </c>
      <c r="R2" s="3">
        <v>4</v>
      </c>
      <c r="T2">
        <f>COUNTIF(A2:A700,A2)</f>
        <v>1</v>
      </c>
    </row>
    <row r="3" spans="1:28">
      <c r="A3" s="5" t="s">
        <v>328</v>
      </c>
      <c r="B3" s="5" t="s">
        <v>329</v>
      </c>
      <c r="C3" s="6">
        <v>44984</v>
      </c>
      <c r="D3" s="5">
        <v>33</v>
      </c>
      <c r="E3" s="5" t="s">
        <v>20</v>
      </c>
      <c r="F3" s="5" t="s">
        <v>32</v>
      </c>
      <c r="G3" s="5" t="s">
        <v>22</v>
      </c>
      <c r="H3" s="7">
        <v>166.17</v>
      </c>
      <c r="I3" s="3">
        <v>2</v>
      </c>
      <c r="J3" s="4">
        <v>0</v>
      </c>
      <c r="K3" s="7">
        <v>332.34</v>
      </c>
      <c r="L3" s="5" t="s">
        <v>327</v>
      </c>
      <c r="M3" s="5" t="s">
        <v>33</v>
      </c>
      <c r="N3" s="3">
        <v>3</v>
      </c>
      <c r="O3" s="3">
        <v>8</v>
      </c>
      <c r="P3" s="5" t="b">
        <v>1</v>
      </c>
      <c r="Q3" s="3">
        <v>8</v>
      </c>
      <c r="R3" s="3">
        <v>5</v>
      </c>
      <c r="T3">
        <f t="shared" ref="T3:T66" si="0">COUNTIF(A3:A701,A3)</f>
        <v>1</v>
      </c>
    </row>
    <row r="4" spans="1:28">
      <c r="A4" s="5" t="s">
        <v>330</v>
      </c>
      <c r="B4" s="5" t="s">
        <v>331</v>
      </c>
      <c r="C4" s="6">
        <v>44939</v>
      </c>
      <c r="D4" s="5">
        <v>42</v>
      </c>
      <c r="E4" s="5" t="s">
        <v>20</v>
      </c>
      <c r="F4" s="5" t="s">
        <v>88</v>
      </c>
      <c r="G4" s="5" t="s">
        <v>115</v>
      </c>
      <c r="H4" s="7">
        <v>66.44</v>
      </c>
      <c r="I4" s="3">
        <v>1</v>
      </c>
      <c r="J4" s="4">
        <v>0</v>
      </c>
      <c r="K4" s="7">
        <v>66.44</v>
      </c>
      <c r="L4" s="5" t="s">
        <v>327</v>
      </c>
      <c r="M4" s="5" t="s">
        <v>24</v>
      </c>
      <c r="N4" s="3">
        <v>9</v>
      </c>
      <c r="O4" s="3">
        <v>5</v>
      </c>
      <c r="P4" s="5" t="b">
        <v>0</v>
      </c>
      <c r="Q4" s="3">
        <v>3</v>
      </c>
      <c r="R4" s="3">
        <v>5</v>
      </c>
      <c r="T4">
        <f t="shared" si="0"/>
        <v>1</v>
      </c>
      <c r="X4" s="34" t="s">
        <v>1463</v>
      </c>
      <c r="Y4" s="35"/>
      <c r="Z4" s="35"/>
      <c r="AA4" s="35"/>
      <c r="AB4" s="36"/>
    </row>
    <row r="5" spans="1:28">
      <c r="A5" s="5" t="s">
        <v>1296</v>
      </c>
      <c r="B5" s="5" t="s">
        <v>1297</v>
      </c>
      <c r="C5" s="6">
        <v>45306</v>
      </c>
      <c r="D5" s="5">
        <v>53</v>
      </c>
      <c r="E5" s="5" t="s">
        <v>20</v>
      </c>
      <c r="F5" s="5" t="s">
        <v>21</v>
      </c>
      <c r="G5" s="5" t="s">
        <v>115</v>
      </c>
      <c r="H5" s="7">
        <v>112.65</v>
      </c>
      <c r="I5" s="3">
        <v>1</v>
      </c>
      <c r="J5" s="4">
        <v>0</v>
      </c>
      <c r="K5" s="7">
        <v>112.65</v>
      </c>
      <c r="L5" s="5" t="s">
        <v>1298</v>
      </c>
      <c r="M5" s="5" t="s">
        <v>33</v>
      </c>
      <c r="N5" s="3">
        <v>9</v>
      </c>
      <c r="O5" s="3">
        <v>6</v>
      </c>
      <c r="P5" s="5" t="b">
        <v>0</v>
      </c>
      <c r="Q5" s="3">
        <v>5</v>
      </c>
      <c r="R5" s="3">
        <v>4</v>
      </c>
      <c r="T5">
        <f t="shared" si="0"/>
        <v>1</v>
      </c>
      <c r="X5" s="37"/>
      <c r="Y5" s="38"/>
      <c r="Z5" s="38"/>
      <c r="AA5" s="38"/>
      <c r="AB5" s="39"/>
    </row>
    <row r="6" spans="1:28">
      <c r="A6" s="5" t="s">
        <v>1299</v>
      </c>
      <c r="B6" s="5" t="s">
        <v>1300</v>
      </c>
      <c r="C6" s="6">
        <v>45067</v>
      </c>
      <c r="D6" s="5">
        <v>32</v>
      </c>
      <c r="E6" s="5" t="s">
        <v>20</v>
      </c>
      <c r="F6" s="5" t="s">
        <v>52</v>
      </c>
      <c r="G6" s="5" t="s">
        <v>53</v>
      </c>
      <c r="H6" s="7">
        <v>69.89</v>
      </c>
      <c r="I6" s="3">
        <v>5</v>
      </c>
      <c r="J6" s="4">
        <v>0</v>
      </c>
      <c r="K6" s="7">
        <v>349.45</v>
      </c>
      <c r="L6" s="5" t="s">
        <v>1298</v>
      </c>
      <c r="M6" s="5" t="s">
        <v>33</v>
      </c>
      <c r="N6" s="3">
        <v>13</v>
      </c>
      <c r="O6" s="3">
        <v>7</v>
      </c>
      <c r="P6" s="5" t="b">
        <v>0</v>
      </c>
      <c r="Q6" s="3">
        <v>3</v>
      </c>
      <c r="R6" s="3">
        <v>3</v>
      </c>
      <c r="T6">
        <f t="shared" si="0"/>
        <v>1</v>
      </c>
    </row>
    <row r="7" spans="1:28">
      <c r="A7" s="5" t="s">
        <v>690</v>
      </c>
      <c r="B7" s="5" t="s">
        <v>691</v>
      </c>
      <c r="C7" s="6">
        <v>45052</v>
      </c>
      <c r="D7" s="5">
        <v>32</v>
      </c>
      <c r="E7" s="5" t="s">
        <v>36</v>
      </c>
      <c r="F7" s="5" t="s">
        <v>32</v>
      </c>
      <c r="G7" s="5" t="s">
        <v>115</v>
      </c>
      <c r="H7" s="7">
        <v>131.96</v>
      </c>
      <c r="I7" s="3">
        <v>1</v>
      </c>
      <c r="J7" s="4">
        <v>0</v>
      </c>
      <c r="K7" s="7">
        <v>131.96</v>
      </c>
      <c r="L7" s="5" t="s">
        <v>692</v>
      </c>
      <c r="M7" s="5" t="s">
        <v>24</v>
      </c>
      <c r="N7" s="3">
        <v>17</v>
      </c>
      <c r="O7" s="3">
        <v>9</v>
      </c>
      <c r="P7" s="5" t="b">
        <v>1</v>
      </c>
      <c r="Q7" s="3">
        <v>4</v>
      </c>
      <c r="R7" s="3">
        <v>5</v>
      </c>
      <c r="T7">
        <f t="shared" si="0"/>
        <v>1</v>
      </c>
      <c r="X7" s="40"/>
      <c r="Y7" s="41"/>
      <c r="Z7" s="41"/>
      <c r="AA7" s="41"/>
      <c r="AB7" s="42"/>
    </row>
    <row r="8" spans="1:28">
      <c r="A8" s="5" t="s">
        <v>693</v>
      </c>
      <c r="B8" s="5" t="s">
        <v>694</v>
      </c>
      <c r="C8" s="6">
        <v>45041</v>
      </c>
      <c r="D8" s="5">
        <v>53</v>
      </c>
      <c r="E8" s="5" t="s">
        <v>36</v>
      </c>
      <c r="F8" s="5" t="s">
        <v>52</v>
      </c>
      <c r="G8" s="5" t="s">
        <v>115</v>
      </c>
      <c r="H8" s="7">
        <v>53.11</v>
      </c>
      <c r="I8" s="3">
        <v>3</v>
      </c>
      <c r="J8" s="4">
        <v>8.92</v>
      </c>
      <c r="K8" s="7">
        <v>150.41</v>
      </c>
      <c r="L8" s="5" t="s">
        <v>692</v>
      </c>
      <c r="M8" s="5" t="s">
        <v>24</v>
      </c>
      <c r="N8" s="3">
        <v>19</v>
      </c>
      <c r="O8" s="3">
        <v>13</v>
      </c>
      <c r="P8" s="5" t="b">
        <v>1</v>
      </c>
      <c r="Q8" s="3">
        <v>2</v>
      </c>
      <c r="R8" s="3">
        <v>3</v>
      </c>
      <c r="T8">
        <f t="shared" si="0"/>
        <v>1</v>
      </c>
      <c r="X8" s="43"/>
      <c r="Y8" s="44"/>
      <c r="Z8" s="44"/>
      <c r="AA8" s="44"/>
      <c r="AB8" s="45"/>
    </row>
    <row r="9" spans="1:28">
      <c r="A9" s="5" t="s">
        <v>332</v>
      </c>
      <c r="B9" s="5" t="s">
        <v>333</v>
      </c>
      <c r="C9" s="6">
        <v>44998</v>
      </c>
      <c r="D9" s="5">
        <v>44</v>
      </c>
      <c r="E9" s="5" t="s">
        <v>36</v>
      </c>
      <c r="F9" s="5" t="s">
        <v>88</v>
      </c>
      <c r="G9" s="5" t="s">
        <v>115</v>
      </c>
      <c r="H9" s="7">
        <v>24.55</v>
      </c>
      <c r="I9" s="3">
        <v>2</v>
      </c>
      <c r="J9" s="4">
        <v>0</v>
      </c>
      <c r="K9" s="7">
        <v>49.1</v>
      </c>
      <c r="L9" s="5" t="s">
        <v>327</v>
      </c>
      <c r="M9" s="5" t="s">
        <v>24</v>
      </c>
      <c r="N9" s="3">
        <v>15</v>
      </c>
      <c r="O9" s="3">
        <v>8</v>
      </c>
      <c r="P9" s="5" t="b">
        <v>0</v>
      </c>
      <c r="Q9" s="3">
        <v>7</v>
      </c>
      <c r="R9" s="3">
        <v>5</v>
      </c>
      <c r="T9">
        <f t="shared" si="0"/>
        <v>1</v>
      </c>
    </row>
    <row r="10" spans="1:28">
      <c r="A10" s="5" t="s">
        <v>695</v>
      </c>
      <c r="B10" s="5" t="s">
        <v>696</v>
      </c>
      <c r="C10" s="6">
        <v>45304</v>
      </c>
      <c r="D10" s="5">
        <v>29</v>
      </c>
      <c r="E10" s="5" t="s">
        <v>20</v>
      </c>
      <c r="F10" s="5" t="s">
        <v>52</v>
      </c>
      <c r="G10" s="5" t="s">
        <v>37</v>
      </c>
      <c r="H10" s="7">
        <v>58.93</v>
      </c>
      <c r="I10" s="3">
        <v>1</v>
      </c>
      <c r="J10" s="4">
        <v>3.04</v>
      </c>
      <c r="K10" s="7">
        <v>55.89</v>
      </c>
      <c r="L10" s="5" t="s">
        <v>692</v>
      </c>
      <c r="M10" s="5" t="s">
        <v>24</v>
      </c>
      <c r="N10" s="3">
        <v>13</v>
      </c>
      <c r="O10" s="3">
        <v>3</v>
      </c>
      <c r="P10" s="5" t="b">
        <v>0</v>
      </c>
      <c r="Q10" s="3">
        <v>14</v>
      </c>
      <c r="R10" s="3">
        <v>3</v>
      </c>
      <c r="T10">
        <f t="shared" si="0"/>
        <v>1</v>
      </c>
      <c r="X10" s="46" t="s">
        <v>1464</v>
      </c>
      <c r="Y10" s="35"/>
      <c r="Z10" s="35"/>
      <c r="AA10" s="35"/>
      <c r="AB10" s="36"/>
    </row>
    <row r="11" spans="1:28">
      <c r="A11" s="5" t="s">
        <v>697</v>
      </c>
      <c r="B11" s="5" t="s">
        <v>698</v>
      </c>
      <c r="C11" s="6">
        <v>44979</v>
      </c>
      <c r="D11" s="5">
        <v>41</v>
      </c>
      <c r="E11" s="5" t="s">
        <v>20</v>
      </c>
      <c r="F11" s="5" t="s">
        <v>76</v>
      </c>
      <c r="G11" s="5" t="s">
        <v>56</v>
      </c>
      <c r="H11" s="7">
        <v>114.37</v>
      </c>
      <c r="I11" s="3">
        <v>2</v>
      </c>
      <c r="J11" s="4">
        <v>13.61</v>
      </c>
      <c r="K11" s="7">
        <v>215.13</v>
      </c>
      <c r="L11" s="5" t="s">
        <v>692</v>
      </c>
      <c r="M11" s="5" t="s">
        <v>24</v>
      </c>
      <c r="N11" s="3">
        <v>22</v>
      </c>
      <c r="O11" s="3">
        <v>9</v>
      </c>
      <c r="P11" s="5" t="b">
        <v>1</v>
      </c>
      <c r="Q11" s="3">
        <v>5</v>
      </c>
      <c r="R11" s="3">
        <v>5</v>
      </c>
      <c r="T11">
        <f t="shared" si="0"/>
        <v>1</v>
      </c>
      <c r="X11" s="37"/>
      <c r="Y11" s="38"/>
      <c r="Z11" s="38"/>
      <c r="AA11" s="38"/>
      <c r="AB11" s="39"/>
    </row>
    <row r="12" spans="1:28">
      <c r="A12" s="5" t="s">
        <v>699</v>
      </c>
      <c r="B12" s="5" t="s">
        <v>700</v>
      </c>
      <c r="C12" s="6">
        <v>45273</v>
      </c>
      <c r="D12" s="5">
        <v>29</v>
      </c>
      <c r="E12" s="5" t="s">
        <v>20</v>
      </c>
      <c r="F12" s="5" t="s">
        <v>76</v>
      </c>
      <c r="G12" s="5" t="s">
        <v>64</v>
      </c>
      <c r="H12" s="7">
        <v>770.72</v>
      </c>
      <c r="I12" s="3">
        <v>1</v>
      </c>
      <c r="J12" s="4">
        <v>0</v>
      </c>
      <c r="K12" s="7">
        <v>770.72</v>
      </c>
      <c r="L12" s="5" t="s">
        <v>692</v>
      </c>
      <c r="M12" s="5" t="s">
        <v>33</v>
      </c>
      <c r="N12" s="3">
        <v>11</v>
      </c>
      <c r="O12" s="3">
        <v>8</v>
      </c>
      <c r="P12" s="5" t="b">
        <v>1</v>
      </c>
      <c r="Q12" s="3">
        <v>11</v>
      </c>
      <c r="R12" s="3">
        <v>4</v>
      </c>
      <c r="T12">
        <f t="shared" si="0"/>
        <v>1</v>
      </c>
    </row>
    <row r="13" spans="1:28">
      <c r="A13" s="5" t="s">
        <v>701</v>
      </c>
      <c r="B13" s="5" t="s">
        <v>702</v>
      </c>
      <c r="C13" s="6">
        <v>45306</v>
      </c>
      <c r="D13" s="5">
        <v>29</v>
      </c>
      <c r="E13" s="5" t="s">
        <v>122</v>
      </c>
      <c r="F13" s="5" t="s">
        <v>32</v>
      </c>
      <c r="G13" s="5" t="s">
        <v>28</v>
      </c>
      <c r="H13" s="7">
        <v>218.03</v>
      </c>
      <c r="I13" s="3">
        <v>5</v>
      </c>
      <c r="J13" s="4">
        <v>0</v>
      </c>
      <c r="K13" s="7">
        <v>1090.1500000000001</v>
      </c>
      <c r="L13" s="5" t="s">
        <v>692</v>
      </c>
      <c r="M13" s="5" t="s">
        <v>33</v>
      </c>
      <c r="N13" s="3">
        <v>3</v>
      </c>
      <c r="O13" s="3">
        <v>8</v>
      </c>
      <c r="P13" s="5" t="b">
        <v>0</v>
      </c>
      <c r="Q13" s="3">
        <v>4</v>
      </c>
      <c r="R13" s="3">
        <v>3</v>
      </c>
      <c r="T13">
        <f t="shared" si="0"/>
        <v>1</v>
      </c>
      <c r="X13" s="46" t="s">
        <v>1465</v>
      </c>
      <c r="Y13" s="47"/>
      <c r="Z13" s="47"/>
      <c r="AA13" s="47"/>
      <c r="AB13" s="48"/>
    </row>
    <row r="14" spans="1:28">
      <c r="A14" s="5" t="s">
        <v>334</v>
      </c>
      <c r="B14" s="5" t="s">
        <v>335</v>
      </c>
      <c r="C14" s="6">
        <v>45206</v>
      </c>
      <c r="D14" s="5">
        <v>37</v>
      </c>
      <c r="E14" s="5" t="s">
        <v>36</v>
      </c>
      <c r="F14" s="5" t="s">
        <v>32</v>
      </c>
      <c r="G14" s="5" t="s">
        <v>115</v>
      </c>
      <c r="H14" s="7">
        <v>53.73</v>
      </c>
      <c r="I14" s="3">
        <v>1</v>
      </c>
      <c r="J14" s="4">
        <v>0</v>
      </c>
      <c r="K14" s="7">
        <v>53.73</v>
      </c>
      <c r="L14" s="5" t="s">
        <v>327</v>
      </c>
      <c r="M14" s="5" t="s">
        <v>24</v>
      </c>
      <c r="N14" s="3">
        <v>3</v>
      </c>
      <c r="O14" s="3">
        <v>6</v>
      </c>
      <c r="P14" s="5" t="b">
        <v>1</v>
      </c>
      <c r="Q14" s="3">
        <v>10</v>
      </c>
      <c r="R14" s="3">
        <v>4</v>
      </c>
      <c r="T14">
        <f t="shared" si="0"/>
        <v>1</v>
      </c>
      <c r="X14" s="49"/>
      <c r="Y14" s="50"/>
      <c r="Z14" s="50"/>
      <c r="AA14" s="50"/>
      <c r="AB14" s="51"/>
    </row>
    <row r="15" spans="1:28">
      <c r="A15" s="5" t="s">
        <v>703</v>
      </c>
      <c r="B15" s="5" t="s">
        <v>704</v>
      </c>
      <c r="C15" s="6">
        <v>44971</v>
      </c>
      <c r="D15" s="5">
        <v>18</v>
      </c>
      <c r="E15" s="5" t="s">
        <v>36</v>
      </c>
      <c r="F15" s="5" t="s">
        <v>88</v>
      </c>
      <c r="G15" s="5" t="s">
        <v>115</v>
      </c>
      <c r="H15" s="7">
        <v>30.18</v>
      </c>
      <c r="I15" s="3">
        <v>1</v>
      </c>
      <c r="J15" s="4">
        <v>0</v>
      </c>
      <c r="K15" s="7">
        <v>30.18</v>
      </c>
      <c r="L15" s="5" t="s">
        <v>692</v>
      </c>
      <c r="M15" s="5" t="s">
        <v>24</v>
      </c>
      <c r="N15" s="3">
        <v>9</v>
      </c>
      <c r="O15" s="3">
        <v>9</v>
      </c>
      <c r="P15" s="5" t="b">
        <v>1</v>
      </c>
      <c r="Q15" s="3">
        <v>14</v>
      </c>
      <c r="R15" s="3">
        <v>3</v>
      </c>
      <c r="T15">
        <f t="shared" si="0"/>
        <v>1</v>
      </c>
    </row>
    <row r="16" spans="1:28">
      <c r="A16" s="5" t="s">
        <v>705</v>
      </c>
      <c r="B16" s="5" t="s">
        <v>706</v>
      </c>
      <c r="C16" s="6">
        <v>45229</v>
      </c>
      <c r="D16" s="5">
        <v>18</v>
      </c>
      <c r="E16" s="5" t="s">
        <v>20</v>
      </c>
      <c r="F16" s="5" t="s">
        <v>52</v>
      </c>
      <c r="G16" s="5" t="s">
        <v>46</v>
      </c>
      <c r="H16" s="7">
        <v>284.16000000000003</v>
      </c>
      <c r="I16" s="3">
        <v>1</v>
      </c>
      <c r="J16" s="4">
        <v>0</v>
      </c>
      <c r="K16" s="7">
        <v>284.16000000000003</v>
      </c>
      <c r="L16" s="5" t="s">
        <v>692</v>
      </c>
      <c r="M16" s="5" t="s">
        <v>33</v>
      </c>
      <c r="N16" s="3">
        <v>12</v>
      </c>
      <c r="O16" s="3">
        <v>16</v>
      </c>
      <c r="P16" s="5" t="b">
        <v>0</v>
      </c>
      <c r="Q16" s="3">
        <v>2</v>
      </c>
      <c r="R16" s="3">
        <v>3</v>
      </c>
      <c r="T16">
        <f t="shared" si="0"/>
        <v>1</v>
      </c>
    </row>
    <row r="17" spans="1:20">
      <c r="A17" s="5" t="s">
        <v>1301</v>
      </c>
      <c r="B17" s="5" t="s">
        <v>1302</v>
      </c>
      <c r="C17" s="6">
        <v>45143</v>
      </c>
      <c r="D17" s="5">
        <v>28</v>
      </c>
      <c r="E17" s="5" t="s">
        <v>36</v>
      </c>
      <c r="F17" s="5" t="s">
        <v>32</v>
      </c>
      <c r="G17" s="5" t="s">
        <v>28</v>
      </c>
      <c r="H17" s="7">
        <v>176.15</v>
      </c>
      <c r="I17" s="3">
        <v>5</v>
      </c>
      <c r="J17" s="4">
        <v>12.35</v>
      </c>
      <c r="K17" s="7">
        <v>868.4</v>
      </c>
      <c r="L17" s="5" t="s">
        <v>1298</v>
      </c>
      <c r="M17" s="5" t="s">
        <v>29</v>
      </c>
      <c r="N17" s="3">
        <v>10</v>
      </c>
      <c r="O17" s="3">
        <v>9</v>
      </c>
      <c r="P17" s="5" t="b">
        <v>1</v>
      </c>
      <c r="Q17" s="3">
        <v>3</v>
      </c>
      <c r="R17" s="3">
        <v>3</v>
      </c>
      <c r="T17">
        <f t="shared" si="0"/>
        <v>1</v>
      </c>
    </row>
    <row r="18" spans="1:20">
      <c r="A18" s="5" t="s">
        <v>1303</v>
      </c>
      <c r="B18" s="5" t="s">
        <v>1304</v>
      </c>
      <c r="C18" s="6">
        <v>44943</v>
      </c>
      <c r="D18" s="5">
        <v>22</v>
      </c>
      <c r="E18" s="5" t="s">
        <v>20</v>
      </c>
      <c r="F18" s="5" t="s">
        <v>52</v>
      </c>
      <c r="G18" s="5" t="s">
        <v>37</v>
      </c>
      <c r="H18" s="7">
        <v>67.22</v>
      </c>
      <c r="I18" s="3">
        <v>1</v>
      </c>
      <c r="J18" s="4">
        <v>0</v>
      </c>
      <c r="K18" s="7">
        <v>67.22</v>
      </c>
      <c r="L18" s="5" t="s">
        <v>1298</v>
      </c>
      <c r="M18" s="5" t="s">
        <v>33</v>
      </c>
      <c r="N18" s="3">
        <v>3</v>
      </c>
      <c r="O18" s="3">
        <v>8</v>
      </c>
      <c r="P18" s="5" t="b">
        <v>1</v>
      </c>
      <c r="Q18" s="3">
        <v>6</v>
      </c>
      <c r="R18" s="3">
        <v>5</v>
      </c>
      <c r="T18">
        <f t="shared" si="0"/>
        <v>1</v>
      </c>
    </row>
    <row r="19" spans="1:20">
      <c r="A19" s="5" t="s">
        <v>1305</v>
      </c>
      <c r="B19" s="5" t="s">
        <v>1306</v>
      </c>
      <c r="C19" s="6">
        <v>44942</v>
      </c>
      <c r="D19" s="5">
        <v>38</v>
      </c>
      <c r="E19" s="5" t="s">
        <v>36</v>
      </c>
      <c r="F19" s="5" t="s">
        <v>73</v>
      </c>
      <c r="G19" s="5" t="s">
        <v>22</v>
      </c>
      <c r="H19" s="7">
        <v>198.21</v>
      </c>
      <c r="I19" s="3">
        <v>1</v>
      </c>
      <c r="J19" s="4">
        <v>0</v>
      </c>
      <c r="K19" s="7">
        <v>198.21</v>
      </c>
      <c r="L19" s="5" t="s">
        <v>1298</v>
      </c>
      <c r="M19" s="5" t="s">
        <v>24</v>
      </c>
      <c r="N19" s="3">
        <v>20</v>
      </c>
      <c r="O19" s="3">
        <v>6</v>
      </c>
      <c r="P19" s="5" t="b">
        <v>1</v>
      </c>
      <c r="Q19" s="3">
        <v>2</v>
      </c>
      <c r="R19" s="3">
        <v>2</v>
      </c>
      <c r="T19">
        <f t="shared" si="0"/>
        <v>1</v>
      </c>
    </row>
    <row r="20" spans="1:20">
      <c r="A20" s="5" t="s">
        <v>707</v>
      </c>
      <c r="B20" s="5" t="s">
        <v>708</v>
      </c>
      <c r="C20" s="6">
        <v>44974</v>
      </c>
      <c r="D20" s="5">
        <v>24</v>
      </c>
      <c r="E20" s="5" t="s">
        <v>36</v>
      </c>
      <c r="F20" s="5" t="s">
        <v>59</v>
      </c>
      <c r="G20" s="5" t="s">
        <v>64</v>
      </c>
      <c r="H20" s="7">
        <v>380.59</v>
      </c>
      <c r="I20" s="3">
        <v>1</v>
      </c>
      <c r="J20" s="4">
        <v>59.02</v>
      </c>
      <c r="K20" s="7">
        <v>321.57</v>
      </c>
      <c r="L20" s="5" t="s">
        <v>692</v>
      </c>
      <c r="M20" s="5" t="s">
        <v>24</v>
      </c>
      <c r="N20" s="3">
        <v>8</v>
      </c>
      <c r="O20" s="3">
        <v>10</v>
      </c>
      <c r="P20" s="5" t="b">
        <v>1</v>
      </c>
      <c r="Q20" s="3">
        <v>4</v>
      </c>
      <c r="R20" s="3">
        <v>5</v>
      </c>
      <c r="T20">
        <f t="shared" si="0"/>
        <v>1</v>
      </c>
    </row>
    <row r="21" spans="1:20">
      <c r="A21" s="5" t="s">
        <v>709</v>
      </c>
      <c r="B21" s="5" t="s">
        <v>710</v>
      </c>
      <c r="C21" s="6">
        <v>45038</v>
      </c>
      <c r="D21" s="5">
        <v>18</v>
      </c>
      <c r="E21" s="5" t="s">
        <v>36</v>
      </c>
      <c r="F21" s="5" t="s">
        <v>32</v>
      </c>
      <c r="G21" s="5" t="s">
        <v>28</v>
      </c>
      <c r="H21" s="7">
        <v>303.91000000000003</v>
      </c>
      <c r="I21" s="3">
        <v>1</v>
      </c>
      <c r="J21" s="4">
        <v>0</v>
      </c>
      <c r="K21" s="7">
        <v>303.91000000000003</v>
      </c>
      <c r="L21" s="5" t="s">
        <v>692</v>
      </c>
      <c r="M21" s="5" t="s">
        <v>24</v>
      </c>
      <c r="N21" s="3">
        <v>9</v>
      </c>
      <c r="O21" s="3">
        <v>4</v>
      </c>
      <c r="P21" s="5" t="b">
        <v>1</v>
      </c>
      <c r="Q21" s="3">
        <v>6</v>
      </c>
      <c r="R21" s="3">
        <v>1</v>
      </c>
      <c r="T21">
        <f t="shared" si="0"/>
        <v>1</v>
      </c>
    </row>
    <row r="22" spans="1:20">
      <c r="A22" s="5" t="s">
        <v>711</v>
      </c>
      <c r="B22" s="5" t="s">
        <v>712</v>
      </c>
      <c r="C22" s="6">
        <v>45046</v>
      </c>
      <c r="D22" s="5">
        <v>52</v>
      </c>
      <c r="E22" s="5" t="s">
        <v>36</v>
      </c>
      <c r="F22" s="5" t="s">
        <v>32</v>
      </c>
      <c r="G22" s="5" t="s">
        <v>22</v>
      </c>
      <c r="H22" s="7">
        <v>533.41</v>
      </c>
      <c r="I22" s="3">
        <v>1</v>
      </c>
      <c r="J22" s="4">
        <v>84.22</v>
      </c>
      <c r="K22" s="7">
        <v>449.19</v>
      </c>
      <c r="L22" s="5" t="s">
        <v>692</v>
      </c>
      <c r="M22" s="5" t="s">
        <v>33</v>
      </c>
      <c r="N22" s="3">
        <v>14</v>
      </c>
      <c r="O22" s="3">
        <v>6</v>
      </c>
      <c r="P22" s="5" t="b">
        <v>0</v>
      </c>
      <c r="Q22" s="3">
        <v>2</v>
      </c>
      <c r="R22" s="3">
        <v>5</v>
      </c>
      <c r="T22">
        <f t="shared" si="0"/>
        <v>1</v>
      </c>
    </row>
    <row r="23" spans="1:20">
      <c r="A23" s="5" t="s">
        <v>713</v>
      </c>
      <c r="B23" s="5" t="s">
        <v>714</v>
      </c>
      <c r="C23" s="6">
        <v>45185</v>
      </c>
      <c r="D23" s="5">
        <v>32</v>
      </c>
      <c r="E23" s="5" t="s">
        <v>20</v>
      </c>
      <c r="F23" s="5" t="s">
        <v>76</v>
      </c>
      <c r="G23" s="5" t="s">
        <v>53</v>
      </c>
      <c r="H23" s="7">
        <v>28.95</v>
      </c>
      <c r="I23" s="3">
        <v>1</v>
      </c>
      <c r="J23" s="4">
        <v>2.72</v>
      </c>
      <c r="K23" s="7">
        <v>26.23</v>
      </c>
      <c r="L23" s="5" t="s">
        <v>692</v>
      </c>
      <c r="M23" s="5" t="s">
        <v>33</v>
      </c>
      <c r="N23" s="3">
        <v>15</v>
      </c>
      <c r="O23" s="3">
        <v>10</v>
      </c>
      <c r="P23" s="5" t="b">
        <v>0</v>
      </c>
      <c r="Q23" s="3">
        <v>2</v>
      </c>
      <c r="R23" s="3">
        <v>5</v>
      </c>
      <c r="T23">
        <f t="shared" si="0"/>
        <v>1</v>
      </c>
    </row>
    <row r="24" spans="1:20">
      <c r="A24" s="5" t="s">
        <v>715</v>
      </c>
      <c r="B24" s="5" t="s">
        <v>716</v>
      </c>
      <c r="C24" s="6">
        <v>45235</v>
      </c>
      <c r="D24" s="5">
        <v>35</v>
      </c>
      <c r="E24" s="5" t="s">
        <v>36</v>
      </c>
      <c r="F24" s="5" t="s">
        <v>27</v>
      </c>
      <c r="G24" s="5" t="s">
        <v>46</v>
      </c>
      <c r="H24" s="7">
        <v>331.18</v>
      </c>
      <c r="I24" s="3">
        <v>1</v>
      </c>
      <c r="J24" s="4">
        <v>85.23</v>
      </c>
      <c r="K24" s="7">
        <v>245.95</v>
      </c>
      <c r="L24" s="5" t="s">
        <v>692</v>
      </c>
      <c r="M24" s="5" t="s">
        <v>33</v>
      </c>
      <c r="N24" s="3">
        <v>7</v>
      </c>
      <c r="O24" s="3">
        <v>9</v>
      </c>
      <c r="P24" s="5" t="b">
        <v>1</v>
      </c>
      <c r="Q24" s="3">
        <v>3</v>
      </c>
      <c r="R24" s="3">
        <v>5</v>
      </c>
      <c r="T24">
        <f t="shared" si="0"/>
        <v>1</v>
      </c>
    </row>
    <row r="25" spans="1:20">
      <c r="A25" s="5" t="s">
        <v>1307</v>
      </c>
      <c r="B25" s="5" t="s">
        <v>1308</v>
      </c>
      <c r="C25" s="6">
        <v>44940</v>
      </c>
      <c r="D25" s="5">
        <v>18</v>
      </c>
      <c r="E25" s="5" t="s">
        <v>36</v>
      </c>
      <c r="F25" s="5" t="s">
        <v>73</v>
      </c>
      <c r="G25" s="5" t="s">
        <v>46</v>
      </c>
      <c r="H25" s="7">
        <v>79.59</v>
      </c>
      <c r="I25" s="3">
        <v>1</v>
      </c>
      <c r="J25" s="4">
        <v>0</v>
      </c>
      <c r="K25" s="7">
        <v>79.59</v>
      </c>
      <c r="L25" s="5" t="s">
        <v>1298</v>
      </c>
      <c r="M25" s="5" t="s">
        <v>33</v>
      </c>
      <c r="N25" s="3">
        <v>6</v>
      </c>
      <c r="O25" s="3">
        <v>11</v>
      </c>
      <c r="P25" s="5" t="b">
        <v>0</v>
      </c>
      <c r="Q25" s="3">
        <v>4</v>
      </c>
      <c r="R25" s="3">
        <v>3</v>
      </c>
      <c r="T25">
        <f t="shared" si="0"/>
        <v>1</v>
      </c>
    </row>
    <row r="26" spans="1:20">
      <c r="A26" s="5" t="s">
        <v>1229</v>
      </c>
      <c r="B26" s="5" t="s">
        <v>1230</v>
      </c>
      <c r="C26" s="6">
        <v>45214</v>
      </c>
      <c r="D26" s="5">
        <v>28</v>
      </c>
      <c r="E26" s="5" t="s">
        <v>20</v>
      </c>
      <c r="F26" s="5" t="s">
        <v>27</v>
      </c>
      <c r="G26" s="5" t="s">
        <v>53</v>
      </c>
      <c r="H26" s="7">
        <v>89.32</v>
      </c>
      <c r="I26" s="3">
        <v>1</v>
      </c>
      <c r="J26" s="4">
        <v>0</v>
      </c>
      <c r="K26" s="7">
        <v>89.32</v>
      </c>
      <c r="L26" s="5" t="s">
        <v>1231</v>
      </c>
      <c r="M26" s="5" t="s">
        <v>33</v>
      </c>
      <c r="N26" s="3">
        <v>4</v>
      </c>
      <c r="O26" s="3">
        <v>6</v>
      </c>
      <c r="P26" s="5" t="b">
        <v>1</v>
      </c>
      <c r="Q26" s="3">
        <v>10</v>
      </c>
      <c r="R26" s="3">
        <v>5</v>
      </c>
      <c r="T26">
        <f t="shared" si="0"/>
        <v>1</v>
      </c>
    </row>
    <row r="27" spans="1:20">
      <c r="A27" s="5" t="s">
        <v>18</v>
      </c>
      <c r="B27" s="5" t="s">
        <v>19</v>
      </c>
      <c r="C27" s="6">
        <v>45028</v>
      </c>
      <c r="D27" s="5">
        <v>36</v>
      </c>
      <c r="E27" s="5" t="s">
        <v>20</v>
      </c>
      <c r="F27" s="5" t="s">
        <v>21</v>
      </c>
      <c r="G27" s="5" t="s">
        <v>22</v>
      </c>
      <c r="H27" s="7">
        <v>88.22</v>
      </c>
      <c r="I27" s="3">
        <v>2</v>
      </c>
      <c r="J27" s="4">
        <v>0</v>
      </c>
      <c r="K27" s="7">
        <v>176.44</v>
      </c>
      <c r="L27" s="5" t="s">
        <v>23</v>
      </c>
      <c r="M27" s="5" t="s">
        <v>24</v>
      </c>
      <c r="N27" s="3">
        <v>19</v>
      </c>
      <c r="O27" s="3">
        <v>9</v>
      </c>
      <c r="P27" s="5" t="b">
        <v>0</v>
      </c>
      <c r="Q27" s="3">
        <v>4</v>
      </c>
      <c r="R27" s="3">
        <v>2</v>
      </c>
      <c r="T27">
        <f t="shared" si="0"/>
        <v>1</v>
      </c>
    </row>
    <row r="28" spans="1:20">
      <c r="A28" s="5" t="s">
        <v>25</v>
      </c>
      <c r="B28" s="5" t="s">
        <v>26</v>
      </c>
      <c r="C28" s="6">
        <v>45293</v>
      </c>
      <c r="D28" s="5">
        <v>21</v>
      </c>
      <c r="E28" s="5" t="s">
        <v>20</v>
      </c>
      <c r="F28" s="5" t="s">
        <v>27</v>
      </c>
      <c r="G28" s="5" t="s">
        <v>28</v>
      </c>
      <c r="H28" s="7">
        <v>139.85</v>
      </c>
      <c r="I28" s="3">
        <v>2</v>
      </c>
      <c r="J28" s="4">
        <v>33.81</v>
      </c>
      <c r="K28" s="7">
        <v>245.89</v>
      </c>
      <c r="L28" s="5" t="s">
        <v>23</v>
      </c>
      <c r="M28" s="5" t="s">
        <v>29</v>
      </c>
      <c r="N28" s="3">
        <v>15</v>
      </c>
      <c r="O28" s="3">
        <v>6</v>
      </c>
      <c r="P28" s="5" t="b">
        <v>0</v>
      </c>
      <c r="Q28" s="3">
        <v>7</v>
      </c>
      <c r="R28" s="3">
        <v>4</v>
      </c>
      <c r="T28">
        <f t="shared" si="0"/>
        <v>1</v>
      </c>
    </row>
    <row r="29" spans="1:20">
      <c r="A29" s="5" t="s">
        <v>336</v>
      </c>
      <c r="B29" s="5" t="s">
        <v>337</v>
      </c>
      <c r="C29" s="6">
        <v>45259</v>
      </c>
      <c r="D29" s="5">
        <v>39</v>
      </c>
      <c r="E29" s="5" t="s">
        <v>20</v>
      </c>
      <c r="F29" s="5" t="s">
        <v>52</v>
      </c>
      <c r="G29" s="5" t="s">
        <v>64</v>
      </c>
      <c r="H29" s="7">
        <v>604.91</v>
      </c>
      <c r="I29" s="3">
        <v>1</v>
      </c>
      <c r="J29" s="4">
        <v>0</v>
      </c>
      <c r="K29" s="7">
        <v>604.91</v>
      </c>
      <c r="L29" s="5" t="s">
        <v>327</v>
      </c>
      <c r="M29" s="5" t="s">
        <v>24</v>
      </c>
      <c r="N29" s="3">
        <v>11</v>
      </c>
      <c r="O29" s="3">
        <v>14</v>
      </c>
      <c r="P29" s="5" t="b">
        <v>1</v>
      </c>
      <c r="Q29" s="3">
        <v>5</v>
      </c>
      <c r="R29" s="3">
        <v>5</v>
      </c>
      <c r="T29">
        <f t="shared" si="0"/>
        <v>1</v>
      </c>
    </row>
    <row r="30" spans="1:20">
      <c r="A30" s="5" t="s">
        <v>30</v>
      </c>
      <c r="B30" s="5" t="s">
        <v>31</v>
      </c>
      <c r="C30" s="6">
        <v>45286</v>
      </c>
      <c r="D30" s="5">
        <v>27</v>
      </c>
      <c r="E30" s="5" t="s">
        <v>20</v>
      </c>
      <c r="F30" s="5" t="s">
        <v>32</v>
      </c>
      <c r="G30" s="5" t="s">
        <v>22</v>
      </c>
      <c r="H30" s="7">
        <v>230.37</v>
      </c>
      <c r="I30" s="3">
        <v>1</v>
      </c>
      <c r="J30" s="4">
        <v>0</v>
      </c>
      <c r="K30" s="7">
        <v>230.37</v>
      </c>
      <c r="L30" s="5" t="s">
        <v>23</v>
      </c>
      <c r="M30" s="5" t="s">
        <v>33</v>
      </c>
      <c r="N30" s="3">
        <v>3</v>
      </c>
      <c r="O30" s="3">
        <v>7</v>
      </c>
      <c r="P30" s="5" t="b">
        <v>1</v>
      </c>
      <c r="Q30" s="3">
        <v>4</v>
      </c>
      <c r="R30" s="3">
        <v>4</v>
      </c>
      <c r="T30">
        <f t="shared" si="0"/>
        <v>1</v>
      </c>
    </row>
    <row r="31" spans="1:20">
      <c r="A31" s="5" t="s">
        <v>1309</v>
      </c>
      <c r="B31" s="5" t="s">
        <v>1310</v>
      </c>
      <c r="C31" s="6">
        <v>45206</v>
      </c>
      <c r="D31" s="5">
        <v>31</v>
      </c>
      <c r="E31" s="5" t="s">
        <v>36</v>
      </c>
      <c r="F31" s="5" t="s">
        <v>27</v>
      </c>
      <c r="G31" s="5" t="s">
        <v>64</v>
      </c>
      <c r="H31" s="7">
        <v>2497.83</v>
      </c>
      <c r="I31" s="3">
        <v>1</v>
      </c>
      <c r="J31" s="4">
        <v>0</v>
      </c>
      <c r="K31" s="7">
        <v>2497.83</v>
      </c>
      <c r="L31" s="5" t="s">
        <v>1298</v>
      </c>
      <c r="M31" s="5" t="s">
        <v>33</v>
      </c>
      <c r="N31" s="3">
        <v>12</v>
      </c>
      <c r="O31" s="3">
        <v>11</v>
      </c>
      <c r="P31" s="5" t="b">
        <v>1</v>
      </c>
      <c r="Q31" s="3">
        <v>7</v>
      </c>
      <c r="R31" s="3">
        <v>4</v>
      </c>
      <c r="T31">
        <f t="shared" si="0"/>
        <v>1</v>
      </c>
    </row>
    <row r="32" spans="1:20">
      <c r="A32" s="5" t="s">
        <v>338</v>
      </c>
      <c r="B32" s="5" t="s">
        <v>339</v>
      </c>
      <c r="C32" s="6">
        <v>45141</v>
      </c>
      <c r="D32" s="5">
        <v>27</v>
      </c>
      <c r="E32" s="5" t="s">
        <v>20</v>
      </c>
      <c r="F32" s="5" t="s">
        <v>21</v>
      </c>
      <c r="G32" s="5" t="s">
        <v>37</v>
      </c>
      <c r="H32" s="7">
        <v>131.13</v>
      </c>
      <c r="I32" s="3">
        <v>1</v>
      </c>
      <c r="J32" s="4">
        <v>0</v>
      </c>
      <c r="K32" s="7">
        <v>131.13</v>
      </c>
      <c r="L32" s="5" t="s">
        <v>327</v>
      </c>
      <c r="M32" s="5" t="s">
        <v>24</v>
      </c>
      <c r="N32" s="3">
        <v>34</v>
      </c>
      <c r="O32" s="3">
        <v>8</v>
      </c>
      <c r="P32" s="5" t="b">
        <v>0</v>
      </c>
      <c r="Q32" s="3">
        <v>5</v>
      </c>
      <c r="R32" s="3">
        <v>2</v>
      </c>
      <c r="T32">
        <f t="shared" si="0"/>
        <v>1</v>
      </c>
    </row>
    <row r="33" spans="1:20">
      <c r="A33" s="5" t="s">
        <v>717</v>
      </c>
      <c r="B33" s="5" t="s">
        <v>718</v>
      </c>
      <c r="C33" s="6">
        <v>45039</v>
      </c>
      <c r="D33" s="5">
        <v>57</v>
      </c>
      <c r="E33" s="5" t="s">
        <v>20</v>
      </c>
      <c r="F33" s="5" t="s">
        <v>83</v>
      </c>
      <c r="G33" s="5" t="s">
        <v>115</v>
      </c>
      <c r="H33" s="7">
        <v>88.67</v>
      </c>
      <c r="I33" s="3">
        <v>1</v>
      </c>
      <c r="J33" s="4">
        <v>0</v>
      </c>
      <c r="K33" s="7">
        <v>88.67</v>
      </c>
      <c r="L33" s="5" t="s">
        <v>692</v>
      </c>
      <c r="M33" s="5" t="s">
        <v>24</v>
      </c>
      <c r="N33" s="3">
        <v>11</v>
      </c>
      <c r="O33" s="3">
        <v>8</v>
      </c>
      <c r="P33" s="5" t="b">
        <v>1</v>
      </c>
      <c r="Q33" s="3">
        <v>7</v>
      </c>
      <c r="R33" s="3">
        <v>2</v>
      </c>
      <c r="T33">
        <f t="shared" si="0"/>
        <v>1</v>
      </c>
    </row>
    <row r="34" spans="1:20">
      <c r="A34" s="5" t="s">
        <v>719</v>
      </c>
      <c r="B34" s="5" t="s">
        <v>720</v>
      </c>
      <c r="C34" s="6">
        <v>45156</v>
      </c>
      <c r="D34" s="5">
        <v>34</v>
      </c>
      <c r="E34" s="5" t="s">
        <v>36</v>
      </c>
      <c r="F34" s="5" t="s">
        <v>52</v>
      </c>
      <c r="G34" s="5" t="s">
        <v>53</v>
      </c>
      <c r="H34" s="7">
        <v>20.94</v>
      </c>
      <c r="I34" s="3">
        <v>2</v>
      </c>
      <c r="J34" s="4">
        <v>0</v>
      </c>
      <c r="K34" s="7">
        <v>41.88</v>
      </c>
      <c r="L34" s="5" t="s">
        <v>692</v>
      </c>
      <c r="M34" s="5" t="s">
        <v>24</v>
      </c>
      <c r="N34" s="3">
        <v>12</v>
      </c>
      <c r="O34" s="3">
        <v>10</v>
      </c>
      <c r="P34" s="5" t="b">
        <v>0</v>
      </c>
      <c r="Q34" s="3">
        <v>7</v>
      </c>
      <c r="R34" s="3">
        <v>2</v>
      </c>
      <c r="T34">
        <f t="shared" si="0"/>
        <v>1</v>
      </c>
    </row>
    <row r="35" spans="1:20">
      <c r="A35" s="5" t="s">
        <v>340</v>
      </c>
      <c r="B35" s="5" t="s">
        <v>341</v>
      </c>
      <c r="C35" s="6">
        <v>45228</v>
      </c>
      <c r="D35" s="5">
        <v>22</v>
      </c>
      <c r="E35" s="5" t="s">
        <v>36</v>
      </c>
      <c r="F35" s="5" t="s">
        <v>76</v>
      </c>
      <c r="G35" s="5" t="s">
        <v>56</v>
      </c>
      <c r="H35" s="7">
        <v>541.80999999999995</v>
      </c>
      <c r="I35" s="3">
        <v>4</v>
      </c>
      <c r="J35" s="4">
        <v>139.11000000000001</v>
      </c>
      <c r="K35" s="7">
        <v>2028.13</v>
      </c>
      <c r="L35" s="5" t="s">
        <v>327</v>
      </c>
      <c r="M35" s="5" t="s">
        <v>33</v>
      </c>
      <c r="N35" s="3">
        <v>11</v>
      </c>
      <c r="O35" s="3">
        <v>6</v>
      </c>
      <c r="P35" s="5" t="b">
        <v>1</v>
      </c>
      <c r="Q35" s="3">
        <v>3</v>
      </c>
      <c r="R35" s="3">
        <v>5</v>
      </c>
      <c r="T35">
        <f t="shared" si="0"/>
        <v>1</v>
      </c>
    </row>
    <row r="36" spans="1:20">
      <c r="A36" s="5" t="s">
        <v>721</v>
      </c>
      <c r="B36" s="5" t="s">
        <v>722</v>
      </c>
      <c r="C36" s="6">
        <v>45069</v>
      </c>
      <c r="D36" s="5">
        <v>44</v>
      </c>
      <c r="E36" s="5" t="s">
        <v>36</v>
      </c>
      <c r="F36" s="5" t="s">
        <v>76</v>
      </c>
      <c r="G36" s="5" t="s">
        <v>64</v>
      </c>
      <c r="H36" s="7">
        <v>4703.2299999999996</v>
      </c>
      <c r="I36" s="3">
        <v>2</v>
      </c>
      <c r="J36" s="4">
        <v>0</v>
      </c>
      <c r="K36" s="7">
        <v>9406.4599999999991</v>
      </c>
      <c r="L36" s="5" t="s">
        <v>692</v>
      </c>
      <c r="M36" s="5" t="s">
        <v>33</v>
      </c>
      <c r="N36" s="3">
        <v>6</v>
      </c>
      <c r="O36" s="3">
        <v>9</v>
      </c>
      <c r="P36" s="5" t="b">
        <v>1</v>
      </c>
      <c r="Q36" s="3">
        <v>10</v>
      </c>
      <c r="R36" s="3">
        <v>1</v>
      </c>
      <c r="T36">
        <f t="shared" si="0"/>
        <v>1</v>
      </c>
    </row>
    <row r="37" spans="1:20">
      <c r="A37" s="5" t="s">
        <v>1311</v>
      </c>
      <c r="B37" s="5" t="s">
        <v>1312</v>
      </c>
      <c r="C37" s="6">
        <v>45341</v>
      </c>
      <c r="D37" s="5">
        <v>20</v>
      </c>
      <c r="E37" s="5" t="s">
        <v>20</v>
      </c>
      <c r="F37" s="5" t="s">
        <v>32</v>
      </c>
      <c r="G37" s="5" t="s">
        <v>46</v>
      </c>
      <c r="H37" s="7">
        <v>503.69</v>
      </c>
      <c r="I37" s="3">
        <v>5</v>
      </c>
      <c r="J37" s="4">
        <v>93.97</v>
      </c>
      <c r="K37" s="7">
        <v>2424.48</v>
      </c>
      <c r="L37" s="5" t="s">
        <v>1298</v>
      </c>
      <c r="M37" s="5" t="s">
        <v>33</v>
      </c>
      <c r="N37" s="3">
        <v>2</v>
      </c>
      <c r="O37" s="3">
        <v>8</v>
      </c>
      <c r="P37" s="5" t="b">
        <v>1</v>
      </c>
      <c r="Q37" s="3">
        <v>11</v>
      </c>
      <c r="R37" s="3">
        <v>5</v>
      </c>
      <c r="T37">
        <f t="shared" si="0"/>
        <v>1</v>
      </c>
    </row>
    <row r="38" spans="1:20">
      <c r="A38" s="5" t="s">
        <v>342</v>
      </c>
      <c r="B38" s="5" t="s">
        <v>343</v>
      </c>
      <c r="C38" s="6">
        <v>45372</v>
      </c>
      <c r="D38" s="5">
        <v>37</v>
      </c>
      <c r="E38" s="5" t="s">
        <v>36</v>
      </c>
      <c r="F38" s="5" t="s">
        <v>59</v>
      </c>
      <c r="G38" s="5" t="s">
        <v>115</v>
      </c>
      <c r="H38" s="7">
        <v>59.08</v>
      </c>
      <c r="I38" s="3">
        <v>1</v>
      </c>
      <c r="J38" s="4">
        <v>0</v>
      </c>
      <c r="K38" s="7">
        <v>59.08</v>
      </c>
      <c r="L38" s="5" t="s">
        <v>327</v>
      </c>
      <c r="M38" s="5" t="s">
        <v>33</v>
      </c>
      <c r="N38" s="3">
        <v>19</v>
      </c>
      <c r="O38" s="3">
        <v>11</v>
      </c>
      <c r="P38" s="5" t="b">
        <v>0</v>
      </c>
      <c r="Q38" s="3">
        <v>2</v>
      </c>
      <c r="R38" s="3">
        <v>5</v>
      </c>
      <c r="T38">
        <f t="shared" si="0"/>
        <v>1</v>
      </c>
    </row>
    <row r="39" spans="1:20">
      <c r="A39" s="5" t="s">
        <v>34</v>
      </c>
      <c r="B39" s="5" t="s">
        <v>35</v>
      </c>
      <c r="C39" s="6">
        <v>44930</v>
      </c>
      <c r="D39" s="5">
        <v>18</v>
      </c>
      <c r="E39" s="5" t="s">
        <v>36</v>
      </c>
      <c r="F39" s="5" t="s">
        <v>21</v>
      </c>
      <c r="G39" s="5" t="s">
        <v>37</v>
      </c>
      <c r="H39" s="7">
        <v>78.209999999999994</v>
      </c>
      <c r="I39" s="3">
        <v>5</v>
      </c>
      <c r="J39" s="4">
        <v>0</v>
      </c>
      <c r="K39" s="7">
        <v>391.05</v>
      </c>
      <c r="L39" s="5" t="s">
        <v>23</v>
      </c>
      <c r="M39" s="5" t="s">
        <v>33</v>
      </c>
      <c r="N39" s="3">
        <v>9</v>
      </c>
      <c r="O39" s="3">
        <v>7</v>
      </c>
      <c r="P39" s="5" t="b">
        <v>0</v>
      </c>
      <c r="Q39" s="3">
        <v>8</v>
      </c>
      <c r="R39" s="3">
        <v>4</v>
      </c>
      <c r="T39">
        <f t="shared" si="0"/>
        <v>1</v>
      </c>
    </row>
    <row r="40" spans="1:20">
      <c r="A40" s="5" t="s">
        <v>723</v>
      </c>
      <c r="B40" s="5" t="s">
        <v>724</v>
      </c>
      <c r="C40" s="6">
        <v>45315</v>
      </c>
      <c r="D40" s="5">
        <v>19</v>
      </c>
      <c r="E40" s="5" t="s">
        <v>20</v>
      </c>
      <c r="F40" s="5" t="s">
        <v>76</v>
      </c>
      <c r="G40" s="5" t="s">
        <v>46</v>
      </c>
      <c r="H40" s="7">
        <v>471.56</v>
      </c>
      <c r="I40" s="3">
        <v>1</v>
      </c>
      <c r="J40" s="4">
        <v>0</v>
      </c>
      <c r="K40" s="7">
        <v>471.56</v>
      </c>
      <c r="L40" s="5" t="s">
        <v>692</v>
      </c>
      <c r="M40" s="5" t="s">
        <v>29</v>
      </c>
      <c r="N40" s="3">
        <v>5</v>
      </c>
      <c r="O40" s="3">
        <v>10</v>
      </c>
      <c r="P40" s="5" t="b">
        <v>0</v>
      </c>
      <c r="Q40" s="3">
        <v>7</v>
      </c>
      <c r="R40" s="3">
        <v>5</v>
      </c>
      <c r="T40">
        <f t="shared" si="0"/>
        <v>1</v>
      </c>
    </row>
    <row r="41" spans="1:20">
      <c r="A41" s="5" t="s">
        <v>344</v>
      </c>
      <c r="B41" s="5" t="s">
        <v>345</v>
      </c>
      <c r="C41" s="6">
        <v>45339</v>
      </c>
      <c r="D41" s="5">
        <v>37</v>
      </c>
      <c r="E41" s="5" t="s">
        <v>20</v>
      </c>
      <c r="F41" s="5" t="s">
        <v>21</v>
      </c>
      <c r="G41" s="5" t="s">
        <v>37</v>
      </c>
      <c r="H41" s="7">
        <v>91.66</v>
      </c>
      <c r="I41" s="3">
        <v>4</v>
      </c>
      <c r="J41" s="4">
        <v>4.7699999999999996</v>
      </c>
      <c r="K41" s="7">
        <v>361.87</v>
      </c>
      <c r="L41" s="5" t="s">
        <v>327</v>
      </c>
      <c r="M41" s="5" t="s">
        <v>33</v>
      </c>
      <c r="N41" s="3">
        <v>12</v>
      </c>
      <c r="O41" s="3">
        <v>7</v>
      </c>
      <c r="P41" s="5" t="b">
        <v>0</v>
      </c>
      <c r="Q41" s="3">
        <v>2</v>
      </c>
      <c r="R41" s="3">
        <v>5</v>
      </c>
      <c r="T41">
        <f t="shared" si="0"/>
        <v>1</v>
      </c>
    </row>
    <row r="42" spans="1:20">
      <c r="A42" s="5" t="s">
        <v>346</v>
      </c>
      <c r="B42" s="5" t="s">
        <v>347</v>
      </c>
      <c r="C42" s="6">
        <v>45008</v>
      </c>
      <c r="D42" s="5">
        <v>43</v>
      </c>
      <c r="E42" s="5" t="s">
        <v>36</v>
      </c>
      <c r="F42" s="5" t="s">
        <v>27</v>
      </c>
      <c r="G42" s="5" t="s">
        <v>46</v>
      </c>
      <c r="H42" s="7">
        <v>1255.68</v>
      </c>
      <c r="I42" s="3">
        <v>3</v>
      </c>
      <c r="J42" s="4">
        <v>0</v>
      </c>
      <c r="K42" s="7">
        <v>3767.04</v>
      </c>
      <c r="L42" s="5" t="s">
        <v>327</v>
      </c>
      <c r="M42" s="5" t="s">
        <v>24</v>
      </c>
      <c r="N42" s="3">
        <v>22</v>
      </c>
      <c r="O42" s="3">
        <v>9</v>
      </c>
      <c r="P42" s="5" t="b">
        <v>0</v>
      </c>
      <c r="Q42" s="3">
        <v>6</v>
      </c>
      <c r="R42" s="3">
        <v>4</v>
      </c>
      <c r="T42">
        <f t="shared" si="0"/>
        <v>1</v>
      </c>
    </row>
    <row r="43" spans="1:20">
      <c r="A43" s="5" t="s">
        <v>38</v>
      </c>
      <c r="B43" s="5" t="s">
        <v>39</v>
      </c>
      <c r="C43" s="6">
        <v>45284</v>
      </c>
      <c r="D43" s="5">
        <v>37</v>
      </c>
      <c r="E43" s="5" t="s">
        <v>36</v>
      </c>
      <c r="F43" s="5" t="s">
        <v>21</v>
      </c>
      <c r="G43" s="5" t="s">
        <v>22</v>
      </c>
      <c r="H43" s="7">
        <v>389.46</v>
      </c>
      <c r="I43" s="3">
        <v>3</v>
      </c>
      <c r="J43" s="4">
        <v>109.42</v>
      </c>
      <c r="K43" s="7">
        <v>1058.96</v>
      </c>
      <c r="L43" s="5" t="s">
        <v>23</v>
      </c>
      <c r="M43" s="5" t="s">
        <v>33</v>
      </c>
      <c r="N43" s="3">
        <v>8</v>
      </c>
      <c r="O43" s="3">
        <v>6</v>
      </c>
      <c r="P43" s="5" t="b">
        <v>1</v>
      </c>
      <c r="Q43" s="3">
        <v>6</v>
      </c>
      <c r="R43" s="3">
        <v>4</v>
      </c>
      <c r="T43">
        <f t="shared" si="0"/>
        <v>1</v>
      </c>
    </row>
    <row r="44" spans="1:20">
      <c r="A44" s="5" t="s">
        <v>725</v>
      </c>
      <c r="B44" s="5" t="s">
        <v>726</v>
      </c>
      <c r="C44" s="6">
        <v>45143</v>
      </c>
      <c r="D44" s="5">
        <v>33</v>
      </c>
      <c r="E44" s="5" t="s">
        <v>36</v>
      </c>
      <c r="F44" s="5" t="s">
        <v>32</v>
      </c>
      <c r="G44" s="5" t="s">
        <v>28</v>
      </c>
      <c r="H44" s="7">
        <v>130.09</v>
      </c>
      <c r="I44" s="3">
        <v>5</v>
      </c>
      <c r="J44" s="4">
        <v>0</v>
      </c>
      <c r="K44" s="7">
        <v>650.45000000000005</v>
      </c>
      <c r="L44" s="5" t="s">
        <v>692</v>
      </c>
      <c r="M44" s="5" t="s">
        <v>29</v>
      </c>
      <c r="N44" s="3">
        <v>4</v>
      </c>
      <c r="O44" s="3">
        <v>12</v>
      </c>
      <c r="P44" s="5" t="b">
        <v>1</v>
      </c>
      <c r="Q44" s="3">
        <v>3</v>
      </c>
      <c r="R44" s="3">
        <v>5</v>
      </c>
      <c r="T44">
        <f t="shared" si="0"/>
        <v>1</v>
      </c>
    </row>
    <row r="45" spans="1:20">
      <c r="A45" s="5" t="s">
        <v>1232</v>
      </c>
      <c r="B45" s="5" t="s">
        <v>1233</v>
      </c>
      <c r="C45" s="6">
        <v>45101</v>
      </c>
      <c r="D45" s="5">
        <v>31</v>
      </c>
      <c r="E45" s="5" t="s">
        <v>36</v>
      </c>
      <c r="F45" s="5" t="s">
        <v>32</v>
      </c>
      <c r="G45" s="5" t="s">
        <v>22</v>
      </c>
      <c r="H45" s="7">
        <v>376.78</v>
      </c>
      <c r="I45" s="3">
        <v>1</v>
      </c>
      <c r="J45" s="4">
        <v>105.42</v>
      </c>
      <c r="K45" s="7">
        <v>271.36</v>
      </c>
      <c r="L45" s="5" t="s">
        <v>1231</v>
      </c>
      <c r="M45" s="5" t="s">
        <v>29</v>
      </c>
      <c r="N45" s="3">
        <v>32</v>
      </c>
      <c r="O45" s="3">
        <v>16</v>
      </c>
      <c r="P45" s="5" t="b">
        <v>0</v>
      </c>
      <c r="Q45" s="3">
        <v>4</v>
      </c>
      <c r="R45" s="3">
        <v>5</v>
      </c>
      <c r="T45">
        <f t="shared" si="0"/>
        <v>1</v>
      </c>
    </row>
    <row r="46" spans="1:20">
      <c r="A46" s="5" t="s">
        <v>40</v>
      </c>
      <c r="B46" s="5" t="s">
        <v>41</v>
      </c>
      <c r="C46" s="6">
        <v>45069</v>
      </c>
      <c r="D46" s="5">
        <v>18</v>
      </c>
      <c r="E46" s="5" t="s">
        <v>36</v>
      </c>
      <c r="F46" s="5" t="s">
        <v>21</v>
      </c>
      <c r="G46" s="5" t="s">
        <v>22</v>
      </c>
      <c r="H46" s="7">
        <v>133.09</v>
      </c>
      <c r="I46" s="3">
        <v>2</v>
      </c>
      <c r="J46" s="4">
        <v>24.74</v>
      </c>
      <c r="K46" s="7">
        <v>241.44</v>
      </c>
      <c r="L46" s="5" t="s">
        <v>23</v>
      </c>
      <c r="M46" s="5" t="s">
        <v>33</v>
      </c>
      <c r="N46" s="3">
        <v>12</v>
      </c>
      <c r="O46" s="3">
        <v>7</v>
      </c>
      <c r="P46" s="5" t="b">
        <v>1</v>
      </c>
      <c r="Q46" s="3">
        <v>4</v>
      </c>
      <c r="R46" s="3">
        <v>5</v>
      </c>
      <c r="T46">
        <f t="shared" si="0"/>
        <v>1</v>
      </c>
    </row>
    <row r="47" spans="1:20">
      <c r="A47" s="5" t="s">
        <v>42</v>
      </c>
      <c r="B47" s="5" t="s">
        <v>43</v>
      </c>
      <c r="C47" s="6">
        <v>45006</v>
      </c>
      <c r="D47" s="5">
        <v>26</v>
      </c>
      <c r="E47" s="5" t="s">
        <v>36</v>
      </c>
      <c r="F47" s="5" t="s">
        <v>27</v>
      </c>
      <c r="G47" s="5" t="s">
        <v>28</v>
      </c>
      <c r="H47" s="7">
        <v>140.24</v>
      </c>
      <c r="I47" s="3">
        <v>1</v>
      </c>
      <c r="J47" s="4">
        <v>0</v>
      </c>
      <c r="K47" s="7">
        <v>140.24</v>
      </c>
      <c r="L47" s="5" t="s">
        <v>23</v>
      </c>
      <c r="M47" s="5" t="s">
        <v>24</v>
      </c>
      <c r="N47" s="3">
        <v>19</v>
      </c>
      <c r="O47" s="3">
        <v>8</v>
      </c>
      <c r="P47" s="5" t="b">
        <v>1</v>
      </c>
      <c r="Q47" s="3">
        <v>5</v>
      </c>
      <c r="R47" s="3">
        <v>3</v>
      </c>
      <c r="T47">
        <f t="shared" si="0"/>
        <v>1</v>
      </c>
    </row>
    <row r="48" spans="1:20">
      <c r="A48" s="5" t="s">
        <v>1313</v>
      </c>
      <c r="B48" s="5" t="s">
        <v>1314</v>
      </c>
      <c r="C48" s="6">
        <v>45037</v>
      </c>
      <c r="D48" s="5">
        <v>29</v>
      </c>
      <c r="E48" s="5" t="s">
        <v>20</v>
      </c>
      <c r="F48" s="5" t="s">
        <v>73</v>
      </c>
      <c r="G48" s="5" t="s">
        <v>37</v>
      </c>
      <c r="H48" s="7">
        <v>67.209999999999994</v>
      </c>
      <c r="I48" s="3">
        <v>3</v>
      </c>
      <c r="J48" s="4">
        <v>18.55</v>
      </c>
      <c r="K48" s="7">
        <v>183.08</v>
      </c>
      <c r="L48" s="5" t="s">
        <v>1298</v>
      </c>
      <c r="M48" s="5" t="s">
        <v>24</v>
      </c>
      <c r="N48" s="3">
        <v>22</v>
      </c>
      <c r="O48" s="3">
        <v>12</v>
      </c>
      <c r="P48" s="5" t="b">
        <v>1</v>
      </c>
      <c r="Q48" s="3">
        <v>4</v>
      </c>
      <c r="R48" s="3">
        <v>4</v>
      </c>
      <c r="T48">
        <f t="shared" si="0"/>
        <v>1</v>
      </c>
    </row>
    <row r="49" spans="1:20">
      <c r="A49" s="5" t="s">
        <v>1234</v>
      </c>
      <c r="B49" s="5" t="s">
        <v>1235</v>
      </c>
      <c r="C49" s="6">
        <v>45317</v>
      </c>
      <c r="D49" s="5">
        <v>47</v>
      </c>
      <c r="E49" s="5" t="s">
        <v>20</v>
      </c>
      <c r="F49" s="5" t="s">
        <v>49</v>
      </c>
      <c r="G49" s="5" t="s">
        <v>37</v>
      </c>
      <c r="H49" s="7">
        <v>139.34</v>
      </c>
      <c r="I49" s="3">
        <v>1</v>
      </c>
      <c r="J49" s="4">
        <v>0</v>
      </c>
      <c r="K49" s="7">
        <v>139.34</v>
      </c>
      <c r="L49" s="5" t="s">
        <v>1231</v>
      </c>
      <c r="M49" s="5" t="s">
        <v>33</v>
      </c>
      <c r="N49" s="3">
        <v>4</v>
      </c>
      <c r="O49" s="3">
        <v>7</v>
      </c>
      <c r="P49" s="5" t="b">
        <v>1</v>
      </c>
      <c r="Q49" s="3">
        <v>4</v>
      </c>
      <c r="R49" s="3">
        <v>4</v>
      </c>
      <c r="T49">
        <f t="shared" si="0"/>
        <v>1</v>
      </c>
    </row>
    <row r="50" spans="1:20">
      <c r="A50" s="5" t="s">
        <v>727</v>
      </c>
      <c r="B50" s="5" t="s">
        <v>728</v>
      </c>
      <c r="C50" s="6">
        <v>45099</v>
      </c>
      <c r="D50" s="5">
        <v>39</v>
      </c>
      <c r="E50" s="5" t="s">
        <v>20</v>
      </c>
      <c r="F50" s="5" t="s">
        <v>52</v>
      </c>
      <c r="G50" s="5" t="s">
        <v>28</v>
      </c>
      <c r="H50" s="7">
        <v>133.13999999999999</v>
      </c>
      <c r="I50" s="3">
        <v>2</v>
      </c>
      <c r="J50" s="4">
        <v>0</v>
      </c>
      <c r="K50" s="7">
        <v>266.27999999999997</v>
      </c>
      <c r="L50" s="5" t="s">
        <v>692</v>
      </c>
      <c r="M50" s="5" t="s">
        <v>33</v>
      </c>
      <c r="N50" s="3">
        <v>7</v>
      </c>
      <c r="O50" s="3">
        <v>11</v>
      </c>
      <c r="P50" s="5" t="b">
        <v>1</v>
      </c>
      <c r="Q50" s="3">
        <v>2</v>
      </c>
      <c r="R50" s="3">
        <v>5</v>
      </c>
      <c r="T50">
        <f t="shared" si="0"/>
        <v>1</v>
      </c>
    </row>
    <row r="51" spans="1:20">
      <c r="A51" s="5" t="s">
        <v>44</v>
      </c>
      <c r="B51" s="5" t="s">
        <v>45</v>
      </c>
      <c r="C51" s="6">
        <v>44979</v>
      </c>
      <c r="D51" s="5">
        <v>18</v>
      </c>
      <c r="E51" s="5" t="s">
        <v>36</v>
      </c>
      <c r="F51" s="5" t="s">
        <v>21</v>
      </c>
      <c r="G51" s="5" t="s">
        <v>46</v>
      </c>
      <c r="H51" s="7">
        <v>466.79</v>
      </c>
      <c r="I51" s="3">
        <v>2</v>
      </c>
      <c r="J51" s="4">
        <v>0</v>
      </c>
      <c r="K51" s="7">
        <v>933.58</v>
      </c>
      <c r="L51" s="5" t="s">
        <v>23</v>
      </c>
      <c r="M51" s="5" t="s">
        <v>33</v>
      </c>
      <c r="N51" s="3">
        <v>13</v>
      </c>
      <c r="O51" s="3">
        <v>10</v>
      </c>
      <c r="P51" s="5" t="b">
        <v>1</v>
      </c>
      <c r="Q51" s="3">
        <v>9</v>
      </c>
      <c r="R51" s="3">
        <v>5</v>
      </c>
      <c r="T51">
        <f t="shared" si="0"/>
        <v>1</v>
      </c>
    </row>
    <row r="52" spans="1:20">
      <c r="A52" s="5" t="s">
        <v>729</v>
      </c>
      <c r="B52" s="5" t="s">
        <v>730</v>
      </c>
      <c r="C52" s="6">
        <v>44974</v>
      </c>
      <c r="D52" s="5">
        <v>38</v>
      </c>
      <c r="E52" s="5" t="s">
        <v>36</v>
      </c>
      <c r="F52" s="5" t="s">
        <v>32</v>
      </c>
      <c r="G52" s="5" t="s">
        <v>64</v>
      </c>
      <c r="H52" s="7">
        <v>1222.3699999999999</v>
      </c>
      <c r="I52" s="3">
        <v>1</v>
      </c>
      <c r="J52" s="4">
        <v>0</v>
      </c>
      <c r="K52" s="7">
        <v>1222.3699999999999</v>
      </c>
      <c r="L52" s="5" t="s">
        <v>692</v>
      </c>
      <c r="M52" s="5" t="s">
        <v>33</v>
      </c>
      <c r="N52" s="3">
        <v>10</v>
      </c>
      <c r="O52" s="3">
        <v>10</v>
      </c>
      <c r="P52" s="5" t="b">
        <v>0</v>
      </c>
      <c r="Q52" s="3">
        <v>4</v>
      </c>
      <c r="R52" s="3">
        <v>4</v>
      </c>
      <c r="T52">
        <f t="shared" si="0"/>
        <v>1</v>
      </c>
    </row>
    <row r="53" spans="1:20">
      <c r="A53" s="5" t="s">
        <v>348</v>
      </c>
      <c r="B53" s="5" t="s">
        <v>349</v>
      </c>
      <c r="C53" s="6">
        <v>45121</v>
      </c>
      <c r="D53" s="5">
        <v>30</v>
      </c>
      <c r="E53" s="5" t="s">
        <v>36</v>
      </c>
      <c r="F53" s="5" t="s">
        <v>59</v>
      </c>
      <c r="G53" s="5" t="s">
        <v>37</v>
      </c>
      <c r="H53" s="7">
        <v>114.86</v>
      </c>
      <c r="I53" s="3">
        <v>1</v>
      </c>
      <c r="J53" s="4">
        <v>13.4</v>
      </c>
      <c r="K53" s="7">
        <v>101.46</v>
      </c>
      <c r="L53" s="5" t="s">
        <v>327</v>
      </c>
      <c r="M53" s="5" t="s">
        <v>33</v>
      </c>
      <c r="N53" s="3">
        <v>7</v>
      </c>
      <c r="O53" s="3">
        <v>11</v>
      </c>
      <c r="P53" s="5" t="b">
        <v>1</v>
      </c>
      <c r="Q53" s="3">
        <v>5</v>
      </c>
      <c r="R53" s="3">
        <v>5</v>
      </c>
      <c r="T53">
        <f t="shared" si="0"/>
        <v>1</v>
      </c>
    </row>
    <row r="54" spans="1:20">
      <c r="A54" s="5" t="s">
        <v>731</v>
      </c>
      <c r="B54" s="5" t="s">
        <v>732</v>
      </c>
      <c r="C54" s="6">
        <v>44976</v>
      </c>
      <c r="D54" s="5">
        <v>26</v>
      </c>
      <c r="E54" s="5" t="s">
        <v>20</v>
      </c>
      <c r="F54" s="5" t="s">
        <v>83</v>
      </c>
      <c r="G54" s="5" t="s">
        <v>46</v>
      </c>
      <c r="H54" s="7">
        <v>675.54</v>
      </c>
      <c r="I54" s="3">
        <v>2</v>
      </c>
      <c r="J54" s="4">
        <v>0</v>
      </c>
      <c r="K54" s="7">
        <v>1351.08</v>
      </c>
      <c r="L54" s="5" t="s">
        <v>692</v>
      </c>
      <c r="M54" s="5" t="s">
        <v>33</v>
      </c>
      <c r="N54" s="3">
        <v>16</v>
      </c>
      <c r="O54" s="3">
        <v>8</v>
      </c>
      <c r="P54" s="5" t="b">
        <v>1</v>
      </c>
      <c r="Q54" s="3">
        <v>11</v>
      </c>
      <c r="R54" s="3">
        <v>1</v>
      </c>
      <c r="T54">
        <f t="shared" si="0"/>
        <v>1</v>
      </c>
    </row>
    <row r="55" spans="1:20">
      <c r="A55" s="5" t="s">
        <v>350</v>
      </c>
      <c r="B55" s="5" t="s">
        <v>351</v>
      </c>
      <c r="C55" s="6">
        <v>45110</v>
      </c>
      <c r="D55" s="5">
        <v>42</v>
      </c>
      <c r="E55" s="5" t="s">
        <v>36</v>
      </c>
      <c r="F55" s="5" t="s">
        <v>21</v>
      </c>
      <c r="G55" s="5" t="s">
        <v>64</v>
      </c>
      <c r="H55" s="7">
        <v>3314.93</v>
      </c>
      <c r="I55" s="3">
        <v>1</v>
      </c>
      <c r="J55" s="4">
        <v>0</v>
      </c>
      <c r="K55" s="7">
        <v>3314.93</v>
      </c>
      <c r="L55" s="5" t="s">
        <v>327</v>
      </c>
      <c r="M55" s="5" t="s">
        <v>33</v>
      </c>
      <c r="N55" s="3">
        <v>16</v>
      </c>
      <c r="O55" s="3">
        <v>8</v>
      </c>
      <c r="P55" s="5" t="b">
        <v>1</v>
      </c>
      <c r="Q55" s="3">
        <v>3</v>
      </c>
      <c r="R55" s="3">
        <v>5</v>
      </c>
      <c r="T55">
        <f t="shared" si="0"/>
        <v>1</v>
      </c>
    </row>
    <row r="56" spans="1:20">
      <c r="A56" s="5" t="s">
        <v>352</v>
      </c>
      <c r="B56" s="5" t="s">
        <v>353</v>
      </c>
      <c r="C56" s="6">
        <v>45360</v>
      </c>
      <c r="D56" s="5">
        <v>47</v>
      </c>
      <c r="E56" s="5" t="s">
        <v>20</v>
      </c>
      <c r="F56" s="5" t="s">
        <v>32</v>
      </c>
      <c r="G56" s="5" t="s">
        <v>28</v>
      </c>
      <c r="H56" s="7">
        <v>117.66</v>
      </c>
      <c r="I56" s="3">
        <v>5</v>
      </c>
      <c r="J56" s="4">
        <v>21.1</v>
      </c>
      <c r="K56" s="7">
        <v>567.20000000000005</v>
      </c>
      <c r="L56" s="5" t="s">
        <v>327</v>
      </c>
      <c r="M56" s="5" t="s">
        <v>24</v>
      </c>
      <c r="N56" s="3">
        <v>15</v>
      </c>
      <c r="O56" s="3">
        <v>14</v>
      </c>
      <c r="P56" s="5" t="b">
        <v>1</v>
      </c>
      <c r="Q56" s="3">
        <v>4</v>
      </c>
      <c r="R56" s="3">
        <v>3</v>
      </c>
      <c r="T56">
        <f t="shared" si="0"/>
        <v>1</v>
      </c>
    </row>
    <row r="57" spans="1:20">
      <c r="A57" s="5" t="s">
        <v>354</v>
      </c>
      <c r="B57" s="5" t="s">
        <v>355</v>
      </c>
      <c r="C57" s="6">
        <v>45103</v>
      </c>
      <c r="D57" s="5">
        <v>46</v>
      </c>
      <c r="E57" s="5" t="s">
        <v>20</v>
      </c>
      <c r="F57" s="5" t="s">
        <v>32</v>
      </c>
      <c r="G57" s="5" t="s">
        <v>22</v>
      </c>
      <c r="H57" s="7">
        <v>112.19</v>
      </c>
      <c r="I57" s="3">
        <v>2</v>
      </c>
      <c r="J57" s="4">
        <v>24.94</v>
      </c>
      <c r="K57" s="7">
        <v>199.44</v>
      </c>
      <c r="L57" s="5" t="s">
        <v>327</v>
      </c>
      <c r="M57" s="5" t="s">
        <v>33</v>
      </c>
      <c r="N57" s="3">
        <v>14</v>
      </c>
      <c r="O57" s="3">
        <v>6</v>
      </c>
      <c r="P57" s="5" t="b">
        <v>1</v>
      </c>
      <c r="Q57" s="3">
        <v>7</v>
      </c>
      <c r="R57" s="3">
        <v>5</v>
      </c>
      <c r="T57">
        <f t="shared" si="0"/>
        <v>1</v>
      </c>
    </row>
    <row r="58" spans="1:20">
      <c r="A58" s="5" t="s">
        <v>47</v>
      </c>
      <c r="B58" s="5" t="s">
        <v>48</v>
      </c>
      <c r="C58" s="6">
        <v>45236</v>
      </c>
      <c r="D58" s="5">
        <v>24</v>
      </c>
      <c r="E58" s="5" t="s">
        <v>36</v>
      </c>
      <c r="F58" s="5" t="s">
        <v>49</v>
      </c>
      <c r="G58" s="5" t="s">
        <v>37</v>
      </c>
      <c r="H58" s="7">
        <v>118.75</v>
      </c>
      <c r="I58" s="3">
        <v>1</v>
      </c>
      <c r="J58" s="4">
        <v>20.87</v>
      </c>
      <c r="K58" s="7">
        <v>97.88</v>
      </c>
      <c r="L58" s="5" t="s">
        <v>23</v>
      </c>
      <c r="M58" s="5" t="s">
        <v>29</v>
      </c>
      <c r="N58" s="3">
        <v>16</v>
      </c>
      <c r="O58" s="3">
        <v>9</v>
      </c>
      <c r="P58" s="5" t="b">
        <v>0</v>
      </c>
      <c r="Q58" s="3">
        <v>8</v>
      </c>
      <c r="R58" s="3">
        <v>2</v>
      </c>
      <c r="T58">
        <f t="shared" si="0"/>
        <v>1</v>
      </c>
    </row>
    <row r="59" spans="1:20">
      <c r="A59" s="5" t="s">
        <v>356</v>
      </c>
      <c r="B59" s="5" t="s">
        <v>357</v>
      </c>
      <c r="C59" s="6">
        <v>45062</v>
      </c>
      <c r="D59" s="5">
        <v>31</v>
      </c>
      <c r="E59" s="5" t="s">
        <v>36</v>
      </c>
      <c r="F59" s="5" t="s">
        <v>73</v>
      </c>
      <c r="G59" s="5" t="s">
        <v>56</v>
      </c>
      <c r="H59" s="7">
        <v>211.08</v>
      </c>
      <c r="I59" s="3">
        <v>4</v>
      </c>
      <c r="J59" s="4">
        <v>0</v>
      </c>
      <c r="K59" s="7">
        <v>844.32</v>
      </c>
      <c r="L59" s="5" t="s">
        <v>327</v>
      </c>
      <c r="M59" s="5" t="s">
        <v>33</v>
      </c>
      <c r="N59" s="3">
        <v>21</v>
      </c>
      <c r="O59" s="3">
        <v>11</v>
      </c>
      <c r="P59" s="5" t="b">
        <v>1</v>
      </c>
      <c r="Q59" s="3">
        <v>3</v>
      </c>
      <c r="R59" s="3">
        <v>2</v>
      </c>
      <c r="T59">
        <f t="shared" si="0"/>
        <v>1</v>
      </c>
    </row>
    <row r="60" spans="1:20">
      <c r="A60" s="5" t="s">
        <v>733</v>
      </c>
      <c r="B60" s="5" t="s">
        <v>734</v>
      </c>
      <c r="C60" s="6">
        <v>45340</v>
      </c>
      <c r="D60" s="5">
        <v>38</v>
      </c>
      <c r="E60" s="5" t="s">
        <v>122</v>
      </c>
      <c r="F60" s="5" t="s">
        <v>59</v>
      </c>
      <c r="G60" s="5" t="s">
        <v>22</v>
      </c>
      <c r="H60" s="7">
        <v>187.42</v>
      </c>
      <c r="I60" s="3">
        <v>1</v>
      </c>
      <c r="J60" s="4">
        <v>0</v>
      </c>
      <c r="K60" s="7">
        <v>187.42</v>
      </c>
      <c r="L60" s="5" t="s">
        <v>692</v>
      </c>
      <c r="M60" s="5" t="s">
        <v>24</v>
      </c>
      <c r="N60" s="3">
        <v>9</v>
      </c>
      <c r="O60" s="3">
        <v>9</v>
      </c>
      <c r="P60" s="5" t="b">
        <v>0</v>
      </c>
      <c r="Q60" s="3">
        <v>6</v>
      </c>
      <c r="R60" s="3">
        <v>1</v>
      </c>
      <c r="T60">
        <f t="shared" si="0"/>
        <v>1</v>
      </c>
    </row>
    <row r="61" spans="1:20">
      <c r="A61" s="5" t="s">
        <v>50</v>
      </c>
      <c r="B61" s="5" t="s">
        <v>51</v>
      </c>
      <c r="C61" s="6">
        <v>44949</v>
      </c>
      <c r="D61" s="5">
        <v>46</v>
      </c>
      <c r="E61" s="5" t="s">
        <v>20</v>
      </c>
      <c r="F61" s="5" t="s">
        <v>52</v>
      </c>
      <c r="G61" s="5" t="s">
        <v>53</v>
      </c>
      <c r="H61" s="7">
        <v>19.739999999999998</v>
      </c>
      <c r="I61" s="3">
        <v>1</v>
      </c>
      <c r="J61" s="4">
        <v>0</v>
      </c>
      <c r="K61" s="7">
        <v>19.739999999999998</v>
      </c>
      <c r="L61" s="5" t="s">
        <v>23</v>
      </c>
      <c r="M61" s="5" t="s">
        <v>33</v>
      </c>
      <c r="N61" s="3">
        <v>28</v>
      </c>
      <c r="O61" s="3">
        <v>8</v>
      </c>
      <c r="P61" s="5" t="b">
        <v>1</v>
      </c>
      <c r="Q61" s="3">
        <v>3</v>
      </c>
      <c r="R61" s="3">
        <v>5</v>
      </c>
      <c r="T61">
        <f t="shared" si="0"/>
        <v>1</v>
      </c>
    </row>
    <row r="62" spans="1:20">
      <c r="A62" s="5" t="s">
        <v>358</v>
      </c>
      <c r="B62" s="5" t="s">
        <v>359</v>
      </c>
      <c r="C62" s="6">
        <v>45300</v>
      </c>
      <c r="D62" s="5">
        <v>29</v>
      </c>
      <c r="E62" s="5" t="s">
        <v>36</v>
      </c>
      <c r="F62" s="5" t="s">
        <v>27</v>
      </c>
      <c r="G62" s="5" t="s">
        <v>64</v>
      </c>
      <c r="H62" s="7">
        <v>7159.45</v>
      </c>
      <c r="I62" s="3">
        <v>3</v>
      </c>
      <c r="J62" s="4">
        <v>0</v>
      </c>
      <c r="K62" s="7">
        <v>21478.35</v>
      </c>
      <c r="L62" s="5" t="s">
        <v>327</v>
      </c>
      <c r="M62" s="5" t="s">
        <v>33</v>
      </c>
      <c r="N62" s="3">
        <v>9</v>
      </c>
      <c r="O62" s="3">
        <v>8</v>
      </c>
      <c r="P62" s="5" t="b">
        <v>1</v>
      </c>
      <c r="Q62" s="3">
        <v>3</v>
      </c>
      <c r="R62" s="3">
        <v>4</v>
      </c>
      <c r="T62">
        <f t="shared" si="0"/>
        <v>1</v>
      </c>
    </row>
    <row r="63" spans="1:20">
      <c r="A63" s="5" t="s">
        <v>360</v>
      </c>
      <c r="B63" s="5" t="s">
        <v>361</v>
      </c>
      <c r="C63" s="6">
        <v>45162</v>
      </c>
      <c r="D63" s="5">
        <v>32</v>
      </c>
      <c r="E63" s="5" t="s">
        <v>20</v>
      </c>
      <c r="F63" s="5" t="s">
        <v>49</v>
      </c>
      <c r="G63" s="5" t="s">
        <v>56</v>
      </c>
      <c r="H63" s="7">
        <v>1218.98</v>
      </c>
      <c r="I63" s="3">
        <v>1</v>
      </c>
      <c r="J63" s="4">
        <v>0</v>
      </c>
      <c r="K63" s="7">
        <v>1218.98</v>
      </c>
      <c r="L63" s="5" t="s">
        <v>327</v>
      </c>
      <c r="M63" s="5" t="s">
        <v>33</v>
      </c>
      <c r="N63" s="3">
        <v>3</v>
      </c>
      <c r="O63" s="3">
        <v>11</v>
      </c>
      <c r="P63" s="5" t="b">
        <v>1</v>
      </c>
      <c r="Q63" s="3">
        <v>10</v>
      </c>
      <c r="R63" s="3">
        <v>4</v>
      </c>
      <c r="T63">
        <f t="shared" si="0"/>
        <v>1</v>
      </c>
    </row>
    <row r="64" spans="1:20">
      <c r="A64" s="5" t="s">
        <v>1236</v>
      </c>
      <c r="B64" s="5" t="s">
        <v>1237</v>
      </c>
      <c r="C64" s="6">
        <v>45201</v>
      </c>
      <c r="D64" s="5">
        <v>21</v>
      </c>
      <c r="E64" s="5" t="s">
        <v>20</v>
      </c>
      <c r="F64" s="5" t="s">
        <v>52</v>
      </c>
      <c r="G64" s="5" t="s">
        <v>22</v>
      </c>
      <c r="H64" s="7">
        <v>461.3</v>
      </c>
      <c r="I64" s="3">
        <v>2</v>
      </c>
      <c r="J64" s="4">
        <v>0</v>
      </c>
      <c r="K64" s="7">
        <v>922.6</v>
      </c>
      <c r="L64" s="5" t="s">
        <v>1231</v>
      </c>
      <c r="M64" s="5" t="s">
        <v>24</v>
      </c>
      <c r="N64" s="3">
        <v>13</v>
      </c>
      <c r="O64" s="3">
        <v>8</v>
      </c>
      <c r="P64" s="5" t="b">
        <v>1</v>
      </c>
      <c r="Q64" s="3">
        <v>4</v>
      </c>
      <c r="R64" s="3">
        <v>5</v>
      </c>
      <c r="T64">
        <f t="shared" si="0"/>
        <v>1</v>
      </c>
    </row>
    <row r="65" spans="1:20">
      <c r="A65" s="5" t="s">
        <v>735</v>
      </c>
      <c r="B65" s="5" t="s">
        <v>736</v>
      </c>
      <c r="C65" s="6">
        <v>44990</v>
      </c>
      <c r="D65" s="5">
        <v>20</v>
      </c>
      <c r="E65" s="5" t="s">
        <v>36</v>
      </c>
      <c r="F65" s="5" t="s">
        <v>73</v>
      </c>
      <c r="G65" s="5" t="s">
        <v>115</v>
      </c>
      <c r="H65" s="7">
        <v>137.93</v>
      </c>
      <c r="I65" s="3">
        <v>3</v>
      </c>
      <c r="J65" s="4">
        <v>36.19</v>
      </c>
      <c r="K65" s="7">
        <v>377.6</v>
      </c>
      <c r="L65" s="5" t="s">
        <v>692</v>
      </c>
      <c r="M65" s="5" t="s">
        <v>33</v>
      </c>
      <c r="N65" s="3">
        <v>11</v>
      </c>
      <c r="O65" s="3">
        <v>14</v>
      </c>
      <c r="P65" s="5" t="b">
        <v>1</v>
      </c>
      <c r="Q65" s="3">
        <v>11</v>
      </c>
      <c r="R65" s="3">
        <v>4</v>
      </c>
      <c r="T65">
        <f t="shared" si="0"/>
        <v>1</v>
      </c>
    </row>
    <row r="66" spans="1:20">
      <c r="A66" s="5" t="s">
        <v>362</v>
      </c>
      <c r="B66" s="5" t="s">
        <v>363</v>
      </c>
      <c r="C66" s="6">
        <v>45120</v>
      </c>
      <c r="D66" s="5">
        <v>44</v>
      </c>
      <c r="E66" s="5" t="s">
        <v>36</v>
      </c>
      <c r="F66" s="5" t="s">
        <v>32</v>
      </c>
      <c r="G66" s="5" t="s">
        <v>37</v>
      </c>
      <c r="H66" s="7">
        <v>164.43</v>
      </c>
      <c r="I66" s="3">
        <v>1</v>
      </c>
      <c r="J66" s="4">
        <v>0</v>
      </c>
      <c r="K66" s="7">
        <v>164.43</v>
      </c>
      <c r="L66" s="5" t="s">
        <v>327</v>
      </c>
      <c r="M66" s="5" t="s">
        <v>24</v>
      </c>
      <c r="N66" s="3">
        <v>6</v>
      </c>
      <c r="O66" s="3">
        <v>10</v>
      </c>
      <c r="P66" s="5" t="b">
        <v>1</v>
      </c>
      <c r="Q66" s="3">
        <v>3</v>
      </c>
      <c r="R66" s="3">
        <v>4</v>
      </c>
      <c r="T66">
        <f t="shared" si="0"/>
        <v>1</v>
      </c>
    </row>
    <row r="67" spans="1:20">
      <c r="A67" s="5" t="s">
        <v>54</v>
      </c>
      <c r="B67" s="5" t="s">
        <v>55</v>
      </c>
      <c r="C67" s="6">
        <v>44967</v>
      </c>
      <c r="D67" s="5">
        <v>51</v>
      </c>
      <c r="E67" s="5" t="s">
        <v>36</v>
      </c>
      <c r="F67" s="5" t="s">
        <v>21</v>
      </c>
      <c r="G67" s="5" t="s">
        <v>56</v>
      </c>
      <c r="H67" s="7">
        <v>672.23</v>
      </c>
      <c r="I67" s="3">
        <v>2</v>
      </c>
      <c r="J67" s="4">
        <v>0</v>
      </c>
      <c r="K67" s="7">
        <v>1344.46</v>
      </c>
      <c r="L67" s="5" t="s">
        <v>23</v>
      </c>
      <c r="M67" s="5" t="s">
        <v>24</v>
      </c>
      <c r="N67" s="3">
        <v>33</v>
      </c>
      <c r="O67" s="3">
        <v>10</v>
      </c>
      <c r="P67" s="5" t="b">
        <v>1</v>
      </c>
      <c r="Q67" s="3">
        <v>7</v>
      </c>
      <c r="R67" s="3">
        <v>4</v>
      </c>
      <c r="T67">
        <f t="shared" ref="T67:T130" si="1">COUNTIF(A67:A765,A67)</f>
        <v>1</v>
      </c>
    </row>
    <row r="68" spans="1:20">
      <c r="A68" s="5" t="s">
        <v>737</v>
      </c>
      <c r="B68" s="5" t="s">
        <v>738</v>
      </c>
      <c r="C68" s="6">
        <v>45209</v>
      </c>
      <c r="D68" s="5">
        <v>34</v>
      </c>
      <c r="E68" s="5" t="s">
        <v>20</v>
      </c>
      <c r="F68" s="5" t="s">
        <v>88</v>
      </c>
      <c r="G68" s="5" t="s">
        <v>46</v>
      </c>
      <c r="H68" s="7">
        <v>515.91999999999996</v>
      </c>
      <c r="I68" s="3">
        <v>3</v>
      </c>
      <c r="J68" s="4">
        <v>0</v>
      </c>
      <c r="K68" s="7">
        <v>1547.76</v>
      </c>
      <c r="L68" s="5" t="s">
        <v>692</v>
      </c>
      <c r="M68" s="5" t="s">
        <v>33</v>
      </c>
      <c r="N68" s="3">
        <v>14</v>
      </c>
      <c r="O68" s="3">
        <v>7</v>
      </c>
      <c r="P68" s="5" t="b">
        <v>1</v>
      </c>
      <c r="Q68" s="3">
        <v>3</v>
      </c>
      <c r="R68" s="3">
        <v>1</v>
      </c>
      <c r="T68">
        <f t="shared" si="1"/>
        <v>1</v>
      </c>
    </row>
    <row r="69" spans="1:20">
      <c r="A69" s="5" t="s">
        <v>739</v>
      </c>
      <c r="B69" s="5" t="s">
        <v>740</v>
      </c>
      <c r="C69" s="6">
        <v>45077</v>
      </c>
      <c r="D69" s="5">
        <v>47</v>
      </c>
      <c r="E69" s="5" t="s">
        <v>36</v>
      </c>
      <c r="F69" s="5" t="s">
        <v>21</v>
      </c>
      <c r="G69" s="5" t="s">
        <v>64</v>
      </c>
      <c r="H69" s="7">
        <v>3208.37</v>
      </c>
      <c r="I69" s="3">
        <v>1</v>
      </c>
      <c r="J69" s="4">
        <v>595.11</v>
      </c>
      <c r="K69" s="7">
        <v>2613.2600000000002</v>
      </c>
      <c r="L69" s="5" t="s">
        <v>692</v>
      </c>
      <c r="M69" s="5" t="s">
        <v>29</v>
      </c>
      <c r="N69" s="3">
        <v>14</v>
      </c>
      <c r="O69" s="3">
        <v>13</v>
      </c>
      <c r="P69" s="5" t="b">
        <v>1</v>
      </c>
      <c r="Q69" s="3">
        <v>5</v>
      </c>
      <c r="R69" s="3">
        <v>3</v>
      </c>
      <c r="T69">
        <f t="shared" si="1"/>
        <v>1</v>
      </c>
    </row>
    <row r="70" spans="1:20">
      <c r="A70" s="5" t="s">
        <v>57</v>
      </c>
      <c r="B70" s="5" t="s">
        <v>58</v>
      </c>
      <c r="C70" s="6">
        <v>45351</v>
      </c>
      <c r="D70" s="5">
        <v>39</v>
      </c>
      <c r="E70" s="5" t="s">
        <v>20</v>
      </c>
      <c r="F70" s="5" t="s">
        <v>59</v>
      </c>
      <c r="G70" s="5" t="s">
        <v>53</v>
      </c>
      <c r="H70" s="7">
        <v>103.32</v>
      </c>
      <c r="I70" s="3">
        <v>1</v>
      </c>
      <c r="J70" s="4">
        <v>0</v>
      </c>
      <c r="K70" s="7">
        <v>103.32</v>
      </c>
      <c r="L70" s="5" t="s">
        <v>23</v>
      </c>
      <c r="M70" s="5" t="s">
        <v>33</v>
      </c>
      <c r="N70" s="3">
        <v>18</v>
      </c>
      <c r="O70" s="3">
        <v>8</v>
      </c>
      <c r="P70" s="5" t="b">
        <v>1</v>
      </c>
      <c r="Q70" s="3">
        <v>1</v>
      </c>
      <c r="R70" s="3">
        <v>2</v>
      </c>
      <c r="T70">
        <f t="shared" si="1"/>
        <v>1</v>
      </c>
    </row>
    <row r="71" spans="1:20">
      <c r="A71" s="5" t="s">
        <v>741</v>
      </c>
      <c r="B71" s="5" t="s">
        <v>742</v>
      </c>
      <c r="C71" s="6">
        <v>45248</v>
      </c>
      <c r="D71" s="5">
        <v>27</v>
      </c>
      <c r="E71" s="5" t="s">
        <v>36</v>
      </c>
      <c r="F71" s="5" t="s">
        <v>73</v>
      </c>
      <c r="G71" s="5" t="s">
        <v>46</v>
      </c>
      <c r="H71" s="7">
        <v>213.31</v>
      </c>
      <c r="I71" s="3">
        <v>1</v>
      </c>
      <c r="J71" s="4">
        <v>19.59</v>
      </c>
      <c r="K71" s="7">
        <v>193.72</v>
      </c>
      <c r="L71" s="5" t="s">
        <v>692</v>
      </c>
      <c r="M71" s="5" t="s">
        <v>33</v>
      </c>
      <c r="N71" s="3">
        <v>27</v>
      </c>
      <c r="O71" s="3">
        <v>8</v>
      </c>
      <c r="P71" s="5" t="b">
        <v>1</v>
      </c>
      <c r="Q71" s="3">
        <v>7</v>
      </c>
      <c r="R71" s="3">
        <v>5</v>
      </c>
      <c r="T71">
        <f t="shared" si="1"/>
        <v>1</v>
      </c>
    </row>
    <row r="72" spans="1:20">
      <c r="A72" s="5" t="s">
        <v>364</v>
      </c>
      <c r="B72" s="5" t="s">
        <v>365</v>
      </c>
      <c r="C72" s="6">
        <v>45243</v>
      </c>
      <c r="D72" s="5">
        <v>39</v>
      </c>
      <c r="E72" s="5" t="s">
        <v>20</v>
      </c>
      <c r="F72" s="5" t="s">
        <v>32</v>
      </c>
      <c r="G72" s="5" t="s">
        <v>115</v>
      </c>
      <c r="H72" s="7">
        <v>52.97</v>
      </c>
      <c r="I72" s="3">
        <v>1</v>
      </c>
      <c r="J72" s="4">
        <v>0</v>
      </c>
      <c r="K72" s="7">
        <v>52.97</v>
      </c>
      <c r="L72" s="5" t="s">
        <v>327</v>
      </c>
      <c r="M72" s="5" t="s">
        <v>33</v>
      </c>
      <c r="N72" s="3">
        <v>12</v>
      </c>
      <c r="O72" s="3">
        <v>6</v>
      </c>
      <c r="P72" s="5" t="b">
        <v>1</v>
      </c>
      <c r="Q72" s="3">
        <v>4</v>
      </c>
      <c r="R72" s="3">
        <v>3</v>
      </c>
      <c r="T72">
        <f t="shared" si="1"/>
        <v>1</v>
      </c>
    </row>
    <row r="73" spans="1:20">
      <c r="A73" s="5" t="s">
        <v>366</v>
      </c>
      <c r="B73" s="5" t="s">
        <v>367</v>
      </c>
      <c r="C73" s="6">
        <v>45368</v>
      </c>
      <c r="D73" s="5">
        <v>53</v>
      </c>
      <c r="E73" s="5" t="s">
        <v>20</v>
      </c>
      <c r="F73" s="5" t="s">
        <v>73</v>
      </c>
      <c r="G73" s="5" t="s">
        <v>56</v>
      </c>
      <c r="H73" s="7">
        <v>604.92999999999995</v>
      </c>
      <c r="I73" s="3">
        <v>1</v>
      </c>
      <c r="J73" s="4">
        <v>0</v>
      </c>
      <c r="K73" s="7">
        <v>604.92999999999995</v>
      </c>
      <c r="L73" s="5" t="s">
        <v>327</v>
      </c>
      <c r="M73" s="5" t="s">
        <v>33</v>
      </c>
      <c r="N73" s="3">
        <v>9</v>
      </c>
      <c r="O73" s="3">
        <v>12</v>
      </c>
      <c r="P73" s="5" t="b">
        <v>1</v>
      </c>
      <c r="Q73" s="3">
        <v>5</v>
      </c>
      <c r="R73" s="3">
        <v>4</v>
      </c>
      <c r="T73">
        <f t="shared" si="1"/>
        <v>1</v>
      </c>
    </row>
    <row r="74" spans="1:20">
      <c r="A74" s="5" t="s">
        <v>60</v>
      </c>
      <c r="B74" s="5" t="s">
        <v>61</v>
      </c>
      <c r="C74" s="6">
        <v>45112</v>
      </c>
      <c r="D74" s="5">
        <v>34</v>
      </c>
      <c r="E74" s="5" t="s">
        <v>36</v>
      </c>
      <c r="F74" s="5" t="s">
        <v>21</v>
      </c>
      <c r="G74" s="5" t="s">
        <v>22</v>
      </c>
      <c r="H74" s="7">
        <v>437.59</v>
      </c>
      <c r="I74" s="3">
        <v>2</v>
      </c>
      <c r="J74" s="4">
        <v>0</v>
      </c>
      <c r="K74" s="7">
        <v>875.18</v>
      </c>
      <c r="L74" s="5" t="s">
        <v>23</v>
      </c>
      <c r="M74" s="5" t="s">
        <v>33</v>
      </c>
      <c r="N74" s="3">
        <v>10</v>
      </c>
      <c r="O74" s="3">
        <v>11</v>
      </c>
      <c r="P74" s="5" t="b">
        <v>1</v>
      </c>
      <c r="Q74" s="3">
        <v>4</v>
      </c>
      <c r="R74" s="3">
        <v>4</v>
      </c>
      <c r="T74">
        <f t="shared" si="1"/>
        <v>1</v>
      </c>
    </row>
    <row r="75" spans="1:20">
      <c r="A75" s="5" t="s">
        <v>62</v>
      </c>
      <c r="B75" s="5" t="s">
        <v>63</v>
      </c>
      <c r="C75" s="6">
        <v>45222</v>
      </c>
      <c r="D75" s="5">
        <v>53</v>
      </c>
      <c r="E75" s="5" t="s">
        <v>36</v>
      </c>
      <c r="F75" s="5" t="s">
        <v>52</v>
      </c>
      <c r="G75" s="5" t="s">
        <v>64</v>
      </c>
      <c r="H75" s="7">
        <v>772.83</v>
      </c>
      <c r="I75" s="3">
        <v>2</v>
      </c>
      <c r="J75" s="4">
        <v>0</v>
      </c>
      <c r="K75" s="7">
        <v>1545.66</v>
      </c>
      <c r="L75" s="5" t="s">
        <v>23</v>
      </c>
      <c r="M75" s="5" t="s">
        <v>33</v>
      </c>
      <c r="N75" s="3">
        <v>27</v>
      </c>
      <c r="O75" s="3">
        <v>7</v>
      </c>
      <c r="P75" s="5" t="b">
        <v>0</v>
      </c>
      <c r="Q75" s="3">
        <v>7</v>
      </c>
      <c r="R75" s="3">
        <v>3</v>
      </c>
      <c r="T75">
        <f t="shared" si="1"/>
        <v>1</v>
      </c>
    </row>
    <row r="76" spans="1:20">
      <c r="A76" s="5" t="s">
        <v>1315</v>
      </c>
      <c r="B76" s="5" t="s">
        <v>1316</v>
      </c>
      <c r="C76" s="6">
        <v>45025</v>
      </c>
      <c r="D76" s="5">
        <v>18</v>
      </c>
      <c r="E76" s="5" t="s">
        <v>20</v>
      </c>
      <c r="F76" s="5" t="s">
        <v>32</v>
      </c>
      <c r="G76" s="5" t="s">
        <v>37</v>
      </c>
      <c r="H76" s="7">
        <v>52.78</v>
      </c>
      <c r="I76" s="3">
        <v>5</v>
      </c>
      <c r="J76" s="4">
        <v>13.58</v>
      </c>
      <c r="K76" s="7">
        <v>250.32</v>
      </c>
      <c r="L76" s="5" t="s">
        <v>1298</v>
      </c>
      <c r="M76" s="5" t="s">
        <v>33</v>
      </c>
      <c r="N76" s="3">
        <v>24</v>
      </c>
      <c r="O76" s="3">
        <v>9</v>
      </c>
      <c r="P76" s="5" t="b">
        <v>0</v>
      </c>
      <c r="Q76" s="3">
        <v>4</v>
      </c>
      <c r="R76" s="3">
        <v>5</v>
      </c>
      <c r="T76">
        <f t="shared" si="1"/>
        <v>1</v>
      </c>
    </row>
    <row r="77" spans="1:20">
      <c r="A77" s="5" t="s">
        <v>743</v>
      </c>
      <c r="B77" s="5" t="s">
        <v>744</v>
      </c>
      <c r="C77" s="6">
        <v>45287</v>
      </c>
      <c r="D77" s="5">
        <v>44</v>
      </c>
      <c r="E77" s="5" t="s">
        <v>20</v>
      </c>
      <c r="F77" s="5" t="s">
        <v>21</v>
      </c>
      <c r="G77" s="5" t="s">
        <v>53</v>
      </c>
      <c r="H77" s="7">
        <v>21.9</v>
      </c>
      <c r="I77" s="3">
        <v>4</v>
      </c>
      <c r="J77" s="4">
        <v>4.97</v>
      </c>
      <c r="K77" s="7">
        <v>82.63</v>
      </c>
      <c r="L77" s="5" t="s">
        <v>692</v>
      </c>
      <c r="M77" s="5" t="s">
        <v>29</v>
      </c>
      <c r="N77" s="3">
        <v>34</v>
      </c>
      <c r="O77" s="3">
        <v>14</v>
      </c>
      <c r="P77" s="5" t="b">
        <v>1</v>
      </c>
      <c r="Q77" s="3">
        <v>6</v>
      </c>
      <c r="R77" s="3">
        <v>5</v>
      </c>
      <c r="T77">
        <f t="shared" si="1"/>
        <v>1</v>
      </c>
    </row>
    <row r="78" spans="1:20">
      <c r="A78" s="5" t="s">
        <v>65</v>
      </c>
      <c r="B78" s="5" t="s">
        <v>66</v>
      </c>
      <c r="C78" s="6">
        <v>44962</v>
      </c>
      <c r="D78" s="5">
        <v>36</v>
      </c>
      <c r="E78" s="5" t="s">
        <v>36</v>
      </c>
      <c r="F78" s="5" t="s">
        <v>32</v>
      </c>
      <c r="G78" s="5" t="s">
        <v>22</v>
      </c>
      <c r="H78" s="7">
        <v>165.02</v>
      </c>
      <c r="I78" s="3">
        <v>1</v>
      </c>
      <c r="J78" s="4">
        <v>0</v>
      </c>
      <c r="K78" s="7">
        <v>165.02</v>
      </c>
      <c r="L78" s="5" t="s">
        <v>23</v>
      </c>
      <c r="M78" s="5" t="s">
        <v>24</v>
      </c>
      <c r="N78" s="3">
        <v>7</v>
      </c>
      <c r="O78" s="3">
        <v>13</v>
      </c>
      <c r="P78" s="5" t="b">
        <v>1</v>
      </c>
      <c r="Q78" s="3">
        <v>3</v>
      </c>
      <c r="R78" s="3">
        <v>2</v>
      </c>
      <c r="T78">
        <f t="shared" si="1"/>
        <v>1</v>
      </c>
    </row>
    <row r="79" spans="1:20">
      <c r="A79" s="5" t="s">
        <v>67</v>
      </c>
      <c r="B79" s="5" t="s">
        <v>68</v>
      </c>
      <c r="C79" s="6">
        <v>44950</v>
      </c>
      <c r="D79" s="5">
        <v>31</v>
      </c>
      <c r="E79" s="5" t="s">
        <v>20</v>
      </c>
      <c r="F79" s="5" t="s">
        <v>32</v>
      </c>
      <c r="G79" s="5" t="s">
        <v>53</v>
      </c>
      <c r="H79" s="7">
        <v>39.770000000000003</v>
      </c>
      <c r="I79" s="3">
        <v>1</v>
      </c>
      <c r="J79" s="4">
        <v>0</v>
      </c>
      <c r="K79" s="7">
        <v>39.770000000000003</v>
      </c>
      <c r="L79" s="5" t="s">
        <v>23</v>
      </c>
      <c r="M79" s="5" t="s">
        <v>33</v>
      </c>
      <c r="N79" s="3">
        <v>12</v>
      </c>
      <c r="O79" s="3">
        <v>6</v>
      </c>
      <c r="P79" s="5" t="b">
        <v>0</v>
      </c>
      <c r="Q79" s="3">
        <v>9</v>
      </c>
      <c r="R79" s="3">
        <v>5</v>
      </c>
      <c r="T79">
        <f t="shared" si="1"/>
        <v>1</v>
      </c>
    </row>
    <row r="80" spans="1:20">
      <c r="A80" s="5" t="s">
        <v>745</v>
      </c>
      <c r="B80" s="5" t="s">
        <v>746</v>
      </c>
      <c r="C80" s="6">
        <v>45265</v>
      </c>
      <c r="D80" s="5">
        <v>36</v>
      </c>
      <c r="E80" s="5" t="s">
        <v>20</v>
      </c>
      <c r="F80" s="5" t="s">
        <v>21</v>
      </c>
      <c r="G80" s="5" t="s">
        <v>37</v>
      </c>
      <c r="H80" s="7">
        <v>232.93</v>
      </c>
      <c r="I80" s="3">
        <v>2</v>
      </c>
      <c r="J80" s="4">
        <v>0</v>
      </c>
      <c r="K80" s="7">
        <v>465.86</v>
      </c>
      <c r="L80" s="5" t="s">
        <v>692</v>
      </c>
      <c r="M80" s="5" t="s">
        <v>33</v>
      </c>
      <c r="N80" s="3">
        <v>11</v>
      </c>
      <c r="O80" s="3">
        <v>6</v>
      </c>
      <c r="P80" s="5" t="b">
        <v>1</v>
      </c>
      <c r="Q80" s="3">
        <v>4</v>
      </c>
      <c r="R80" s="3">
        <v>4</v>
      </c>
      <c r="T80">
        <f t="shared" si="1"/>
        <v>1</v>
      </c>
    </row>
    <row r="81" spans="1:20">
      <c r="A81" s="5" t="s">
        <v>1238</v>
      </c>
      <c r="B81" s="5" t="s">
        <v>1239</v>
      </c>
      <c r="C81" s="6">
        <v>45043</v>
      </c>
      <c r="D81" s="5">
        <v>18</v>
      </c>
      <c r="E81" s="5" t="s">
        <v>20</v>
      </c>
      <c r="F81" s="5" t="s">
        <v>52</v>
      </c>
      <c r="G81" s="5" t="s">
        <v>28</v>
      </c>
      <c r="H81" s="7">
        <v>252.16</v>
      </c>
      <c r="I81" s="3">
        <v>1</v>
      </c>
      <c r="J81" s="4">
        <v>0</v>
      </c>
      <c r="K81" s="7">
        <v>252.16</v>
      </c>
      <c r="L81" s="5" t="s">
        <v>1231</v>
      </c>
      <c r="M81" s="5" t="s">
        <v>24</v>
      </c>
      <c r="N81" s="3">
        <v>47</v>
      </c>
      <c r="O81" s="3">
        <v>9</v>
      </c>
      <c r="P81" s="5" t="b">
        <v>1</v>
      </c>
      <c r="Q81" s="3">
        <v>6</v>
      </c>
      <c r="R81" s="3">
        <v>5</v>
      </c>
      <c r="T81">
        <f t="shared" si="1"/>
        <v>1</v>
      </c>
    </row>
    <row r="82" spans="1:20">
      <c r="A82" s="5" t="s">
        <v>1317</v>
      </c>
      <c r="B82" s="5" t="s">
        <v>1318</v>
      </c>
      <c r="C82" s="6">
        <v>45322</v>
      </c>
      <c r="D82" s="5">
        <v>32</v>
      </c>
      <c r="E82" s="5" t="s">
        <v>20</v>
      </c>
      <c r="F82" s="5" t="s">
        <v>76</v>
      </c>
      <c r="G82" s="5" t="s">
        <v>64</v>
      </c>
      <c r="H82" s="7">
        <v>2699.1</v>
      </c>
      <c r="I82" s="3">
        <v>2</v>
      </c>
      <c r="J82" s="4">
        <v>480.87</v>
      </c>
      <c r="K82" s="7">
        <v>4917.33</v>
      </c>
      <c r="L82" s="5" t="s">
        <v>1298</v>
      </c>
      <c r="M82" s="5" t="s">
        <v>24</v>
      </c>
      <c r="N82" s="3">
        <v>23</v>
      </c>
      <c r="O82" s="3">
        <v>8</v>
      </c>
      <c r="P82" s="5" t="b">
        <v>0</v>
      </c>
      <c r="Q82" s="3">
        <v>11</v>
      </c>
      <c r="R82" s="3">
        <v>3</v>
      </c>
      <c r="T82">
        <f t="shared" si="1"/>
        <v>1</v>
      </c>
    </row>
    <row r="83" spans="1:20">
      <c r="A83" s="5" t="s">
        <v>747</v>
      </c>
      <c r="B83" s="5" t="s">
        <v>748</v>
      </c>
      <c r="C83" s="6">
        <v>45075</v>
      </c>
      <c r="D83" s="5">
        <v>39</v>
      </c>
      <c r="E83" s="5" t="s">
        <v>36</v>
      </c>
      <c r="F83" s="5" t="s">
        <v>52</v>
      </c>
      <c r="G83" s="5" t="s">
        <v>56</v>
      </c>
      <c r="H83" s="7">
        <v>255.73</v>
      </c>
      <c r="I83" s="3">
        <v>5</v>
      </c>
      <c r="J83" s="4">
        <v>0</v>
      </c>
      <c r="K83" s="7">
        <v>1278.6500000000001</v>
      </c>
      <c r="L83" s="5" t="s">
        <v>692</v>
      </c>
      <c r="M83" s="5" t="s">
        <v>33</v>
      </c>
      <c r="N83" s="3">
        <v>12</v>
      </c>
      <c r="O83" s="3">
        <v>6</v>
      </c>
      <c r="P83" s="5" t="b">
        <v>0</v>
      </c>
      <c r="Q83" s="3">
        <v>6</v>
      </c>
      <c r="R83" s="3">
        <v>3</v>
      </c>
      <c r="T83">
        <f t="shared" si="1"/>
        <v>1</v>
      </c>
    </row>
    <row r="84" spans="1:20">
      <c r="A84" s="5" t="s">
        <v>69</v>
      </c>
      <c r="B84" s="5" t="s">
        <v>70</v>
      </c>
      <c r="C84" s="6">
        <v>44967</v>
      </c>
      <c r="D84" s="5">
        <v>52</v>
      </c>
      <c r="E84" s="5" t="s">
        <v>36</v>
      </c>
      <c r="F84" s="5" t="s">
        <v>27</v>
      </c>
      <c r="G84" s="5" t="s">
        <v>53</v>
      </c>
      <c r="H84" s="7">
        <v>42.89</v>
      </c>
      <c r="I84" s="3">
        <v>1</v>
      </c>
      <c r="J84" s="4">
        <v>0</v>
      </c>
      <c r="K84" s="7">
        <v>42.89</v>
      </c>
      <c r="L84" s="5" t="s">
        <v>23</v>
      </c>
      <c r="M84" s="5" t="s">
        <v>24</v>
      </c>
      <c r="N84" s="3">
        <v>26</v>
      </c>
      <c r="O84" s="3">
        <v>10</v>
      </c>
      <c r="P84" s="5" t="b">
        <v>1</v>
      </c>
      <c r="Q84" s="3">
        <v>8</v>
      </c>
      <c r="R84" s="3">
        <v>5</v>
      </c>
      <c r="T84">
        <f t="shared" si="1"/>
        <v>1</v>
      </c>
    </row>
    <row r="85" spans="1:20">
      <c r="A85" s="5" t="s">
        <v>71</v>
      </c>
      <c r="B85" s="5" t="s">
        <v>72</v>
      </c>
      <c r="C85" s="6">
        <v>45364</v>
      </c>
      <c r="D85" s="5">
        <v>28</v>
      </c>
      <c r="E85" s="5" t="s">
        <v>36</v>
      </c>
      <c r="F85" s="5" t="s">
        <v>73</v>
      </c>
      <c r="G85" s="5" t="s">
        <v>64</v>
      </c>
      <c r="H85" s="7">
        <v>2289.9</v>
      </c>
      <c r="I85" s="3">
        <v>1</v>
      </c>
      <c r="J85" s="4">
        <v>0</v>
      </c>
      <c r="K85" s="7">
        <v>2289.9</v>
      </c>
      <c r="L85" s="5" t="s">
        <v>23</v>
      </c>
      <c r="M85" s="5" t="s">
        <v>33</v>
      </c>
      <c r="N85" s="3">
        <v>11</v>
      </c>
      <c r="O85" s="3">
        <v>8</v>
      </c>
      <c r="P85" s="5" t="b">
        <v>0</v>
      </c>
      <c r="Q85" s="3">
        <v>6</v>
      </c>
      <c r="R85" s="3">
        <v>5</v>
      </c>
      <c r="T85">
        <f t="shared" si="1"/>
        <v>1</v>
      </c>
    </row>
    <row r="86" spans="1:20">
      <c r="A86" s="5" t="s">
        <v>368</v>
      </c>
      <c r="B86" s="5" t="s">
        <v>369</v>
      </c>
      <c r="C86" s="6">
        <v>45046</v>
      </c>
      <c r="D86" s="5">
        <v>25</v>
      </c>
      <c r="E86" s="5" t="s">
        <v>122</v>
      </c>
      <c r="F86" s="5" t="s">
        <v>27</v>
      </c>
      <c r="G86" s="5" t="s">
        <v>53</v>
      </c>
      <c r="H86" s="7">
        <v>53.09</v>
      </c>
      <c r="I86" s="3">
        <v>5</v>
      </c>
      <c r="J86" s="4">
        <v>0</v>
      </c>
      <c r="K86" s="7">
        <v>265.45</v>
      </c>
      <c r="L86" s="5" t="s">
        <v>327</v>
      </c>
      <c r="M86" s="5" t="s">
        <v>33</v>
      </c>
      <c r="N86" s="3">
        <v>5</v>
      </c>
      <c r="O86" s="3">
        <v>3</v>
      </c>
      <c r="P86" s="5" t="b">
        <v>0</v>
      </c>
      <c r="Q86" s="3">
        <v>6</v>
      </c>
      <c r="R86" s="3">
        <v>4</v>
      </c>
      <c r="T86">
        <f t="shared" si="1"/>
        <v>1</v>
      </c>
    </row>
    <row r="87" spans="1:20">
      <c r="A87" s="5" t="s">
        <v>1319</v>
      </c>
      <c r="B87" s="5" t="s">
        <v>1320</v>
      </c>
      <c r="C87" s="6">
        <v>45370</v>
      </c>
      <c r="D87" s="5">
        <v>28</v>
      </c>
      <c r="E87" s="5" t="s">
        <v>20</v>
      </c>
      <c r="F87" s="5" t="s">
        <v>52</v>
      </c>
      <c r="G87" s="5" t="s">
        <v>22</v>
      </c>
      <c r="H87" s="7">
        <v>331.93</v>
      </c>
      <c r="I87" s="3">
        <v>1</v>
      </c>
      <c r="J87" s="4">
        <v>57.9</v>
      </c>
      <c r="K87" s="7">
        <v>274.02999999999997</v>
      </c>
      <c r="L87" s="5" t="s">
        <v>1298</v>
      </c>
      <c r="M87" s="5" t="s">
        <v>24</v>
      </c>
      <c r="N87" s="3">
        <v>15</v>
      </c>
      <c r="O87" s="3">
        <v>17</v>
      </c>
      <c r="P87" s="5" t="b">
        <v>0</v>
      </c>
      <c r="Q87" s="3">
        <v>5</v>
      </c>
      <c r="R87" s="3">
        <v>5</v>
      </c>
      <c r="T87">
        <f t="shared" si="1"/>
        <v>1</v>
      </c>
    </row>
    <row r="88" spans="1:20">
      <c r="A88" s="5" t="s">
        <v>74</v>
      </c>
      <c r="B88" s="5" t="s">
        <v>75</v>
      </c>
      <c r="C88" s="6">
        <v>44978</v>
      </c>
      <c r="D88" s="5">
        <v>45</v>
      </c>
      <c r="E88" s="5" t="s">
        <v>20</v>
      </c>
      <c r="F88" s="5" t="s">
        <v>76</v>
      </c>
      <c r="G88" s="5" t="s">
        <v>53</v>
      </c>
      <c r="H88" s="7">
        <v>22.1</v>
      </c>
      <c r="I88" s="3">
        <v>2</v>
      </c>
      <c r="J88" s="4">
        <v>4.92</v>
      </c>
      <c r="K88" s="7">
        <v>39.28</v>
      </c>
      <c r="L88" s="5" t="s">
        <v>23</v>
      </c>
      <c r="M88" s="5" t="s">
        <v>24</v>
      </c>
      <c r="N88" s="3">
        <v>9</v>
      </c>
      <c r="O88" s="3">
        <v>7</v>
      </c>
      <c r="P88" s="5" t="b">
        <v>0</v>
      </c>
      <c r="Q88" s="3">
        <v>2</v>
      </c>
      <c r="R88" s="3">
        <v>5</v>
      </c>
      <c r="T88">
        <f t="shared" si="1"/>
        <v>1</v>
      </c>
    </row>
    <row r="89" spans="1:20">
      <c r="A89" s="5" t="s">
        <v>77</v>
      </c>
      <c r="B89" s="5" t="s">
        <v>78</v>
      </c>
      <c r="C89" s="6">
        <v>45121</v>
      </c>
      <c r="D89" s="5">
        <v>38</v>
      </c>
      <c r="E89" s="5" t="s">
        <v>20</v>
      </c>
      <c r="F89" s="5" t="s">
        <v>73</v>
      </c>
      <c r="G89" s="5" t="s">
        <v>28</v>
      </c>
      <c r="H89" s="7">
        <v>156.28</v>
      </c>
      <c r="I89" s="3">
        <v>5</v>
      </c>
      <c r="J89" s="4">
        <v>0</v>
      </c>
      <c r="K89" s="7">
        <v>781.4</v>
      </c>
      <c r="L89" s="5" t="s">
        <v>23</v>
      </c>
      <c r="M89" s="5" t="s">
        <v>24</v>
      </c>
      <c r="N89" s="3">
        <v>6</v>
      </c>
      <c r="O89" s="3">
        <v>7</v>
      </c>
      <c r="P89" s="5" t="b">
        <v>1</v>
      </c>
      <c r="Q89" s="3">
        <v>4</v>
      </c>
      <c r="R89" s="3">
        <v>3</v>
      </c>
      <c r="T89">
        <f t="shared" si="1"/>
        <v>1</v>
      </c>
    </row>
    <row r="90" spans="1:20">
      <c r="A90" s="5" t="s">
        <v>749</v>
      </c>
      <c r="B90" s="5" t="s">
        <v>750</v>
      </c>
      <c r="C90" s="6">
        <v>45069</v>
      </c>
      <c r="D90" s="5">
        <v>28</v>
      </c>
      <c r="E90" s="5" t="s">
        <v>20</v>
      </c>
      <c r="F90" s="5" t="s">
        <v>59</v>
      </c>
      <c r="G90" s="5" t="s">
        <v>22</v>
      </c>
      <c r="H90" s="7">
        <v>386.18</v>
      </c>
      <c r="I90" s="3">
        <v>2</v>
      </c>
      <c r="J90" s="4">
        <v>83.42</v>
      </c>
      <c r="K90" s="7">
        <v>688.94</v>
      </c>
      <c r="L90" s="5" t="s">
        <v>692</v>
      </c>
      <c r="M90" s="5" t="s">
        <v>33</v>
      </c>
      <c r="N90" s="3">
        <v>7</v>
      </c>
      <c r="O90" s="3">
        <v>10</v>
      </c>
      <c r="P90" s="5" t="b">
        <v>1</v>
      </c>
      <c r="Q90" s="3">
        <v>3</v>
      </c>
      <c r="R90" s="3">
        <v>4</v>
      </c>
      <c r="T90">
        <f t="shared" si="1"/>
        <v>1</v>
      </c>
    </row>
    <row r="91" spans="1:20">
      <c r="A91" s="5" t="s">
        <v>370</v>
      </c>
      <c r="B91" s="5" t="s">
        <v>371</v>
      </c>
      <c r="C91" s="6">
        <v>45159</v>
      </c>
      <c r="D91" s="5">
        <v>41</v>
      </c>
      <c r="E91" s="5" t="s">
        <v>20</v>
      </c>
      <c r="F91" s="5" t="s">
        <v>52</v>
      </c>
      <c r="G91" s="5" t="s">
        <v>22</v>
      </c>
      <c r="H91" s="7">
        <v>112.21</v>
      </c>
      <c r="I91" s="3">
        <v>1</v>
      </c>
      <c r="J91" s="4">
        <v>0</v>
      </c>
      <c r="K91" s="7">
        <v>112.21</v>
      </c>
      <c r="L91" s="5" t="s">
        <v>327</v>
      </c>
      <c r="M91" s="5" t="s">
        <v>33</v>
      </c>
      <c r="N91" s="3">
        <v>24</v>
      </c>
      <c r="O91" s="3">
        <v>8</v>
      </c>
      <c r="P91" s="5" t="b">
        <v>1</v>
      </c>
      <c r="Q91" s="3">
        <v>5</v>
      </c>
      <c r="R91" s="3">
        <v>3</v>
      </c>
      <c r="T91">
        <f t="shared" si="1"/>
        <v>1</v>
      </c>
    </row>
    <row r="92" spans="1:20">
      <c r="A92" s="5" t="s">
        <v>372</v>
      </c>
      <c r="B92" s="5" t="s">
        <v>373</v>
      </c>
      <c r="C92" s="6">
        <v>45252</v>
      </c>
      <c r="D92" s="5">
        <v>36</v>
      </c>
      <c r="E92" s="5" t="s">
        <v>36</v>
      </c>
      <c r="F92" s="5" t="s">
        <v>32</v>
      </c>
      <c r="G92" s="5" t="s">
        <v>64</v>
      </c>
      <c r="H92" s="7">
        <v>305.23</v>
      </c>
      <c r="I92" s="3">
        <v>5</v>
      </c>
      <c r="J92" s="4">
        <v>0</v>
      </c>
      <c r="K92" s="7">
        <v>1526.15</v>
      </c>
      <c r="L92" s="5" t="s">
        <v>327</v>
      </c>
      <c r="M92" s="5" t="s">
        <v>24</v>
      </c>
      <c r="N92" s="3">
        <v>46</v>
      </c>
      <c r="O92" s="3">
        <v>5</v>
      </c>
      <c r="P92" s="5" t="b">
        <v>0</v>
      </c>
      <c r="Q92" s="3">
        <v>2</v>
      </c>
      <c r="R92" s="3">
        <v>5</v>
      </c>
      <c r="T92">
        <f t="shared" si="1"/>
        <v>1</v>
      </c>
    </row>
    <row r="93" spans="1:20">
      <c r="A93" s="5" t="s">
        <v>79</v>
      </c>
      <c r="B93" s="5" t="s">
        <v>80</v>
      </c>
      <c r="C93" s="6">
        <v>45354</v>
      </c>
      <c r="D93" s="5">
        <v>46</v>
      </c>
      <c r="E93" s="5" t="s">
        <v>36</v>
      </c>
      <c r="F93" s="5" t="s">
        <v>49</v>
      </c>
      <c r="G93" s="5" t="s">
        <v>46</v>
      </c>
      <c r="H93" s="7">
        <v>192.94</v>
      </c>
      <c r="I93" s="3">
        <v>3</v>
      </c>
      <c r="J93" s="4">
        <v>22.26</v>
      </c>
      <c r="K93" s="7">
        <v>556.55999999999995</v>
      </c>
      <c r="L93" s="5" t="s">
        <v>23</v>
      </c>
      <c r="M93" s="5" t="s">
        <v>29</v>
      </c>
      <c r="N93" s="3">
        <v>9</v>
      </c>
      <c r="O93" s="3">
        <v>6</v>
      </c>
      <c r="P93" s="5" t="b">
        <v>1</v>
      </c>
      <c r="Q93" s="3">
        <v>5</v>
      </c>
      <c r="R93" s="3">
        <v>5</v>
      </c>
      <c r="T93">
        <f t="shared" si="1"/>
        <v>1</v>
      </c>
    </row>
    <row r="94" spans="1:20">
      <c r="A94" s="5" t="s">
        <v>374</v>
      </c>
      <c r="B94" s="5" t="s">
        <v>375</v>
      </c>
      <c r="C94" s="6">
        <v>45113</v>
      </c>
      <c r="D94" s="5">
        <v>26</v>
      </c>
      <c r="E94" s="5" t="s">
        <v>20</v>
      </c>
      <c r="F94" s="5" t="s">
        <v>32</v>
      </c>
      <c r="G94" s="5" t="s">
        <v>37</v>
      </c>
      <c r="H94" s="7">
        <v>195.25</v>
      </c>
      <c r="I94" s="3">
        <v>3</v>
      </c>
      <c r="J94" s="4">
        <v>46.36</v>
      </c>
      <c r="K94" s="7">
        <v>539.39</v>
      </c>
      <c r="L94" s="5" t="s">
        <v>327</v>
      </c>
      <c r="M94" s="5" t="s">
        <v>33</v>
      </c>
      <c r="N94" s="3">
        <v>21</v>
      </c>
      <c r="O94" s="3">
        <v>12</v>
      </c>
      <c r="P94" s="5" t="b">
        <v>1</v>
      </c>
      <c r="Q94" s="3">
        <v>11</v>
      </c>
      <c r="R94" s="3">
        <v>4</v>
      </c>
      <c r="T94">
        <f t="shared" si="1"/>
        <v>1</v>
      </c>
    </row>
    <row r="95" spans="1:20">
      <c r="A95" s="5" t="s">
        <v>751</v>
      </c>
      <c r="B95" s="5" t="s">
        <v>752</v>
      </c>
      <c r="C95" s="6">
        <v>45010</v>
      </c>
      <c r="D95" s="5">
        <v>31</v>
      </c>
      <c r="E95" s="5" t="s">
        <v>36</v>
      </c>
      <c r="F95" s="5" t="s">
        <v>21</v>
      </c>
      <c r="G95" s="5" t="s">
        <v>53</v>
      </c>
      <c r="H95" s="7">
        <v>23.79</v>
      </c>
      <c r="I95" s="3">
        <v>4</v>
      </c>
      <c r="J95" s="4">
        <v>6.27</v>
      </c>
      <c r="K95" s="7">
        <v>88.89</v>
      </c>
      <c r="L95" s="5" t="s">
        <v>692</v>
      </c>
      <c r="M95" s="5" t="s">
        <v>33</v>
      </c>
      <c r="N95" s="3">
        <v>15</v>
      </c>
      <c r="O95" s="3">
        <v>9</v>
      </c>
      <c r="P95" s="5" t="b">
        <v>0</v>
      </c>
      <c r="Q95" s="3">
        <v>11</v>
      </c>
      <c r="R95" s="3">
        <v>5</v>
      </c>
      <c r="T95">
        <f t="shared" si="1"/>
        <v>1</v>
      </c>
    </row>
    <row r="96" spans="1:20">
      <c r="A96" s="5" t="s">
        <v>753</v>
      </c>
      <c r="B96" s="5" t="s">
        <v>754</v>
      </c>
      <c r="C96" s="6">
        <v>45116</v>
      </c>
      <c r="D96" s="5">
        <v>30</v>
      </c>
      <c r="E96" s="5" t="s">
        <v>36</v>
      </c>
      <c r="F96" s="5" t="s">
        <v>32</v>
      </c>
      <c r="G96" s="5" t="s">
        <v>56</v>
      </c>
      <c r="H96" s="7">
        <v>583.94000000000005</v>
      </c>
      <c r="I96" s="3">
        <v>2</v>
      </c>
      <c r="J96" s="4">
        <v>0</v>
      </c>
      <c r="K96" s="7">
        <v>1167.8800000000001</v>
      </c>
      <c r="L96" s="5" t="s">
        <v>692</v>
      </c>
      <c r="M96" s="5" t="s">
        <v>24</v>
      </c>
      <c r="N96" s="3">
        <v>4</v>
      </c>
      <c r="O96" s="3">
        <v>8</v>
      </c>
      <c r="P96" s="5" t="b">
        <v>0</v>
      </c>
      <c r="Q96" s="3">
        <v>7</v>
      </c>
      <c r="R96" s="3">
        <v>5</v>
      </c>
      <c r="T96">
        <f t="shared" si="1"/>
        <v>1</v>
      </c>
    </row>
    <row r="97" spans="1:20">
      <c r="A97" s="5" t="s">
        <v>376</v>
      </c>
      <c r="B97" s="5" t="s">
        <v>377</v>
      </c>
      <c r="C97" s="6">
        <v>45108</v>
      </c>
      <c r="D97" s="5">
        <v>18</v>
      </c>
      <c r="E97" s="5" t="s">
        <v>36</v>
      </c>
      <c r="F97" s="5" t="s">
        <v>49</v>
      </c>
      <c r="G97" s="5" t="s">
        <v>115</v>
      </c>
      <c r="H97" s="7">
        <v>14.65</v>
      </c>
      <c r="I97" s="3">
        <v>1</v>
      </c>
      <c r="J97" s="4">
        <v>0</v>
      </c>
      <c r="K97" s="7">
        <v>14.65</v>
      </c>
      <c r="L97" s="5" t="s">
        <v>327</v>
      </c>
      <c r="M97" s="5" t="s">
        <v>33</v>
      </c>
      <c r="N97" s="3">
        <v>37</v>
      </c>
      <c r="O97" s="3">
        <v>7</v>
      </c>
      <c r="P97" s="5" t="b">
        <v>1</v>
      </c>
      <c r="Q97" s="3">
        <v>4</v>
      </c>
      <c r="R97" s="3">
        <v>3</v>
      </c>
      <c r="T97">
        <f t="shared" si="1"/>
        <v>1</v>
      </c>
    </row>
    <row r="98" spans="1:20">
      <c r="A98" s="5" t="s">
        <v>81</v>
      </c>
      <c r="B98" s="5" t="s">
        <v>82</v>
      </c>
      <c r="C98" s="6">
        <v>45034</v>
      </c>
      <c r="D98" s="5">
        <v>38</v>
      </c>
      <c r="E98" s="5" t="s">
        <v>36</v>
      </c>
      <c r="F98" s="5" t="s">
        <v>83</v>
      </c>
      <c r="G98" s="5" t="s">
        <v>22</v>
      </c>
      <c r="H98" s="7">
        <v>123.37</v>
      </c>
      <c r="I98" s="3">
        <v>5</v>
      </c>
      <c r="J98" s="4">
        <v>0</v>
      </c>
      <c r="K98" s="7">
        <v>616.85</v>
      </c>
      <c r="L98" s="5" t="s">
        <v>23</v>
      </c>
      <c r="M98" s="5" t="s">
        <v>33</v>
      </c>
      <c r="N98" s="3">
        <v>30</v>
      </c>
      <c r="O98" s="3">
        <v>11</v>
      </c>
      <c r="P98" s="5" t="b">
        <v>1</v>
      </c>
      <c r="Q98" s="3">
        <v>5</v>
      </c>
      <c r="R98" s="3">
        <v>4</v>
      </c>
      <c r="T98">
        <f t="shared" si="1"/>
        <v>1</v>
      </c>
    </row>
    <row r="99" spans="1:20">
      <c r="A99" s="5" t="s">
        <v>84</v>
      </c>
      <c r="B99" s="5" t="s">
        <v>85</v>
      </c>
      <c r="C99" s="6">
        <v>45270</v>
      </c>
      <c r="D99" s="5">
        <v>38</v>
      </c>
      <c r="E99" s="5" t="s">
        <v>36</v>
      </c>
      <c r="F99" s="5" t="s">
        <v>21</v>
      </c>
      <c r="G99" s="5" t="s">
        <v>46</v>
      </c>
      <c r="H99" s="7">
        <v>499.36</v>
      </c>
      <c r="I99" s="3">
        <v>1</v>
      </c>
      <c r="J99" s="4">
        <v>54.45</v>
      </c>
      <c r="K99" s="7">
        <v>444.91</v>
      </c>
      <c r="L99" s="5" t="s">
        <v>23</v>
      </c>
      <c r="M99" s="5" t="s">
        <v>33</v>
      </c>
      <c r="N99" s="3">
        <v>13</v>
      </c>
      <c r="O99" s="3">
        <v>13</v>
      </c>
      <c r="P99" s="5" t="b">
        <v>1</v>
      </c>
      <c r="Q99" s="3">
        <v>9</v>
      </c>
      <c r="R99" s="3">
        <v>4</v>
      </c>
      <c r="T99">
        <f t="shared" si="1"/>
        <v>1</v>
      </c>
    </row>
    <row r="100" spans="1:20">
      <c r="A100" s="5" t="s">
        <v>378</v>
      </c>
      <c r="B100" s="5" t="s">
        <v>379</v>
      </c>
      <c r="C100" s="6">
        <v>45063</v>
      </c>
      <c r="D100" s="5">
        <v>35</v>
      </c>
      <c r="E100" s="5" t="s">
        <v>36</v>
      </c>
      <c r="F100" s="5" t="s">
        <v>59</v>
      </c>
      <c r="G100" s="5" t="s">
        <v>22</v>
      </c>
      <c r="H100" s="7">
        <v>235.59</v>
      </c>
      <c r="I100" s="3">
        <v>1</v>
      </c>
      <c r="J100" s="4">
        <v>0</v>
      </c>
      <c r="K100" s="7">
        <v>235.59</v>
      </c>
      <c r="L100" s="5" t="s">
        <v>327</v>
      </c>
      <c r="M100" s="5" t="s">
        <v>24</v>
      </c>
      <c r="N100" s="3">
        <v>14</v>
      </c>
      <c r="O100" s="3">
        <v>8</v>
      </c>
      <c r="P100" s="5" t="b">
        <v>1</v>
      </c>
      <c r="Q100" s="3">
        <v>6</v>
      </c>
      <c r="R100" s="3">
        <v>4</v>
      </c>
      <c r="T100">
        <f t="shared" si="1"/>
        <v>1</v>
      </c>
    </row>
    <row r="101" spans="1:20">
      <c r="A101" s="5" t="s">
        <v>755</v>
      </c>
      <c r="B101" s="5" t="s">
        <v>756</v>
      </c>
      <c r="C101" s="6">
        <v>45286</v>
      </c>
      <c r="D101" s="5">
        <v>32</v>
      </c>
      <c r="E101" s="5" t="s">
        <v>36</v>
      </c>
      <c r="F101" s="5" t="s">
        <v>21</v>
      </c>
      <c r="G101" s="5" t="s">
        <v>46</v>
      </c>
      <c r="H101" s="7">
        <v>861.36</v>
      </c>
      <c r="I101" s="3">
        <v>2</v>
      </c>
      <c r="J101" s="4">
        <v>0</v>
      </c>
      <c r="K101" s="7">
        <v>1722.72</v>
      </c>
      <c r="L101" s="5" t="s">
        <v>692</v>
      </c>
      <c r="M101" s="5" t="s">
        <v>33</v>
      </c>
      <c r="N101" s="3">
        <v>21</v>
      </c>
      <c r="O101" s="3">
        <v>6</v>
      </c>
      <c r="P101" s="5" t="b">
        <v>0</v>
      </c>
      <c r="Q101" s="3">
        <v>14</v>
      </c>
      <c r="R101" s="3">
        <v>5</v>
      </c>
      <c r="T101">
        <f t="shared" si="1"/>
        <v>1</v>
      </c>
    </row>
    <row r="102" spans="1:20">
      <c r="A102" s="5" t="s">
        <v>757</v>
      </c>
      <c r="B102" s="5" t="s">
        <v>758</v>
      </c>
      <c r="C102" s="6">
        <v>45276</v>
      </c>
      <c r="D102" s="5">
        <v>18</v>
      </c>
      <c r="E102" s="5" t="s">
        <v>36</v>
      </c>
      <c r="F102" s="5" t="s">
        <v>21</v>
      </c>
      <c r="G102" s="5" t="s">
        <v>46</v>
      </c>
      <c r="H102" s="7">
        <v>572.97</v>
      </c>
      <c r="I102" s="3">
        <v>4</v>
      </c>
      <c r="J102" s="4">
        <v>0</v>
      </c>
      <c r="K102" s="7">
        <v>2291.88</v>
      </c>
      <c r="L102" s="5" t="s">
        <v>692</v>
      </c>
      <c r="M102" s="5" t="s">
        <v>33</v>
      </c>
      <c r="N102" s="3">
        <v>64</v>
      </c>
      <c r="O102" s="3">
        <v>6</v>
      </c>
      <c r="P102" s="5" t="b">
        <v>1</v>
      </c>
      <c r="Q102" s="3">
        <v>7</v>
      </c>
      <c r="R102" s="3">
        <v>3</v>
      </c>
      <c r="T102">
        <f t="shared" si="1"/>
        <v>1</v>
      </c>
    </row>
    <row r="103" spans="1:20">
      <c r="A103" s="5" t="s">
        <v>759</v>
      </c>
      <c r="B103" s="5" t="s">
        <v>760</v>
      </c>
      <c r="C103" s="6">
        <v>45258</v>
      </c>
      <c r="D103" s="5">
        <v>29</v>
      </c>
      <c r="E103" s="5" t="s">
        <v>20</v>
      </c>
      <c r="F103" s="5" t="s">
        <v>76</v>
      </c>
      <c r="G103" s="5" t="s">
        <v>56</v>
      </c>
      <c r="H103" s="7">
        <v>262.87</v>
      </c>
      <c r="I103" s="3">
        <v>1</v>
      </c>
      <c r="J103" s="4">
        <v>42.7</v>
      </c>
      <c r="K103" s="7">
        <v>220.17</v>
      </c>
      <c r="L103" s="5" t="s">
        <v>692</v>
      </c>
      <c r="M103" s="5" t="s">
        <v>33</v>
      </c>
      <c r="N103" s="3">
        <v>17</v>
      </c>
      <c r="O103" s="3">
        <v>8</v>
      </c>
      <c r="P103" s="5" t="b">
        <v>1</v>
      </c>
      <c r="Q103" s="3">
        <v>7</v>
      </c>
      <c r="R103" s="3">
        <v>4</v>
      </c>
      <c r="T103">
        <f t="shared" si="1"/>
        <v>1</v>
      </c>
    </row>
    <row r="104" spans="1:20">
      <c r="A104" s="5" t="s">
        <v>86</v>
      </c>
      <c r="B104" s="5" t="s">
        <v>87</v>
      </c>
      <c r="C104" s="6">
        <v>44963</v>
      </c>
      <c r="D104" s="5">
        <v>30</v>
      </c>
      <c r="E104" s="5" t="s">
        <v>20</v>
      </c>
      <c r="F104" s="5" t="s">
        <v>88</v>
      </c>
      <c r="G104" s="5" t="s">
        <v>46</v>
      </c>
      <c r="H104" s="7">
        <v>367.4</v>
      </c>
      <c r="I104" s="3">
        <v>2</v>
      </c>
      <c r="J104" s="4">
        <v>0</v>
      </c>
      <c r="K104" s="7">
        <v>734.8</v>
      </c>
      <c r="L104" s="5" t="s">
        <v>23</v>
      </c>
      <c r="M104" s="5" t="s">
        <v>33</v>
      </c>
      <c r="N104" s="3">
        <v>22</v>
      </c>
      <c r="O104" s="3">
        <v>9</v>
      </c>
      <c r="P104" s="5" t="b">
        <v>1</v>
      </c>
      <c r="Q104" s="3">
        <v>7</v>
      </c>
      <c r="R104" s="3">
        <v>5</v>
      </c>
      <c r="T104">
        <f t="shared" si="1"/>
        <v>1</v>
      </c>
    </row>
    <row r="105" spans="1:20">
      <c r="A105" s="5" t="s">
        <v>761</v>
      </c>
      <c r="B105" s="5" t="s">
        <v>762</v>
      </c>
      <c r="C105" s="6">
        <v>45238</v>
      </c>
      <c r="D105" s="5">
        <v>25</v>
      </c>
      <c r="E105" s="5" t="s">
        <v>36</v>
      </c>
      <c r="F105" s="5" t="s">
        <v>59</v>
      </c>
      <c r="G105" s="5" t="s">
        <v>56</v>
      </c>
      <c r="H105" s="7">
        <v>417.84</v>
      </c>
      <c r="I105" s="3">
        <v>5</v>
      </c>
      <c r="J105" s="4">
        <v>52.71</v>
      </c>
      <c r="K105" s="7">
        <v>2036.49</v>
      </c>
      <c r="L105" s="5" t="s">
        <v>692</v>
      </c>
      <c r="M105" s="5" t="s">
        <v>24</v>
      </c>
      <c r="N105" s="3">
        <v>6</v>
      </c>
      <c r="O105" s="3">
        <v>14</v>
      </c>
      <c r="P105" s="5" t="b">
        <v>1</v>
      </c>
      <c r="Q105" s="3">
        <v>6</v>
      </c>
      <c r="R105" s="3">
        <v>2</v>
      </c>
      <c r="T105">
        <f t="shared" si="1"/>
        <v>1</v>
      </c>
    </row>
    <row r="106" spans="1:20">
      <c r="A106" s="5" t="s">
        <v>380</v>
      </c>
      <c r="B106" s="5" t="s">
        <v>381</v>
      </c>
      <c r="C106" s="6">
        <v>45252</v>
      </c>
      <c r="D106" s="5">
        <v>33</v>
      </c>
      <c r="E106" s="5" t="s">
        <v>20</v>
      </c>
      <c r="F106" s="5" t="s">
        <v>52</v>
      </c>
      <c r="G106" s="5" t="s">
        <v>64</v>
      </c>
      <c r="H106" s="7">
        <v>187.58</v>
      </c>
      <c r="I106" s="3">
        <v>1</v>
      </c>
      <c r="J106" s="4">
        <v>17.72</v>
      </c>
      <c r="K106" s="7">
        <v>169.86</v>
      </c>
      <c r="L106" s="5" t="s">
        <v>327</v>
      </c>
      <c r="M106" s="5" t="s">
        <v>33</v>
      </c>
      <c r="N106" s="3">
        <v>5</v>
      </c>
      <c r="O106" s="3">
        <v>6</v>
      </c>
      <c r="P106" s="5" t="b">
        <v>0</v>
      </c>
      <c r="Q106" s="3">
        <v>6</v>
      </c>
      <c r="R106" s="3">
        <v>4</v>
      </c>
      <c r="T106">
        <f t="shared" si="1"/>
        <v>1</v>
      </c>
    </row>
    <row r="107" spans="1:20">
      <c r="A107" s="5" t="s">
        <v>89</v>
      </c>
      <c r="B107" s="5" t="s">
        <v>90</v>
      </c>
      <c r="C107" s="6">
        <v>45014</v>
      </c>
      <c r="D107" s="5">
        <v>39</v>
      </c>
      <c r="E107" s="5" t="s">
        <v>20</v>
      </c>
      <c r="F107" s="5" t="s">
        <v>73</v>
      </c>
      <c r="G107" s="5" t="s">
        <v>22</v>
      </c>
      <c r="H107" s="7">
        <v>626.76</v>
      </c>
      <c r="I107" s="3">
        <v>4</v>
      </c>
      <c r="J107" s="4">
        <v>0</v>
      </c>
      <c r="K107" s="7">
        <v>2507.04</v>
      </c>
      <c r="L107" s="5" t="s">
        <v>23</v>
      </c>
      <c r="M107" s="5" t="s">
        <v>33</v>
      </c>
      <c r="N107" s="3">
        <v>29</v>
      </c>
      <c r="O107" s="3">
        <v>8</v>
      </c>
      <c r="P107" s="5" t="b">
        <v>1</v>
      </c>
      <c r="Q107" s="3">
        <v>6</v>
      </c>
      <c r="R107" s="3">
        <v>3</v>
      </c>
      <c r="T107">
        <f t="shared" si="1"/>
        <v>1</v>
      </c>
    </row>
    <row r="108" spans="1:20">
      <c r="A108" s="5" t="s">
        <v>1240</v>
      </c>
      <c r="B108" s="5" t="s">
        <v>1241</v>
      </c>
      <c r="C108" s="6">
        <v>45200</v>
      </c>
      <c r="D108" s="5">
        <v>57</v>
      </c>
      <c r="E108" s="5" t="s">
        <v>36</v>
      </c>
      <c r="F108" s="5" t="s">
        <v>32</v>
      </c>
      <c r="G108" s="5" t="s">
        <v>56</v>
      </c>
      <c r="H108" s="7">
        <v>593.52</v>
      </c>
      <c r="I108" s="3">
        <v>3</v>
      </c>
      <c r="J108" s="4">
        <v>0</v>
      </c>
      <c r="K108" s="7">
        <v>1780.56</v>
      </c>
      <c r="L108" s="5" t="s">
        <v>1231</v>
      </c>
      <c r="M108" s="5" t="s">
        <v>33</v>
      </c>
      <c r="N108" s="3">
        <v>12</v>
      </c>
      <c r="O108" s="3">
        <v>14</v>
      </c>
      <c r="P108" s="5" t="b">
        <v>1</v>
      </c>
      <c r="Q108" s="3">
        <v>6</v>
      </c>
      <c r="R108" s="3">
        <v>4</v>
      </c>
      <c r="T108">
        <f t="shared" si="1"/>
        <v>1</v>
      </c>
    </row>
    <row r="109" spans="1:20">
      <c r="A109" s="5" t="s">
        <v>1242</v>
      </c>
      <c r="B109" s="5" t="s">
        <v>1243</v>
      </c>
      <c r="C109" s="6">
        <v>45300</v>
      </c>
      <c r="D109" s="5">
        <v>37</v>
      </c>
      <c r="E109" s="5" t="s">
        <v>20</v>
      </c>
      <c r="F109" s="5" t="s">
        <v>21</v>
      </c>
      <c r="G109" s="5" t="s">
        <v>37</v>
      </c>
      <c r="H109" s="7">
        <v>107.61</v>
      </c>
      <c r="I109" s="3">
        <v>1</v>
      </c>
      <c r="J109" s="4">
        <v>0</v>
      </c>
      <c r="K109" s="7">
        <v>107.61</v>
      </c>
      <c r="L109" s="5" t="s">
        <v>1231</v>
      </c>
      <c r="M109" s="5" t="s">
        <v>29</v>
      </c>
      <c r="N109" s="3">
        <v>26</v>
      </c>
      <c r="O109" s="3">
        <v>5</v>
      </c>
      <c r="P109" s="5" t="b">
        <v>1</v>
      </c>
      <c r="Q109" s="3">
        <v>2</v>
      </c>
      <c r="R109" s="3">
        <v>5</v>
      </c>
      <c r="T109">
        <f t="shared" si="1"/>
        <v>1</v>
      </c>
    </row>
    <row r="110" spans="1:20">
      <c r="A110" s="5" t="s">
        <v>1244</v>
      </c>
      <c r="B110" s="5" t="s">
        <v>1245</v>
      </c>
      <c r="C110" s="6">
        <v>45052</v>
      </c>
      <c r="D110" s="5">
        <v>38</v>
      </c>
      <c r="E110" s="5" t="s">
        <v>36</v>
      </c>
      <c r="F110" s="5" t="s">
        <v>21</v>
      </c>
      <c r="G110" s="5" t="s">
        <v>28</v>
      </c>
      <c r="H110" s="7">
        <v>226.86</v>
      </c>
      <c r="I110" s="3">
        <v>1</v>
      </c>
      <c r="J110" s="4">
        <v>0</v>
      </c>
      <c r="K110" s="7">
        <v>226.86</v>
      </c>
      <c r="L110" s="5" t="s">
        <v>1231</v>
      </c>
      <c r="M110" s="5" t="s">
        <v>33</v>
      </c>
      <c r="N110" s="3">
        <v>23</v>
      </c>
      <c r="O110" s="3">
        <v>7</v>
      </c>
      <c r="P110" s="5" t="b">
        <v>1</v>
      </c>
      <c r="Q110" s="3">
        <v>1</v>
      </c>
      <c r="R110" s="3">
        <v>3</v>
      </c>
      <c r="T110">
        <f t="shared" si="1"/>
        <v>1</v>
      </c>
    </row>
    <row r="111" spans="1:20">
      <c r="A111" s="5" t="s">
        <v>91</v>
      </c>
      <c r="B111" s="5" t="s">
        <v>92</v>
      </c>
      <c r="C111" s="6">
        <v>45010</v>
      </c>
      <c r="D111" s="5">
        <v>34</v>
      </c>
      <c r="E111" s="5" t="s">
        <v>36</v>
      </c>
      <c r="F111" s="5" t="s">
        <v>59</v>
      </c>
      <c r="G111" s="5" t="s">
        <v>22</v>
      </c>
      <c r="H111" s="7">
        <v>368.43</v>
      </c>
      <c r="I111" s="3">
        <v>2</v>
      </c>
      <c r="J111" s="4">
        <v>26.91</v>
      </c>
      <c r="K111" s="7">
        <v>709.95</v>
      </c>
      <c r="L111" s="5" t="s">
        <v>23</v>
      </c>
      <c r="M111" s="5" t="s">
        <v>24</v>
      </c>
      <c r="N111" s="3">
        <v>8</v>
      </c>
      <c r="O111" s="3">
        <v>12</v>
      </c>
      <c r="P111" s="5" t="b">
        <v>0</v>
      </c>
      <c r="Q111" s="3">
        <v>3</v>
      </c>
      <c r="R111" s="3">
        <v>5</v>
      </c>
      <c r="T111">
        <f t="shared" si="1"/>
        <v>1</v>
      </c>
    </row>
    <row r="112" spans="1:20">
      <c r="A112" s="5" t="s">
        <v>93</v>
      </c>
      <c r="B112" s="5" t="s">
        <v>94</v>
      </c>
      <c r="C112" s="6">
        <v>45163</v>
      </c>
      <c r="D112" s="5">
        <v>18</v>
      </c>
      <c r="E112" s="5" t="s">
        <v>36</v>
      </c>
      <c r="F112" s="5" t="s">
        <v>88</v>
      </c>
      <c r="G112" s="5" t="s">
        <v>28</v>
      </c>
      <c r="H112" s="7">
        <v>245.23</v>
      </c>
      <c r="I112" s="3">
        <v>1</v>
      </c>
      <c r="J112" s="4">
        <v>0</v>
      </c>
      <c r="K112" s="7">
        <v>245.23</v>
      </c>
      <c r="L112" s="5" t="s">
        <v>23</v>
      </c>
      <c r="M112" s="5" t="s">
        <v>33</v>
      </c>
      <c r="N112" s="3">
        <v>12</v>
      </c>
      <c r="O112" s="3">
        <v>12</v>
      </c>
      <c r="P112" s="5" t="b">
        <v>1</v>
      </c>
      <c r="Q112" s="3">
        <v>4</v>
      </c>
      <c r="R112" s="3">
        <v>4</v>
      </c>
      <c r="T112">
        <f t="shared" si="1"/>
        <v>1</v>
      </c>
    </row>
    <row r="113" spans="1:20">
      <c r="A113" s="5" t="s">
        <v>95</v>
      </c>
      <c r="B113" s="5" t="s">
        <v>96</v>
      </c>
      <c r="C113" s="6">
        <v>45121</v>
      </c>
      <c r="D113" s="5">
        <v>34</v>
      </c>
      <c r="E113" s="5" t="s">
        <v>36</v>
      </c>
      <c r="F113" s="5" t="s">
        <v>21</v>
      </c>
      <c r="G113" s="5" t="s">
        <v>37</v>
      </c>
      <c r="H113" s="7">
        <v>73.66</v>
      </c>
      <c r="I113" s="3">
        <v>1</v>
      </c>
      <c r="J113" s="4">
        <v>18.95</v>
      </c>
      <c r="K113" s="7">
        <v>54.71</v>
      </c>
      <c r="L113" s="5" t="s">
        <v>23</v>
      </c>
      <c r="M113" s="5" t="s">
        <v>33</v>
      </c>
      <c r="N113" s="3">
        <v>11</v>
      </c>
      <c r="O113" s="3">
        <v>9</v>
      </c>
      <c r="P113" s="5" t="b">
        <v>1</v>
      </c>
      <c r="Q113" s="3">
        <v>10</v>
      </c>
      <c r="R113" s="3">
        <v>3</v>
      </c>
      <c r="T113">
        <f t="shared" si="1"/>
        <v>1</v>
      </c>
    </row>
    <row r="114" spans="1:20">
      <c r="A114" s="5" t="s">
        <v>1321</v>
      </c>
      <c r="B114" s="5" t="s">
        <v>1322</v>
      </c>
      <c r="C114" s="6">
        <v>45065</v>
      </c>
      <c r="D114" s="5">
        <v>35</v>
      </c>
      <c r="E114" s="5" t="s">
        <v>20</v>
      </c>
      <c r="F114" s="5" t="s">
        <v>32</v>
      </c>
      <c r="G114" s="5" t="s">
        <v>53</v>
      </c>
      <c r="H114" s="7">
        <v>36.14</v>
      </c>
      <c r="I114" s="3">
        <v>2</v>
      </c>
      <c r="J114" s="4">
        <v>3.85</v>
      </c>
      <c r="K114" s="7">
        <v>68.430000000000007</v>
      </c>
      <c r="L114" s="5" t="s">
        <v>1298</v>
      </c>
      <c r="M114" s="5" t="s">
        <v>33</v>
      </c>
      <c r="N114" s="3">
        <v>9</v>
      </c>
      <c r="O114" s="3">
        <v>11</v>
      </c>
      <c r="P114" s="5" t="b">
        <v>0</v>
      </c>
      <c r="Q114" s="3">
        <v>9</v>
      </c>
      <c r="R114" s="3">
        <v>4</v>
      </c>
      <c r="T114">
        <f t="shared" si="1"/>
        <v>1</v>
      </c>
    </row>
    <row r="115" spans="1:20">
      <c r="A115" s="5" t="s">
        <v>1246</v>
      </c>
      <c r="B115" s="5" t="s">
        <v>1247</v>
      </c>
      <c r="C115" s="6">
        <v>45254</v>
      </c>
      <c r="D115" s="5">
        <v>64</v>
      </c>
      <c r="E115" s="5" t="s">
        <v>36</v>
      </c>
      <c r="F115" s="5" t="s">
        <v>88</v>
      </c>
      <c r="G115" s="5" t="s">
        <v>37</v>
      </c>
      <c r="H115" s="7">
        <v>180.82</v>
      </c>
      <c r="I115" s="3">
        <v>4</v>
      </c>
      <c r="J115" s="4">
        <v>0</v>
      </c>
      <c r="K115" s="7">
        <v>723.28</v>
      </c>
      <c r="L115" s="5" t="s">
        <v>1231</v>
      </c>
      <c r="M115" s="5" t="s">
        <v>33</v>
      </c>
      <c r="N115" s="3">
        <v>7</v>
      </c>
      <c r="O115" s="3">
        <v>8</v>
      </c>
      <c r="P115" s="5" t="b">
        <v>0</v>
      </c>
      <c r="Q115" s="3">
        <v>3</v>
      </c>
      <c r="R115" s="3">
        <v>5</v>
      </c>
      <c r="T115">
        <f t="shared" si="1"/>
        <v>1</v>
      </c>
    </row>
    <row r="116" spans="1:20">
      <c r="A116" s="5" t="s">
        <v>382</v>
      </c>
      <c r="B116" s="5" t="s">
        <v>383</v>
      </c>
      <c r="C116" s="6">
        <v>45279</v>
      </c>
      <c r="D116" s="5">
        <v>32</v>
      </c>
      <c r="E116" s="5" t="s">
        <v>36</v>
      </c>
      <c r="F116" s="5" t="s">
        <v>32</v>
      </c>
      <c r="G116" s="5" t="s">
        <v>64</v>
      </c>
      <c r="H116" s="7">
        <v>3964.15</v>
      </c>
      <c r="I116" s="3">
        <v>1</v>
      </c>
      <c r="J116" s="4">
        <v>820.08</v>
      </c>
      <c r="K116" s="7">
        <v>3144.07</v>
      </c>
      <c r="L116" s="5" t="s">
        <v>327</v>
      </c>
      <c r="M116" s="5" t="s">
        <v>24</v>
      </c>
      <c r="N116" s="3">
        <v>19</v>
      </c>
      <c r="O116" s="3">
        <v>15</v>
      </c>
      <c r="P116" s="5" t="b">
        <v>0</v>
      </c>
      <c r="Q116" s="3">
        <v>4</v>
      </c>
      <c r="R116" s="3">
        <v>2</v>
      </c>
      <c r="T116">
        <f t="shared" si="1"/>
        <v>1</v>
      </c>
    </row>
    <row r="117" spans="1:20">
      <c r="A117" s="5" t="s">
        <v>384</v>
      </c>
      <c r="B117" s="5" t="s">
        <v>385</v>
      </c>
      <c r="C117" s="6">
        <v>45212</v>
      </c>
      <c r="D117" s="5">
        <v>38</v>
      </c>
      <c r="E117" s="5" t="s">
        <v>122</v>
      </c>
      <c r="F117" s="5" t="s">
        <v>49</v>
      </c>
      <c r="G117" s="5" t="s">
        <v>53</v>
      </c>
      <c r="H117" s="7">
        <v>16.899999999999999</v>
      </c>
      <c r="I117" s="3">
        <v>2</v>
      </c>
      <c r="J117" s="4">
        <v>0</v>
      </c>
      <c r="K117" s="7">
        <v>33.799999999999997</v>
      </c>
      <c r="L117" s="5" t="s">
        <v>327</v>
      </c>
      <c r="M117" s="5" t="s">
        <v>33</v>
      </c>
      <c r="N117" s="3">
        <v>8</v>
      </c>
      <c r="O117" s="3">
        <v>6</v>
      </c>
      <c r="P117" s="5" t="b">
        <v>1</v>
      </c>
      <c r="Q117" s="3">
        <v>5</v>
      </c>
      <c r="R117" s="3">
        <v>4</v>
      </c>
      <c r="T117">
        <f t="shared" si="1"/>
        <v>1</v>
      </c>
    </row>
    <row r="118" spans="1:20">
      <c r="A118" s="5" t="s">
        <v>386</v>
      </c>
      <c r="B118" s="5" t="s">
        <v>387</v>
      </c>
      <c r="C118" s="6">
        <v>45039</v>
      </c>
      <c r="D118" s="5">
        <v>34</v>
      </c>
      <c r="E118" s="5" t="s">
        <v>20</v>
      </c>
      <c r="F118" s="5" t="s">
        <v>32</v>
      </c>
      <c r="G118" s="5" t="s">
        <v>53</v>
      </c>
      <c r="H118" s="7">
        <v>89.46</v>
      </c>
      <c r="I118" s="3">
        <v>1</v>
      </c>
      <c r="J118" s="4">
        <v>0</v>
      </c>
      <c r="K118" s="7">
        <v>89.46</v>
      </c>
      <c r="L118" s="5" t="s">
        <v>327</v>
      </c>
      <c r="M118" s="5" t="s">
        <v>24</v>
      </c>
      <c r="N118" s="3">
        <v>7</v>
      </c>
      <c r="O118" s="3">
        <v>5</v>
      </c>
      <c r="P118" s="5" t="b">
        <v>1</v>
      </c>
      <c r="Q118" s="3">
        <v>15</v>
      </c>
      <c r="R118" s="3">
        <v>5</v>
      </c>
      <c r="T118">
        <f t="shared" si="1"/>
        <v>1</v>
      </c>
    </row>
    <row r="119" spans="1:20">
      <c r="A119" s="5" t="s">
        <v>97</v>
      </c>
      <c r="B119" s="5" t="s">
        <v>98</v>
      </c>
      <c r="C119" s="6">
        <v>45277</v>
      </c>
      <c r="D119" s="5">
        <v>20</v>
      </c>
      <c r="E119" s="5" t="s">
        <v>20</v>
      </c>
      <c r="F119" s="5" t="s">
        <v>52</v>
      </c>
      <c r="G119" s="5" t="s">
        <v>46</v>
      </c>
      <c r="H119" s="7">
        <v>367.58</v>
      </c>
      <c r="I119" s="3">
        <v>3</v>
      </c>
      <c r="J119" s="4">
        <v>58.54</v>
      </c>
      <c r="K119" s="7">
        <v>1044.2</v>
      </c>
      <c r="L119" s="5" t="s">
        <v>23</v>
      </c>
      <c r="M119" s="5" t="s">
        <v>29</v>
      </c>
      <c r="N119" s="3">
        <v>13</v>
      </c>
      <c r="O119" s="3">
        <v>12</v>
      </c>
      <c r="P119" s="5" t="b">
        <v>0</v>
      </c>
      <c r="Q119" s="3">
        <v>6</v>
      </c>
      <c r="R119" s="3">
        <v>4</v>
      </c>
      <c r="T119">
        <f t="shared" si="1"/>
        <v>1</v>
      </c>
    </row>
    <row r="120" spans="1:20">
      <c r="A120" s="5" t="s">
        <v>99</v>
      </c>
      <c r="B120" s="5" t="s">
        <v>100</v>
      </c>
      <c r="C120" s="6">
        <v>45093</v>
      </c>
      <c r="D120" s="5">
        <v>48</v>
      </c>
      <c r="E120" s="5" t="s">
        <v>36</v>
      </c>
      <c r="F120" s="5" t="s">
        <v>83</v>
      </c>
      <c r="G120" s="5" t="s">
        <v>37</v>
      </c>
      <c r="H120" s="7">
        <v>89.98</v>
      </c>
      <c r="I120" s="3">
        <v>1</v>
      </c>
      <c r="J120" s="4">
        <v>0</v>
      </c>
      <c r="K120" s="7">
        <v>89.98</v>
      </c>
      <c r="L120" s="5" t="s">
        <v>23</v>
      </c>
      <c r="M120" s="5" t="s">
        <v>24</v>
      </c>
      <c r="N120" s="3">
        <v>9</v>
      </c>
      <c r="O120" s="3">
        <v>9</v>
      </c>
      <c r="P120" s="5" t="b">
        <v>0</v>
      </c>
      <c r="Q120" s="3">
        <v>14</v>
      </c>
      <c r="R120" s="3">
        <v>2</v>
      </c>
      <c r="T120">
        <f t="shared" si="1"/>
        <v>1</v>
      </c>
    </row>
    <row r="121" spans="1:20">
      <c r="A121" s="5" t="s">
        <v>1323</v>
      </c>
      <c r="B121" s="5" t="s">
        <v>1324</v>
      </c>
      <c r="C121" s="6">
        <v>45358</v>
      </c>
      <c r="D121" s="5">
        <v>44</v>
      </c>
      <c r="E121" s="5" t="s">
        <v>20</v>
      </c>
      <c r="F121" s="5" t="s">
        <v>32</v>
      </c>
      <c r="G121" s="5" t="s">
        <v>115</v>
      </c>
      <c r="H121" s="7">
        <v>7.89</v>
      </c>
      <c r="I121" s="3">
        <v>1</v>
      </c>
      <c r="J121" s="4">
        <v>0</v>
      </c>
      <c r="K121" s="7">
        <v>7.89</v>
      </c>
      <c r="L121" s="5" t="s">
        <v>1298</v>
      </c>
      <c r="M121" s="5" t="s">
        <v>29</v>
      </c>
      <c r="N121" s="3">
        <v>12</v>
      </c>
      <c r="O121" s="3">
        <v>9</v>
      </c>
      <c r="P121" s="5" t="b">
        <v>1</v>
      </c>
      <c r="Q121" s="3">
        <v>7</v>
      </c>
      <c r="R121" s="3">
        <v>4</v>
      </c>
      <c r="T121">
        <f t="shared" si="1"/>
        <v>1</v>
      </c>
    </row>
    <row r="122" spans="1:20">
      <c r="A122" s="5" t="s">
        <v>388</v>
      </c>
      <c r="B122" s="5" t="s">
        <v>389</v>
      </c>
      <c r="C122" s="6">
        <v>45320</v>
      </c>
      <c r="D122" s="5">
        <v>44</v>
      </c>
      <c r="E122" s="5" t="s">
        <v>36</v>
      </c>
      <c r="F122" s="5" t="s">
        <v>21</v>
      </c>
      <c r="G122" s="5" t="s">
        <v>46</v>
      </c>
      <c r="H122" s="7">
        <v>439.39</v>
      </c>
      <c r="I122" s="3">
        <v>5</v>
      </c>
      <c r="J122" s="4">
        <v>0</v>
      </c>
      <c r="K122" s="7">
        <v>2196.9499999999998</v>
      </c>
      <c r="L122" s="5" t="s">
        <v>327</v>
      </c>
      <c r="M122" s="5" t="s">
        <v>33</v>
      </c>
      <c r="N122" s="3">
        <v>13</v>
      </c>
      <c r="O122" s="3">
        <v>6</v>
      </c>
      <c r="P122" s="5" t="b">
        <v>1</v>
      </c>
      <c r="Q122" s="3">
        <v>6</v>
      </c>
      <c r="R122" s="3">
        <v>5</v>
      </c>
      <c r="T122">
        <f t="shared" si="1"/>
        <v>1</v>
      </c>
    </row>
    <row r="123" spans="1:20">
      <c r="A123" s="5" t="s">
        <v>763</v>
      </c>
      <c r="B123" s="5" t="s">
        <v>764</v>
      </c>
      <c r="C123" s="6">
        <v>45324</v>
      </c>
      <c r="D123" s="5">
        <v>24</v>
      </c>
      <c r="E123" s="5" t="s">
        <v>20</v>
      </c>
      <c r="F123" s="5" t="s">
        <v>52</v>
      </c>
      <c r="G123" s="5" t="s">
        <v>37</v>
      </c>
      <c r="H123" s="7">
        <v>64.77</v>
      </c>
      <c r="I123" s="3">
        <v>5</v>
      </c>
      <c r="J123" s="4">
        <v>0</v>
      </c>
      <c r="K123" s="7">
        <v>323.85000000000002</v>
      </c>
      <c r="L123" s="5" t="s">
        <v>692</v>
      </c>
      <c r="M123" s="5" t="s">
        <v>33</v>
      </c>
      <c r="N123" s="3">
        <v>27</v>
      </c>
      <c r="O123" s="3">
        <v>8</v>
      </c>
      <c r="P123" s="5" t="b">
        <v>0</v>
      </c>
      <c r="Q123" s="3">
        <v>2</v>
      </c>
      <c r="R123" s="3">
        <v>5</v>
      </c>
      <c r="T123">
        <f t="shared" si="1"/>
        <v>1</v>
      </c>
    </row>
    <row r="124" spans="1:20">
      <c r="A124" s="5" t="s">
        <v>1248</v>
      </c>
      <c r="B124" s="5" t="s">
        <v>1249</v>
      </c>
      <c r="C124" s="6">
        <v>44955</v>
      </c>
      <c r="D124" s="5">
        <v>51</v>
      </c>
      <c r="E124" s="5" t="s">
        <v>20</v>
      </c>
      <c r="F124" s="5" t="s">
        <v>88</v>
      </c>
      <c r="G124" s="5" t="s">
        <v>53</v>
      </c>
      <c r="H124" s="7">
        <v>13.38</v>
      </c>
      <c r="I124" s="3">
        <v>1</v>
      </c>
      <c r="J124" s="4">
        <v>2.36</v>
      </c>
      <c r="K124" s="7">
        <v>11.02</v>
      </c>
      <c r="L124" s="5" t="s">
        <v>1231</v>
      </c>
      <c r="M124" s="5" t="s">
        <v>33</v>
      </c>
      <c r="N124" s="3">
        <v>11</v>
      </c>
      <c r="O124" s="3">
        <v>9</v>
      </c>
      <c r="P124" s="5" t="b">
        <v>1</v>
      </c>
      <c r="Q124" s="3">
        <v>5</v>
      </c>
      <c r="R124" s="3">
        <v>1</v>
      </c>
      <c r="T124">
        <f t="shared" si="1"/>
        <v>1</v>
      </c>
    </row>
    <row r="125" spans="1:20">
      <c r="A125" s="5" t="s">
        <v>765</v>
      </c>
      <c r="B125" s="5" t="s">
        <v>766</v>
      </c>
      <c r="C125" s="6">
        <v>45044</v>
      </c>
      <c r="D125" s="5">
        <v>18</v>
      </c>
      <c r="E125" s="5" t="s">
        <v>20</v>
      </c>
      <c r="F125" s="5" t="s">
        <v>88</v>
      </c>
      <c r="G125" s="5" t="s">
        <v>115</v>
      </c>
      <c r="H125" s="7">
        <v>126.06</v>
      </c>
      <c r="I125" s="3">
        <v>2</v>
      </c>
      <c r="J125" s="4">
        <v>0</v>
      </c>
      <c r="K125" s="7">
        <v>252.12</v>
      </c>
      <c r="L125" s="5" t="s">
        <v>692</v>
      </c>
      <c r="M125" s="5" t="s">
        <v>24</v>
      </c>
      <c r="N125" s="3">
        <v>28</v>
      </c>
      <c r="O125" s="3">
        <v>11</v>
      </c>
      <c r="P125" s="5" t="b">
        <v>1</v>
      </c>
      <c r="Q125" s="3">
        <v>8</v>
      </c>
      <c r="R125" s="3">
        <v>4</v>
      </c>
      <c r="T125">
        <f t="shared" si="1"/>
        <v>1</v>
      </c>
    </row>
    <row r="126" spans="1:20">
      <c r="A126" s="5" t="s">
        <v>767</v>
      </c>
      <c r="B126" s="5" t="s">
        <v>768</v>
      </c>
      <c r="C126" s="6">
        <v>45347</v>
      </c>
      <c r="D126" s="5">
        <v>42</v>
      </c>
      <c r="E126" s="5" t="s">
        <v>20</v>
      </c>
      <c r="F126" s="5" t="s">
        <v>32</v>
      </c>
      <c r="G126" s="5" t="s">
        <v>46</v>
      </c>
      <c r="H126" s="7">
        <v>500.35</v>
      </c>
      <c r="I126" s="3">
        <v>3</v>
      </c>
      <c r="J126" s="4">
        <v>0</v>
      </c>
      <c r="K126" s="7">
        <v>1501.05</v>
      </c>
      <c r="L126" s="5" t="s">
        <v>692</v>
      </c>
      <c r="M126" s="5" t="s">
        <v>24</v>
      </c>
      <c r="N126" s="3">
        <v>20</v>
      </c>
      <c r="O126" s="3">
        <v>7</v>
      </c>
      <c r="P126" s="5" t="b">
        <v>1</v>
      </c>
      <c r="Q126" s="3">
        <v>4</v>
      </c>
      <c r="R126" s="3">
        <v>2</v>
      </c>
      <c r="T126">
        <f t="shared" si="1"/>
        <v>1</v>
      </c>
    </row>
    <row r="127" spans="1:20">
      <c r="A127" s="5" t="s">
        <v>101</v>
      </c>
      <c r="B127" s="5" t="s">
        <v>102</v>
      </c>
      <c r="C127" s="6">
        <v>44943</v>
      </c>
      <c r="D127" s="5">
        <v>61</v>
      </c>
      <c r="E127" s="5" t="s">
        <v>36</v>
      </c>
      <c r="F127" s="5" t="s">
        <v>32</v>
      </c>
      <c r="G127" s="5" t="s">
        <v>28</v>
      </c>
      <c r="H127" s="7">
        <v>185.75</v>
      </c>
      <c r="I127" s="3">
        <v>1</v>
      </c>
      <c r="J127" s="4">
        <v>0</v>
      </c>
      <c r="K127" s="7">
        <v>185.75</v>
      </c>
      <c r="L127" s="5" t="s">
        <v>23</v>
      </c>
      <c r="M127" s="5" t="s">
        <v>33</v>
      </c>
      <c r="N127" s="3">
        <v>24</v>
      </c>
      <c r="O127" s="3">
        <v>12</v>
      </c>
      <c r="P127" s="5" t="b">
        <v>0</v>
      </c>
      <c r="Q127" s="3">
        <v>10</v>
      </c>
      <c r="R127" s="3">
        <v>5</v>
      </c>
      <c r="T127">
        <f t="shared" si="1"/>
        <v>1</v>
      </c>
    </row>
    <row r="128" spans="1:20">
      <c r="A128" s="5" t="s">
        <v>769</v>
      </c>
      <c r="B128" s="5" t="s">
        <v>770</v>
      </c>
      <c r="C128" s="6">
        <v>45339</v>
      </c>
      <c r="D128" s="5">
        <v>23</v>
      </c>
      <c r="E128" s="5" t="s">
        <v>36</v>
      </c>
      <c r="F128" s="5" t="s">
        <v>49</v>
      </c>
      <c r="G128" s="5" t="s">
        <v>22</v>
      </c>
      <c r="H128" s="7">
        <v>501.52</v>
      </c>
      <c r="I128" s="3">
        <v>2</v>
      </c>
      <c r="J128" s="4">
        <v>0</v>
      </c>
      <c r="K128" s="7">
        <v>1003.04</v>
      </c>
      <c r="L128" s="5" t="s">
        <v>692</v>
      </c>
      <c r="M128" s="5" t="s">
        <v>33</v>
      </c>
      <c r="N128" s="3">
        <v>1</v>
      </c>
      <c r="O128" s="3">
        <v>8</v>
      </c>
      <c r="P128" s="5" t="b">
        <v>1</v>
      </c>
      <c r="Q128" s="3">
        <v>10</v>
      </c>
      <c r="R128" s="3">
        <v>1</v>
      </c>
      <c r="T128">
        <f t="shared" si="1"/>
        <v>1</v>
      </c>
    </row>
    <row r="129" spans="1:20">
      <c r="A129" s="5" t="s">
        <v>771</v>
      </c>
      <c r="B129" s="5" t="s">
        <v>772</v>
      </c>
      <c r="C129" s="6">
        <v>45088</v>
      </c>
      <c r="D129" s="5">
        <v>28</v>
      </c>
      <c r="E129" s="5" t="s">
        <v>20</v>
      </c>
      <c r="F129" s="5" t="s">
        <v>52</v>
      </c>
      <c r="G129" s="5" t="s">
        <v>115</v>
      </c>
      <c r="H129" s="7">
        <v>93.22</v>
      </c>
      <c r="I129" s="3">
        <v>5</v>
      </c>
      <c r="J129" s="4">
        <v>0</v>
      </c>
      <c r="K129" s="7">
        <v>466.1</v>
      </c>
      <c r="L129" s="5" t="s">
        <v>692</v>
      </c>
      <c r="M129" s="5" t="s">
        <v>33</v>
      </c>
      <c r="N129" s="3">
        <v>13</v>
      </c>
      <c r="O129" s="3">
        <v>6</v>
      </c>
      <c r="P129" s="5" t="b">
        <v>1</v>
      </c>
      <c r="Q129" s="3">
        <v>2</v>
      </c>
      <c r="R129" s="3">
        <v>1</v>
      </c>
      <c r="T129">
        <f t="shared" si="1"/>
        <v>1</v>
      </c>
    </row>
    <row r="130" spans="1:20">
      <c r="A130" s="5" t="s">
        <v>773</v>
      </c>
      <c r="B130" s="5" t="s">
        <v>774</v>
      </c>
      <c r="C130" s="6">
        <v>45132</v>
      </c>
      <c r="D130" s="5">
        <v>36</v>
      </c>
      <c r="E130" s="5" t="s">
        <v>36</v>
      </c>
      <c r="F130" s="5" t="s">
        <v>49</v>
      </c>
      <c r="G130" s="5" t="s">
        <v>37</v>
      </c>
      <c r="H130" s="7">
        <v>38.58</v>
      </c>
      <c r="I130" s="3">
        <v>2</v>
      </c>
      <c r="J130" s="4">
        <v>0</v>
      </c>
      <c r="K130" s="7">
        <v>77.16</v>
      </c>
      <c r="L130" s="5" t="s">
        <v>692</v>
      </c>
      <c r="M130" s="5" t="s">
        <v>24</v>
      </c>
      <c r="N130" s="3">
        <v>11</v>
      </c>
      <c r="O130" s="3">
        <v>14</v>
      </c>
      <c r="P130" s="5" t="b">
        <v>0</v>
      </c>
      <c r="Q130" s="3">
        <v>2</v>
      </c>
      <c r="R130" s="3">
        <v>5</v>
      </c>
      <c r="T130">
        <f t="shared" si="1"/>
        <v>1</v>
      </c>
    </row>
    <row r="131" spans="1:20">
      <c r="A131" s="5" t="s">
        <v>775</v>
      </c>
      <c r="B131" s="5" t="s">
        <v>776</v>
      </c>
      <c r="C131" s="6">
        <v>45064</v>
      </c>
      <c r="D131" s="5">
        <v>28</v>
      </c>
      <c r="E131" s="5" t="s">
        <v>20</v>
      </c>
      <c r="F131" s="5" t="s">
        <v>32</v>
      </c>
      <c r="G131" s="5" t="s">
        <v>37</v>
      </c>
      <c r="H131" s="7">
        <v>164.8</v>
      </c>
      <c r="I131" s="3">
        <v>3</v>
      </c>
      <c r="J131" s="4">
        <v>30.29</v>
      </c>
      <c r="K131" s="7">
        <v>464.11</v>
      </c>
      <c r="L131" s="5" t="s">
        <v>692</v>
      </c>
      <c r="M131" s="5" t="s">
        <v>33</v>
      </c>
      <c r="N131" s="3">
        <v>10</v>
      </c>
      <c r="O131" s="3">
        <v>9</v>
      </c>
      <c r="P131" s="5" t="b">
        <v>0</v>
      </c>
      <c r="Q131" s="3">
        <v>11</v>
      </c>
      <c r="R131" s="3">
        <v>2</v>
      </c>
      <c r="T131">
        <f t="shared" ref="T131:T194" si="2">COUNTIF(A131:A829,A131)</f>
        <v>1</v>
      </c>
    </row>
    <row r="132" spans="1:20">
      <c r="A132" s="5" t="s">
        <v>390</v>
      </c>
      <c r="B132" s="5" t="s">
        <v>391</v>
      </c>
      <c r="C132" s="6">
        <v>44960</v>
      </c>
      <c r="D132" s="5">
        <v>18</v>
      </c>
      <c r="E132" s="5" t="s">
        <v>36</v>
      </c>
      <c r="F132" s="5" t="s">
        <v>32</v>
      </c>
      <c r="G132" s="5" t="s">
        <v>46</v>
      </c>
      <c r="H132" s="7">
        <v>117.22</v>
      </c>
      <c r="I132" s="3">
        <v>2</v>
      </c>
      <c r="J132" s="4">
        <v>0</v>
      </c>
      <c r="K132" s="7">
        <v>234.44</v>
      </c>
      <c r="L132" s="5" t="s">
        <v>327</v>
      </c>
      <c r="M132" s="5" t="s">
        <v>29</v>
      </c>
      <c r="N132" s="3">
        <v>17</v>
      </c>
      <c r="O132" s="3">
        <v>8</v>
      </c>
      <c r="P132" s="5" t="b">
        <v>0</v>
      </c>
      <c r="Q132" s="3">
        <v>3</v>
      </c>
      <c r="R132" s="3">
        <v>4</v>
      </c>
      <c r="T132">
        <f t="shared" si="2"/>
        <v>1</v>
      </c>
    </row>
    <row r="133" spans="1:20">
      <c r="A133" s="5" t="s">
        <v>777</v>
      </c>
      <c r="B133" s="5" t="s">
        <v>778</v>
      </c>
      <c r="C133" s="6">
        <v>45035</v>
      </c>
      <c r="D133" s="5">
        <v>35</v>
      </c>
      <c r="E133" s="5" t="s">
        <v>20</v>
      </c>
      <c r="F133" s="5" t="s">
        <v>49</v>
      </c>
      <c r="G133" s="5" t="s">
        <v>37</v>
      </c>
      <c r="H133" s="7">
        <v>137.06</v>
      </c>
      <c r="I133" s="3">
        <v>3</v>
      </c>
      <c r="J133" s="4">
        <v>28.04</v>
      </c>
      <c r="K133" s="7">
        <v>383.14</v>
      </c>
      <c r="L133" s="5" t="s">
        <v>692</v>
      </c>
      <c r="M133" s="5" t="s">
        <v>33</v>
      </c>
      <c r="N133" s="3">
        <v>14</v>
      </c>
      <c r="O133" s="3">
        <v>13</v>
      </c>
      <c r="P133" s="5" t="b">
        <v>1</v>
      </c>
      <c r="Q133" s="3">
        <v>4</v>
      </c>
      <c r="R133" s="3">
        <v>5</v>
      </c>
      <c r="T133">
        <f t="shared" si="2"/>
        <v>1</v>
      </c>
    </row>
    <row r="134" spans="1:20">
      <c r="A134" s="5" t="s">
        <v>392</v>
      </c>
      <c r="B134" s="5" t="s">
        <v>393</v>
      </c>
      <c r="C134" s="6">
        <v>45217</v>
      </c>
      <c r="D134" s="5">
        <v>22</v>
      </c>
      <c r="E134" s="5" t="s">
        <v>36</v>
      </c>
      <c r="F134" s="5" t="s">
        <v>32</v>
      </c>
      <c r="G134" s="5" t="s">
        <v>53</v>
      </c>
      <c r="H134" s="7">
        <v>136.26</v>
      </c>
      <c r="I134" s="3">
        <v>1</v>
      </c>
      <c r="J134" s="4">
        <v>0</v>
      </c>
      <c r="K134" s="7">
        <v>136.26</v>
      </c>
      <c r="L134" s="5" t="s">
        <v>327</v>
      </c>
      <c r="M134" s="5" t="s">
        <v>33</v>
      </c>
      <c r="N134" s="3">
        <v>33</v>
      </c>
      <c r="O134" s="3">
        <v>15</v>
      </c>
      <c r="P134" s="5" t="b">
        <v>1</v>
      </c>
      <c r="Q134" s="3">
        <v>2</v>
      </c>
      <c r="R134" s="3">
        <v>5</v>
      </c>
      <c r="T134">
        <f t="shared" si="2"/>
        <v>1</v>
      </c>
    </row>
    <row r="135" spans="1:20">
      <c r="A135" s="5" t="s">
        <v>779</v>
      </c>
      <c r="B135" s="5" t="s">
        <v>780</v>
      </c>
      <c r="C135" s="6">
        <v>45375</v>
      </c>
      <c r="D135" s="5">
        <v>40</v>
      </c>
      <c r="E135" s="5" t="s">
        <v>36</v>
      </c>
      <c r="F135" s="5" t="s">
        <v>88</v>
      </c>
      <c r="G135" s="5" t="s">
        <v>46</v>
      </c>
      <c r="H135" s="7">
        <v>660.6</v>
      </c>
      <c r="I135" s="3">
        <v>2</v>
      </c>
      <c r="J135" s="4">
        <v>0</v>
      </c>
      <c r="K135" s="7">
        <v>1321.2</v>
      </c>
      <c r="L135" s="5" t="s">
        <v>692</v>
      </c>
      <c r="M135" s="5" t="s">
        <v>33</v>
      </c>
      <c r="N135" s="3">
        <v>24</v>
      </c>
      <c r="O135" s="3">
        <v>7</v>
      </c>
      <c r="P135" s="5" t="b">
        <v>1</v>
      </c>
      <c r="Q135" s="3">
        <v>4</v>
      </c>
      <c r="R135" s="3">
        <v>3</v>
      </c>
      <c r="T135">
        <f t="shared" si="2"/>
        <v>1</v>
      </c>
    </row>
    <row r="136" spans="1:20">
      <c r="A136" s="5" t="s">
        <v>103</v>
      </c>
      <c r="B136" s="5" t="s">
        <v>104</v>
      </c>
      <c r="C136" s="6">
        <v>45294</v>
      </c>
      <c r="D136" s="5">
        <v>23</v>
      </c>
      <c r="E136" s="5" t="s">
        <v>36</v>
      </c>
      <c r="F136" s="5" t="s">
        <v>32</v>
      </c>
      <c r="G136" s="5" t="s">
        <v>46</v>
      </c>
      <c r="H136" s="7">
        <v>338.82</v>
      </c>
      <c r="I136" s="3">
        <v>5</v>
      </c>
      <c r="J136" s="4">
        <v>84.41</v>
      </c>
      <c r="K136" s="7">
        <v>1609.69</v>
      </c>
      <c r="L136" s="5" t="s">
        <v>23</v>
      </c>
      <c r="M136" s="5" t="s">
        <v>33</v>
      </c>
      <c r="N136" s="3">
        <v>11</v>
      </c>
      <c r="O136" s="3">
        <v>11</v>
      </c>
      <c r="P136" s="5" t="b">
        <v>1</v>
      </c>
      <c r="Q136" s="3">
        <v>4</v>
      </c>
      <c r="R136" s="3">
        <v>4</v>
      </c>
      <c r="T136">
        <f t="shared" si="2"/>
        <v>1</v>
      </c>
    </row>
    <row r="137" spans="1:20">
      <c r="A137" s="5" t="s">
        <v>781</v>
      </c>
      <c r="B137" s="5" t="s">
        <v>782</v>
      </c>
      <c r="C137" s="6">
        <v>45088</v>
      </c>
      <c r="D137" s="5">
        <v>53</v>
      </c>
      <c r="E137" s="5" t="s">
        <v>36</v>
      </c>
      <c r="F137" s="5" t="s">
        <v>32</v>
      </c>
      <c r="G137" s="5" t="s">
        <v>115</v>
      </c>
      <c r="H137" s="7">
        <v>176.88</v>
      </c>
      <c r="I137" s="3">
        <v>1</v>
      </c>
      <c r="J137" s="4">
        <v>0</v>
      </c>
      <c r="K137" s="7">
        <v>176.88</v>
      </c>
      <c r="L137" s="5" t="s">
        <v>692</v>
      </c>
      <c r="M137" s="5" t="s">
        <v>24</v>
      </c>
      <c r="N137" s="3">
        <v>9</v>
      </c>
      <c r="O137" s="3">
        <v>5</v>
      </c>
      <c r="P137" s="5" t="b">
        <v>1</v>
      </c>
      <c r="Q137" s="3">
        <v>4</v>
      </c>
      <c r="R137" s="3">
        <v>4</v>
      </c>
      <c r="T137">
        <f t="shared" si="2"/>
        <v>1</v>
      </c>
    </row>
    <row r="138" spans="1:20">
      <c r="A138" s="5" t="s">
        <v>783</v>
      </c>
      <c r="B138" s="5" t="s">
        <v>784</v>
      </c>
      <c r="C138" s="6">
        <v>45035</v>
      </c>
      <c r="D138" s="5">
        <v>25</v>
      </c>
      <c r="E138" s="5" t="s">
        <v>36</v>
      </c>
      <c r="F138" s="5" t="s">
        <v>83</v>
      </c>
      <c r="G138" s="5" t="s">
        <v>56</v>
      </c>
      <c r="H138" s="7">
        <v>662.8</v>
      </c>
      <c r="I138" s="3">
        <v>2</v>
      </c>
      <c r="J138" s="4">
        <v>0</v>
      </c>
      <c r="K138" s="7">
        <v>1325.6</v>
      </c>
      <c r="L138" s="5" t="s">
        <v>692</v>
      </c>
      <c r="M138" s="5" t="s">
        <v>24</v>
      </c>
      <c r="N138" s="3">
        <v>6</v>
      </c>
      <c r="O138" s="3">
        <v>9</v>
      </c>
      <c r="P138" s="5" t="b">
        <v>1</v>
      </c>
      <c r="Q138" s="3">
        <v>12</v>
      </c>
      <c r="R138" s="3">
        <v>4</v>
      </c>
      <c r="T138">
        <f t="shared" si="2"/>
        <v>1</v>
      </c>
    </row>
    <row r="139" spans="1:20">
      <c r="A139" s="5" t="s">
        <v>785</v>
      </c>
      <c r="B139" s="5" t="s">
        <v>786</v>
      </c>
      <c r="C139" s="6">
        <v>45262</v>
      </c>
      <c r="D139" s="5">
        <v>31</v>
      </c>
      <c r="E139" s="5" t="s">
        <v>36</v>
      </c>
      <c r="F139" s="5" t="s">
        <v>21</v>
      </c>
      <c r="G139" s="5" t="s">
        <v>28</v>
      </c>
      <c r="H139" s="7">
        <v>69.540000000000006</v>
      </c>
      <c r="I139" s="3">
        <v>1</v>
      </c>
      <c r="J139" s="4">
        <v>6.55</v>
      </c>
      <c r="K139" s="7">
        <v>62.99</v>
      </c>
      <c r="L139" s="5" t="s">
        <v>692</v>
      </c>
      <c r="M139" s="5" t="s">
        <v>33</v>
      </c>
      <c r="N139" s="3">
        <v>23</v>
      </c>
      <c r="O139" s="3">
        <v>6</v>
      </c>
      <c r="P139" s="5" t="b">
        <v>1</v>
      </c>
      <c r="Q139" s="3">
        <v>11</v>
      </c>
      <c r="R139" s="3">
        <v>5</v>
      </c>
      <c r="T139">
        <f t="shared" si="2"/>
        <v>1</v>
      </c>
    </row>
    <row r="140" spans="1:20">
      <c r="A140" s="5" t="s">
        <v>394</v>
      </c>
      <c r="B140" s="5" t="s">
        <v>395</v>
      </c>
      <c r="C140" s="6">
        <v>45182</v>
      </c>
      <c r="D140" s="5">
        <v>44</v>
      </c>
      <c r="E140" s="5" t="s">
        <v>36</v>
      </c>
      <c r="F140" s="5" t="s">
        <v>27</v>
      </c>
      <c r="G140" s="5" t="s">
        <v>28</v>
      </c>
      <c r="H140" s="7">
        <v>90.07</v>
      </c>
      <c r="I140" s="3">
        <v>3</v>
      </c>
      <c r="J140" s="4">
        <v>0</v>
      </c>
      <c r="K140" s="7">
        <v>270.20999999999998</v>
      </c>
      <c r="L140" s="5" t="s">
        <v>327</v>
      </c>
      <c r="M140" s="5" t="s">
        <v>33</v>
      </c>
      <c r="N140" s="3">
        <v>21</v>
      </c>
      <c r="O140" s="3">
        <v>7</v>
      </c>
      <c r="P140" s="5" t="b">
        <v>1</v>
      </c>
      <c r="Q140" s="3">
        <v>5</v>
      </c>
      <c r="R140" s="3">
        <v>5</v>
      </c>
      <c r="T140">
        <f t="shared" si="2"/>
        <v>1</v>
      </c>
    </row>
    <row r="141" spans="1:20">
      <c r="A141" s="5" t="s">
        <v>396</v>
      </c>
      <c r="B141" s="5" t="s">
        <v>397</v>
      </c>
      <c r="C141" s="6">
        <v>45129</v>
      </c>
      <c r="D141" s="5">
        <v>20</v>
      </c>
      <c r="E141" s="5" t="s">
        <v>36</v>
      </c>
      <c r="F141" s="5" t="s">
        <v>32</v>
      </c>
      <c r="G141" s="5" t="s">
        <v>56</v>
      </c>
      <c r="H141" s="7">
        <v>342.96</v>
      </c>
      <c r="I141" s="3">
        <v>3</v>
      </c>
      <c r="J141" s="4">
        <v>0</v>
      </c>
      <c r="K141" s="7">
        <v>1028.8800000000001</v>
      </c>
      <c r="L141" s="5" t="s">
        <v>327</v>
      </c>
      <c r="M141" s="5" t="s">
        <v>33</v>
      </c>
      <c r="N141" s="3">
        <v>29</v>
      </c>
      <c r="O141" s="3">
        <v>10</v>
      </c>
      <c r="P141" s="5" t="b">
        <v>1</v>
      </c>
      <c r="Q141" s="3">
        <v>9</v>
      </c>
      <c r="R141" s="3">
        <v>5</v>
      </c>
      <c r="T141">
        <f t="shared" si="2"/>
        <v>1</v>
      </c>
    </row>
    <row r="142" spans="1:20">
      <c r="A142" s="5" t="s">
        <v>398</v>
      </c>
      <c r="B142" s="5" t="s">
        <v>399</v>
      </c>
      <c r="C142" s="6">
        <v>45256</v>
      </c>
      <c r="D142" s="5">
        <v>37</v>
      </c>
      <c r="E142" s="5" t="s">
        <v>36</v>
      </c>
      <c r="F142" s="5" t="s">
        <v>73</v>
      </c>
      <c r="G142" s="5" t="s">
        <v>115</v>
      </c>
      <c r="H142" s="7">
        <v>203.57</v>
      </c>
      <c r="I142" s="3">
        <v>5</v>
      </c>
      <c r="J142" s="4">
        <v>26.14</v>
      </c>
      <c r="K142" s="7">
        <v>991.71</v>
      </c>
      <c r="L142" s="5" t="s">
        <v>327</v>
      </c>
      <c r="M142" s="5" t="s">
        <v>33</v>
      </c>
      <c r="N142" s="3">
        <v>13</v>
      </c>
      <c r="O142" s="3">
        <v>5</v>
      </c>
      <c r="P142" s="5" t="b">
        <v>0</v>
      </c>
      <c r="Q142" s="3">
        <v>6</v>
      </c>
      <c r="R142" s="3">
        <v>3</v>
      </c>
      <c r="T142">
        <f t="shared" si="2"/>
        <v>1</v>
      </c>
    </row>
    <row r="143" spans="1:20">
      <c r="A143" s="5" t="s">
        <v>1250</v>
      </c>
      <c r="B143" s="5" t="s">
        <v>1251</v>
      </c>
      <c r="C143" s="6">
        <v>45161</v>
      </c>
      <c r="D143" s="5">
        <v>50</v>
      </c>
      <c r="E143" s="5" t="s">
        <v>20</v>
      </c>
      <c r="F143" s="5" t="s">
        <v>27</v>
      </c>
      <c r="G143" s="5" t="s">
        <v>53</v>
      </c>
      <c r="H143" s="7">
        <v>69.61</v>
      </c>
      <c r="I143" s="3">
        <v>1</v>
      </c>
      <c r="J143" s="4">
        <v>5.46</v>
      </c>
      <c r="K143" s="7">
        <v>64.150000000000006</v>
      </c>
      <c r="L143" s="5" t="s">
        <v>1231</v>
      </c>
      <c r="M143" s="5" t="s">
        <v>24</v>
      </c>
      <c r="N143" s="3">
        <v>24</v>
      </c>
      <c r="O143" s="3">
        <v>4</v>
      </c>
      <c r="P143" s="5" t="b">
        <v>0</v>
      </c>
      <c r="Q143" s="3">
        <v>10</v>
      </c>
      <c r="R143" s="3">
        <v>4</v>
      </c>
      <c r="T143">
        <f t="shared" si="2"/>
        <v>1</v>
      </c>
    </row>
    <row r="144" spans="1:20">
      <c r="A144" s="5" t="s">
        <v>1325</v>
      </c>
      <c r="B144" s="5" t="s">
        <v>1326</v>
      </c>
      <c r="C144" s="6">
        <v>45000</v>
      </c>
      <c r="D144" s="5">
        <v>18</v>
      </c>
      <c r="E144" s="5" t="s">
        <v>36</v>
      </c>
      <c r="F144" s="5" t="s">
        <v>52</v>
      </c>
      <c r="G144" s="5" t="s">
        <v>22</v>
      </c>
      <c r="H144" s="7">
        <v>360.56</v>
      </c>
      <c r="I144" s="3">
        <v>4</v>
      </c>
      <c r="J144" s="4">
        <v>0</v>
      </c>
      <c r="K144" s="7">
        <v>1442.24</v>
      </c>
      <c r="L144" s="5" t="s">
        <v>1298</v>
      </c>
      <c r="M144" s="5" t="s">
        <v>24</v>
      </c>
      <c r="N144" s="3">
        <v>20</v>
      </c>
      <c r="O144" s="3">
        <v>7</v>
      </c>
      <c r="P144" s="5" t="b">
        <v>1</v>
      </c>
      <c r="Q144" s="3">
        <v>13</v>
      </c>
      <c r="R144" s="3">
        <v>4</v>
      </c>
      <c r="T144">
        <f t="shared" si="2"/>
        <v>1</v>
      </c>
    </row>
    <row r="145" spans="1:20">
      <c r="A145" s="5" t="s">
        <v>400</v>
      </c>
      <c r="B145" s="5" t="s">
        <v>401</v>
      </c>
      <c r="C145" s="6">
        <v>45062</v>
      </c>
      <c r="D145" s="5">
        <v>37</v>
      </c>
      <c r="E145" s="5" t="s">
        <v>20</v>
      </c>
      <c r="F145" s="5" t="s">
        <v>59</v>
      </c>
      <c r="G145" s="5" t="s">
        <v>37</v>
      </c>
      <c r="H145" s="7">
        <v>125.21</v>
      </c>
      <c r="I145" s="3">
        <v>4</v>
      </c>
      <c r="J145" s="4">
        <v>28.05</v>
      </c>
      <c r="K145" s="7">
        <v>472.79</v>
      </c>
      <c r="L145" s="5" t="s">
        <v>327</v>
      </c>
      <c r="M145" s="5" t="s">
        <v>33</v>
      </c>
      <c r="N145" s="3">
        <v>13</v>
      </c>
      <c r="O145" s="3">
        <v>5</v>
      </c>
      <c r="P145" s="5" t="b">
        <v>1</v>
      </c>
      <c r="Q145" s="3">
        <v>6</v>
      </c>
      <c r="R145" s="3">
        <v>4</v>
      </c>
      <c r="T145">
        <f t="shared" si="2"/>
        <v>1</v>
      </c>
    </row>
    <row r="146" spans="1:20">
      <c r="A146" s="5" t="s">
        <v>787</v>
      </c>
      <c r="B146" s="5" t="s">
        <v>788</v>
      </c>
      <c r="C146" s="6">
        <v>44998</v>
      </c>
      <c r="D146" s="5">
        <v>38</v>
      </c>
      <c r="E146" s="5" t="s">
        <v>36</v>
      </c>
      <c r="F146" s="5" t="s">
        <v>73</v>
      </c>
      <c r="G146" s="5" t="s">
        <v>115</v>
      </c>
      <c r="H146" s="7">
        <v>71.14</v>
      </c>
      <c r="I146" s="3">
        <v>4</v>
      </c>
      <c r="J146" s="4">
        <v>9.1300000000000008</v>
      </c>
      <c r="K146" s="7">
        <v>275.43</v>
      </c>
      <c r="L146" s="5" t="s">
        <v>692</v>
      </c>
      <c r="M146" s="5" t="s">
        <v>24</v>
      </c>
      <c r="N146" s="3">
        <v>15</v>
      </c>
      <c r="O146" s="3">
        <v>9</v>
      </c>
      <c r="P146" s="5" t="b">
        <v>1</v>
      </c>
      <c r="Q146" s="3">
        <v>1</v>
      </c>
      <c r="R146" s="3">
        <v>2</v>
      </c>
      <c r="T146">
        <f t="shared" si="2"/>
        <v>1</v>
      </c>
    </row>
    <row r="147" spans="1:20">
      <c r="A147" s="5" t="s">
        <v>402</v>
      </c>
      <c r="B147" s="5" t="s">
        <v>403</v>
      </c>
      <c r="C147" s="6">
        <v>45053</v>
      </c>
      <c r="D147" s="5">
        <v>44</v>
      </c>
      <c r="E147" s="5" t="s">
        <v>36</v>
      </c>
      <c r="F147" s="5" t="s">
        <v>52</v>
      </c>
      <c r="G147" s="5" t="s">
        <v>64</v>
      </c>
      <c r="H147" s="7">
        <v>984.42</v>
      </c>
      <c r="I147" s="3">
        <v>4</v>
      </c>
      <c r="J147" s="4">
        <v>0</v>
      </c>
      <c r="K147" s="7">
        <v>3937.68</v>
      </c>
      <c r="L147" s="5" t="s">
        <v>327</v>
      </c>
      <c r="M147" s="5" t="s">
        <v>33</v>
      </c>
      <c r="N147" s="3">
        <v>5</v>
      </c>
      <c r="O147" s="3">
        <v>11</v>
      </c>
      <c r="P147" s="5" t="b">
        <v>1</v>
      </c>
      <c r="Q147" s="3">
        <v>10</v>
      </c>
      <c r="R147" s="3">
        <v>2</v>
      </c>
      <c r="T147">
        <f t="shared" si="2"/>
        <v>1</v>
      </c>
    </row>
    <row r="148" spans="1:20">
      <c r="A148" s="5" t="s">
        <v>789</v>
      </c>
      <c r="B148" s="5" t="s">
        <v>790</v>
      </c>
      <c r="C148" s="6">
        <v>45308</v>
      </c>
      <c r="D148" s="5">
        <v>20</v>
      </c>
      <c r="E148" s="5" t="s">
        <v>36</v>
      </c>
      <c r="F148" s="5" t="s">
        <v>73</v>
      </c>
      <c r="G148" s="5" t="s">
        <v>37</v>
      </c>
      <c r="H148" s="7">
        <v>42.62</v>
      </c>
      <c r="I148" s="3">
        <v>2</v>
      </c>
      <c r="J148" s="4">
        <v>0</v>
      </c>
      <c r="K148" s="7">
        <v>85.24</v>
      </c>
      <c r="L148" s="5" t="s">
        <v>692</v>
      </c>
      <c r="M148" s="5" t="s">
        <v>33</v>
      </c>
      <c r="N148" s="3">
        <v>38</v>
      </c>
      <c r="O148" s="3">
        <v>9</v>
      </c>
      <c r="P148" s="5" t="b">
        <v>0</v>
      </c>
      <c r="Q148" s="3">
        <v>4</v>
      </c>
      <c r="R148" s="3">
        <v>3</v>
      </c>
      <c r="T148">
        <f t="shared" si="2"/>
        <v>1</v>
      </c>
    </row>
    <row r="149" spans="1:20">
      <c r="A149" s="5" t="s">
        <v>105</v>
      </c>
      <c r="B149" s="5" t="s">
        <v>106</v>
      </c>
      <c r="C149" s="6">
        <v>45214</v>
      </c>
      <c r="D149" s="5">
        <v>19</v>
      </c>
      <c r="E149" s="5" t="s">
        <v>20</v>
      </c>
      <c r="F149" s="5" t="s">
        <v>73</v>
      </c>
      <c r="G149" s="5" t="s">
        <v>64</v>
      </c>
      <c r="H149" s="7">
        <v>1843.56</v>
      </c>
      <c r="I149" s="3">
        <v>4</v>
      </c>
      <c r="J149" s="4">
        <v>0</v>
      </c>
      <c r="K149" s="7">
        <v>7374.24</v>
      </c>
      <c r="L149" s="5" t="s">
        <v>23</v>
      </c>
      <c r="M149" s="5" t="s">
        <v>33</v>
      </c>
      <c r="N149" s="3">
        <v>14</v>
      </c>
      <c r="O149" s="3">
        <v>13</v>
      </c>
      <c r="P149" s="5" t="b">
        <v>1</v>
      </c>
      <c r="Q149" s="3">
        <v>8</v>
      </c>
      <c r="R149" s="3">
        <v>3</v>
      </c>
      <c r="T149">
        <f t="shared" si="2"/>
        <v>1</v>
      </c>
    </row>
    <row r="150" spans="1:20">
      <c r="A150" s="5" t="s">
        <v>791</v>
      </c>
      <c r="B150" s="5" t="s">
        <v>792</v>
      </c>
      <c r="C150" s="6">
        <v>45202</v>
      </c>
      <c r="D150" s="5">
        <v>41</v>
      </c>
      <c r="E150" s="5" t="s">
        <v>20</v>
      </c>
      <c r="F150" s="5" t="s">
        <v>32</v>
      </c>
      <c r="G150" s="5" t="s">
        <v>115</v>
      </c>
      <c r="H150" s="7">
        <v>173.47</v>
      </c>
      <c r="I150" s="3">
        <v>2</v>
      </c>
      <c r="J150" s="4">
        <v>0</v>
      </c>
      <c r="K150" s="7">
        <v>346.94</v>
      </c>
      <c r="L150" s="5" t="s">
        <v>692</v>
      </c>
      <c r="M150" s="5" t="s">
        <v>33</v>
      </c>
      <c r="N150" s="3">
        <v>1</v>
      </c>
      <c r="O150" s="3">
        <v>13</v>
      </c>
      <c r="P150" s="5" t="b">
        <v>1</v>
      </c>
      <c r="Q150" s="3">
        <v>17</v>
      </c>
      <c r="R150" s="3">
        <v>3</v>
      </c>
      <c r="T150">
        <f t="shared" si="2"/>
        <v>1</v>
      </c>
    </row>
    <row r="151" spans="1:20">
      <c r="A151" s="5" t="s">
        <v>107</v>
      </c>
      <c r="B151" s="5" t="s">
        <v>108</v>
      </c>
      <c r="C151" s="6">
        <v>45061</v>
      </c>
      <c r="D151" s="5">
        <v>38</v>
      </c>
      <c r="E151" s="5" t="s">
        <v>36</v>
      </c>
      <c r="F151" s="5" t="s">
        <v>21</v>
      </c>
      <c r="G151" s="5" t="s">
        <v>28</v>
      </c>
      <c r="H151" s="7">
        <v>180.98</v>
      </c>
      <c r="I151" s="3">
        <v>1</v>
      </c>
      <c r="J151" s="4">
        <v>45</v>
      </c>
      <c r="K151" s="7">
        <v>135.97999999999999</v>
      </c>
      <c r="L151" s="5" t="s">
        <v>23</v>
      </c>
      <c r="M151" s="5" t="s">
        <v>24</v>
      </c>
      <c r="N151" s="3">
        <v>10</v>
      </c>
      <c r="O151" s="3">
        <v>8</v>
      </c>
      <c r="P151" s="5" t="b">
        <v>1</v>
      </c>
      <c r="Q151" s="3">
        <v>6</v>
      </c>
      <c r="R151" s="3">
        <v>3</v>
      </c>
      <c r="T151">
        <f t="shared" si="2"/>
        <v>1</v>
      </c>
    </row>
    <row r="152" spans="1:20">
      <c r="A152" s="5" t="s">
        <v>1327</v>
      </c>
      <c r="B152" s="5" t="s">
        <v>1328</v>
      </c>
      <c r="C152" s="6">
        <v>45309</v>
      </c>
      <c r="D152" s="5">
        <v>38</v>
      </c>
      <c r="E152" s="5" t="s">
        <v>36</v>
      </c>
      <c r="F152" s="5" t="s">
        <v>52</v>
      </c>
      <c r="G152" s="5" t="s">
        <v>53</v>
      </c>
      <c r="H152" s="7">
        <v>102.45</v>
      </c>
      <c r="I152" s="3">
        <v>1</v>
      </c>
      <c r="J152" s="4">
        <v>0</v>
      </c>
      <c r="K152" s="7">
        <v>102.45</v>
      </c>
      <c r="L152" s="5" t="s">
        <v>1298</v>
      </c>
      <c r="M152" s="5" t="s">
        <v>33</v>
      </c>
      <c r="N152" s="3">
        <v>5</v>
      </c>
      <c r="O152" s="3">
        <v>10</v>
      </c>
      <c r="P152" s="5" t="b">
        <v>0</v>
      </c>
      <c r="Q152" s="3">
        <v>12</v>
      </c>
      <c r="R152" s="3">
        <v>4</v>
      </c>
      <c r="T152">
        <f t="shared" si="2"/>
        <v>1</v>
      </c>
    </row>
    <row r="153" spans="1:20">
      <c r="A153" s="5" t="s">
        <v>404</v>
      </c>
      <c r="B153" s="5" t="s">
        <v>405</v>
      </c>
      <c r="C153" s="6">
        <v>45226</v>
      </c>
      <c r="D153" s="5">
        <v>39</v>
      </c>
      <c r="E153" s="5" t="s">
        <v>20</v>
      </c>
      <c r="F153" s="5" t="s">
        <v>21</v>
      </c>
      <c r="G153" s="5" t="s">
        <v>22</v>
      </c>
      <c r="H153" s="7">
        <v>57.06</v>
      </c>
      <c r="I153" s="3">
        <v>2</v>
      </c>
      <c r="J153" s="4">
        <v>13.23</v>
      </c>
      <c r="K153" s="7">
        <v>100.89</v>
      </c>
      <c r="L153" s="5" t="s">
        <v>327</v>
      </c>
      <c r="M153" s="5" t="s">
        <v>24</v>
      </c>
      <c r="N153" s="3">
        <v>32</v>
      </c>
      <c r="O153" s="3">
        <v>12</v>
      </c>
      <c r="P153" s="5" t="b">
        <v>0</v>
      </c>
      <c r="Q153" s="3">
        <v>9</v>
      </c>
      <c r="R153" s="3">
        <v>4</v>
      </c>
      <c r="T153">
        <f t="shared" si="2"/>
        <v>1</v>
      </c>
    </row>
    <row r="154" spans="1:20">
      <c r="A154" s="5" t="s">
        <v>406</v>
      </c>
      <c r="B154" s="5" t="s">
        <v>407</v>
      </c>
      <c r="C154" s="6">
        <v>45146</v>
      </c>
      <c r="D154" s="5">
        <v>26</v>
      </c>
      <c r="E154" s="5" t="s">
        <v>20</v>
      </c>
      <c r="F154" s="5" t="s">
        <v>27</v>
      </c>
      <c r="G154" s="5" t="s">
        <v>22</v>
      </c>
      <c r="H154" s="7">
        <v>293.22000000000003</v>
      </c>
      <c r="I154" s="3">
        <v>3</v>
      </c>
      <c r="J154" s="4">
        <v>0</v>
      </c>
      <c r="K154" s="7">
        <v>879.66</v>
      </c>
      <c r="L154" s="5" t="s">
        <v>327</v>
      </c>
      <c r="M154" s="5" t="s">
        <v>33</v>
      </c>
      <c r="N154" s="3">
        <v>11</v>
      </c>
      <c r="O154" s="3">
        <v>15</v>
      </c>
      <c r="P154" s="5" t="b">
        <v>0</v>
      </c>
      <c r="Q154" s="3">
        <v>11</v>
      </c>
      <c r="R154" s="3">
        <v>4</v>
      </c>
      <c r="T154">
        <f t="shared" si="2"/>
        <v>1</v>
      </c>
    </row>
    <row r="155" spans="1:20">
      <c r="A155" s="5" t="s">
        <v>408</v>
      </c>
      <c r="B155" s="5" t="s">
        <v>409</v>
      </c>
      <c r="C155" s="6">
        <v>45225</v>
      </c>
      <c r="D155" s="5">
        <v>37</v>
      </c>
      <c r="E155" s="5" t="s">
        <v>36</v>
      </c>
      <c r="F155" s="5" t="s">
        <v>21</v>
      </c>
      <c r="G155" s="5" t="s">
        <v>22</v>
      </c>
      <c r="H155" s="7">
        <v>159.53</v>
      </c>
      <c r="I155" s="3">
        <v>1</v>
      </c>
      <c r="J155" s="4">
        <v>0</v>
      </c>
      <c r="K155" s="7">
        <v>159.53</v>
      </c>
      <c r="L155" s="5" t="s">
        <v>327</v>
      </c>
      <c r="M155" s="5" t="s">
        <v>24</v>
      </c>
      <c r="N155" s="3">
        <v>6</v>
      </c>
      <c r="O155" s="3">
        <v>7</v>
      </c>
      <c r="P155" s="5" t="b">
        <v>1</v>
      </c>
      <c r="Q155" s="3">
        <v>8</v>
      </c>
      <c r="R155" s="3">
        <v>5</v>
      </c>
      <c r="T155">
        <f t="shared" si="2"/>
        <v>1</v>
      </c>
    </row>
    <row r="156" spans="1:20">
      <c r="A156" s="5" t="s">
        <v>793</v>
      </c>
      <c r="B156" s="5" t="s">
        <v>794</v>
      </c>
      <c r="C156" s="6">
        <v>45131</v>
      </c>
      <c r="D156" s="5">
        <v>38</v>
      </c>
      <c r="E156" s="5" t="s">
        <v>36</v>
      </c>
      <c r="F156" s="5" t="s">
        <v>76</v>
      </c>
      <c r="G156" s="5" t="s">
        <v>56</v>
      </c>
      <c r="H156" s="7">
        <v>257.99</v>
      </c>
      <c r="I156" s="3">
        <v>1</v>
      </c>
      <c r="J156" s="4">
        <v>0</v>
      </c>
      <c r="K156" s="7">
        <v>257.99</v>
      </c>
      <c r="L156" s="5" t="s">
        <v>692</v>
      </c>
      <c r="M156" s="5" t="s">
        <v>29</v>
      </c>
      <c r="N156" s="3">
        <v>14</v>
      </c>
      <c r="O156" s="3">
        <v>6</v>
      </c>
      <c r="P156" s="5" t="b">
        <v>0</v>
      </c>
      <c r="Q156" s="3">
        <v>7</v>
      </c>
      <c r="R156" s="3">
        <v>4</v>
      </c>
      <c r="T156">
        <f t="shared" si="2"/>
        <v>1</v>
      </c>
    </row>
    <row r="157" spans="1:20">
      <c r="A157" s="5" t="s">
        <v>1329</v>
      </c>
      <c r="B157" s="5" t="s">
        <v>1330</v>
      </c>
      <c r="C157" s="6">
        <v>45112</v>
      </c>
      <c r="D157" s="5">
        <v>26</v>
      </c>
      <c r="E157" s="5" t="s">
        <v>20</v>
      </c>
      <c r="F157" s="5" t="s">
        <v>52</v>
      </c>
      <c r="G157" s="5" t="s">
        <v>53</v>
      </c>
      <c r="H157" s="7">
        <v>114.28</v>
      </c>
      <c r="I157" s="3">
        <v>1</v>
      </c>
      <c r="J157" s="4">
        <v>0</v>
      </c>
      <c r="K157" s="7">
        <v>114.28</v>
      </c>
      <c r="L157" s="5" t="s">
        <v>1298</v>
      </c>
      <c r="M157" s="5" t="s">
        <v>24</v>
      </c>
      <c r="N157" s="3">
        <v>17</v>
      </c>
      <c r="O157" s="3">
        <v>6</v>
      </c>
      <c r="P157" s="5" t="b">
        <v>1</v>
      </c>
      <c r="Q157" s="3">
        <v>7</v>
      </c>
      <c r="R157" s="3">
        <v>5</v>
      </c>
      <c r="T157">
        <f t="shared" si="2"/>
        <v>1</v>
      </c>
    </row>
    <row r="158" spans="1:20">
      <c r="A158" s="5" t="s">
        <v>410</v>
      </c>
      <c r="B158" s="5" t="s">
        <v>411</v>
      </c>
      <c r="C158" s="6">
        <v>45039</v>
      </c>
      <c r="D158" s="5">
        <v>57</v>
      </c>
      <c r="E158" s="5" t="s">
        <v>20</v>
      </c>
      <c r="F158" s="5" t="s">
        <v>21</v>
      </c>
      <c r="G158" s="5" t="s">
        <v>64</v>
      </c>
      <c r="H158" s="7">
        <v>1034.05</v>
      </c>
      <c r="I158" s="3">
        <v>2</v>
      </c>
      <c r="J158" s="4">
        <v>62.85</v>
      </c>
      <c r="K158" s="7">
        <v>2005.25</v>
      </c>
      <c r="L158" s="5" t="s">
        <v>327</v>
      </c>
      <c r="M158" s="5" t="s">
        <v>24</v>
      </c>
      <c r="N158" s="3">
        <v>24</v>
      </c>
      <c r="O158" s="3">
        <v>16</v>
      </c>
      <c r="P158" s="5" t="b">
        <v>0</v>
      </c>
      <c r="Q158" s="3">
        <v>6</v>
      </c>
      <c r="R158" s="3">
        <v>5</v>
      </c>
      <c r="T158">
        <f t="shared" si="2"/>
        <v>1</v>
      </c>
    </row>
    <row r="159" spans="1:20">
      <c r="A159" s="5" t="s">
        <v>795</v>
      </c>
      <c r="B159" s="5" t="s">
        <v>796</v>
      </c>
      <c r="C159" s="6">
        <v>44997</v>
      </c>
      <c r="D159" s="5">
        <v>40</v>
      </c>
      <c r="E159" s="5" t="s">
        <v>20</v>
      </c>
      <c r="F159" s="5" t="s">
        <v>59</v>
      </c>
      <c r="G159" s="5" t="s">
        <v>22</v>
      </c>
      <c r="H159" s="7">
        <v>351.6</v>
      </c>
      <c r="I159" s="3">
        <v>4</v>
      </c>
      <c r="J159" s="4">
        <v>0</v>
      </c>
      <c r="K159" s="7">
        <v>1406.4</v>
      </c>
      <c r="L159" s="5" t="s">
        <v>692</v>
      </c>
      <c r="M159" s="5" t="s">
        <v>33</v>
      </c>
      <c r="N159" s="3">
        <v>3</v>
      </c>
      <c r="O159" s="3">
        <v>8</v>
      </c>
      <c r="P159" s="5" t="b">
        <v>0</v>
      </c>
      <c r="Q159" s="3">
        <v>19</v>
      </c>
      <c r="R159" s="3">
        <v>3</v>
      </c>
      <c r="T159">
        <f t="shared" si="2"/>
        <v>1</v>
      </c>
    </row>
    <row r="160" spans="1:20">
      <c r="A160" s="5" t="s">
        <v>109</v>
      </c>
      <c r="B160" s="5" t="s">
        <v>110</v>
      </c>
      <c r="C160" s="6">
        <v>45187</v>
      </c>
      <c r="D160" s="5">
        <v>20</v>
      </c>
      <c r="E160" s="5" t="s">
        <v>36</v>
      </c>
      <c r="F160" s="5" t="s">
        <v>73</v>
      </c>
      <c r="G160" s="5" t="s">
        <v>53</v>
      </c>
      <c r="H160" s="7">
        <v>45.89</v>
      </c>
      <c r="I160" s="3">
        <v>1</v>
      </c>
      <c r="J160" s="4">
        <v>3.46</v>
      </c>
      <c r="K160" s="7">
        <v>42.43</v>
      </c>
      <c r="L160" s="5" t="s">
        <v>23</v>
      </c>
      <c r="M160" s="5" t="s">
        <v>24</v>
      </c>
      <c r="N160" s="3">
        <v>8</v>
      </c>
      <c r="O160" s="3">
        <v>6</v>
      </c>
      <c r="P160" s="5" t="b">
        <v>0</v>
      </c>
      <c r="Q160" s="3">
        <v>6</v>
      </c>
      <c r="R160" s="3">
        <v>4</v>
      </c>
      <c r="T160">
        <f t="shared" si="2"/>
        <v>1</v>
      </c>
    </row>
    <row r="161" spans="1:20">
      <c r="A161" s="5" t="s">
        <v>797</v>
      </c>
      <c r="B161" s="5" t="s">
        <v>798</v>
      </c>
      <c r="C161" s="6">
        <v>45179</v>
      </c>
      <c r="D161" s="5">
        <v>42</v>
      </c>
      <c r="E161" s="5" t="s">
        <v>20</v>
      </c>
      <c r="F161" s="5" t="s">
        <v>73</v>
      </c>
      <c r="G161" s="5" t="s">
        <v>37</v>
      </c>
      <c r="H161" s="7">
        <v>38.5</v>
      </c>
      <c r="I161" s="3">
        <v>1</v>
      </c>
      <c r="J161" s="4">
        <v>7.72</v>
      </c>
      <c r="K161" s="7">
        <v>30.78</v>
      </c>
      <c r="L161" s="5" t="s">
        <v>692</v>
      </c>
      <c r="M161" s="5" t="s">
        <v>24</v>
      </c>
      <c r="N161" s="3">
        <v>14</v>
      </c>
      <c r="O161" s="3">
        <v>6</v>
      </c>
      <c r="P161" s="5" t="b">
        <v>1</v>
      </c>
      <c r="Q161" s="3">
        <v>9</v>
      </c>
      <c r="R161" s="3">
        <v>4</v>
      </c>
      <c r="T161">
        <f t="shared" si="2"/>
        <v>1</v>
      </c>
    </row>
    <row r="162" spans="1:20">
      <c r="A162" s="5" t="s">
        <v>799</v>
      </c>
      <c r="B162" s="5" t="s">
        <v>800</v>
      </c>
      <c r="C162" s="6">
        <v>44973</v>
      </c>
      <c r="D162" s="5">
        <v>23</v>
      </c>
      <c r="E162" s="5" t="s">
        <v>20</v>
      </c>
      <c r="F162" s="5" t="s">
        <v>32</v>
      </c>
      <c r="G162" s="5" t="s">
        <v>64</v>
      </c>
      <c r="H162" s="7">
        <v>2365.5</v>
      </c>
      <c r="I162" s="3">
        <v>2</v>
      </c>
      <c r="J162" s="4">
        <v>0</v>
      </c>
      <c r="K162" s="7">
        <v>4731</v>
      </c>
      <c r="L162" s="5" t="s">
        <v>692</v>
      </c>
      <c r="M162" s="5" t="s">
        <v>24</v>
      </c>
      <c r="N162" s="3">
        <v>16</v>
      </c>
      <c r="O162" s="3">
        <v>8</v>
      </c>
      <c r="P162" s="5" t="b">
        <v>1</v>
      </c>
      <c r="Q162" s="3">
        <v>3</v>
      </c>
      <c r="R162" s="3">
        <v>4</v>
      </c>
      <c r="T162">
        <f t="shared" si="2"/>
        <v>1</v>
      </c>
    </row>
    <row r="163" spans="1:20">
      <c r="A163" s="5" t="s">
        <v>412</v>
      </c>
      <c r="B163" s="5" t="s">
        <v>413</v>
      </c>
      <c r="C163" s="6">
        <v>45313</v>
      </c>
      <c r="D163" s="5">
        <v>44</v>
      </c>
      <c r="E163" s="5" t="s">
        <v>20</v>
      </c>
      <c r="F163" s="5" t="s">
        <v>52</v>
      </c>
      <c r="G163" s="5" t="s">
        <v>28</v>
      </c>
      <c r="H163" s="7">
        <v>113.19</v>
      </c>
      <c r="I163" s="3">
        <v>3</v>
      </c>
      <c r="J163" s="4">
        <v>0</v>
      </c>
      <c r="K163" s="7">
        <v>339.57</v>
      </c>
      <c r="L163" s="5" t="s">
        <v>327</v>
      </c>
      <c r="M163" s="5" t="s">
        <v>33</v>
      </c>
      <c r="N163" s="3">
        <v>18</v>
      </c>
      <c r="O163" s="3">
        <v>9</v>
      </c>
      <c r="P163" s="5" t="b">
        <v>0</v>
      </c>
      <c r="Q163" s="3">
        <v>16</v>
      </c>
      <c r="R163" s="3">
        <v>1</v>
      </c>
      <c r="T163">
        <f t="shared" si="2"/>
        <v>1</v>
      </c>
    </row>
    <row r="164" spans="1:20">
      <c r="A164" s="5" t="s">
        <v>111</v>
      </c>
      <c r="B164" s="5" t="s">
        <v>112</v>
      </c>
      <c r="C164" s="6">
        <v>44951</v>
      </c>
      <c r="D164" s="5">
        <v>48</v>
      </c>
      <c r="E164" s="5" t="s">
        <v>20</v>
      </c>
      <c r="F164" s="5" t="s">
        <v>52</v>
      </c>
      <c r="G164" s="5" t="s">
        <v>56</v>
      </c>
      <c r="H164" s="7">
        <v>1049.78</v>
      </c>
      <c r="I164" s="3">
        <v>2</v>
      </c>
      <c r="J164" s="4">
        <v>0</v>
      </c>
      <c r="K164" s="7">
        <v>2099.56</v>
      </c>
      <c r="L164" s="5" t="s">
        <v>23</v>
      </c>
      <c r="M164" s="5" t="s">
        <v>33</v>
      </c>
      <c r="N164" s="3">
        <v>10</v>
      </c>
      <c r="O164" s="3">
        <v>7</v>
      </c>
      <c r="P164" s="5" t="b">
        <v>1</v>
      </c>
      <c r="Q164" s="3">
        <v>11</v>
      </c>
      <c r="R164" s="3">
        <v>5</v>
      </c>
      <c r="T164">
        <f t="shared" si="2"/>
        <v>1</v>
      </c>
    </row>
    <row r="165" spans="1:20">
      <c r="A165" s="5" t="s">
        <v>414</v>
      </c>
      <c r="B165" s="5" t="s">
        <v>415</v>
      </c>
      <c r="C165" s="6">
        <v>45367</v>
      </c>
      <c r="D165" s="5">
        <v>25</v>
      </c>
      <c r="E165" s="5" t="s">
        <v>36</v>
      </c>
      <c r="F165" s="5" t="s">
        <v>83</v>
      </c>
      <c r="G165" s="5" t="s">
        <v>46</v>
      </c>
      <c r="H165" s="7">
        <v>221.81</v>
      </c>
      <c r="I165" s="3">
        <v>1</v>
      </c>
      <c r="J165" s="4">
        <v>0</v>
      </c>
      <c r="K165" s="7">
        <v>221.81</v>
      </c>
      <c r="L165" s="5" t="s">
        <v>327</v>
      </c>
      <c r="M165" s="5" t="s">
        <v>33</v>
      </c>
      <c r="N165" s="3">
        <v>8</v>
      </c>
      <c r="O165" s="3">
        <v>6</v>
      </c>
      <c r="P165" s="5" t="b">
        <v>0</v>
      </c>
      <c r="Q165" s="3">
        <v>4</v>
      </c>
      <c r="R165" s="3">
        <v>2</v>
      </c>
      <c r="T165">
        <f t="shared" si="2"/>
        <v>1</v>
      </c>
    </row>
    <row r="166" spans="1:20">
      <c r="A166" s="5" t="s">
        <v>113</v>
      </c>
      <c r="B166" s="5" t="s">
        <v>114</v>
      </c>
      <c r="C166" s="6">
        <v>44983</v>
      </c>
      <c r="D166" s="5">
        <v>46</v>
      </c>
      <c r="E166" s="5" t="s">
        <v>20</v>
      </c>
      <c r="F166" s="5" t="s">
        <v>52</v>
      </c>
      <c r="G166" s="5" t="s">
        <v>115</v>
      </c>
      <c r="H166" s="7">
        <v>40.43</v>
      </c>
      <c r="I166" s="3">
        <v>3</v>
      </c>
      <c r="J166" s="4">
        <v>9.11</v>
      </c>
      <c r="K166" s="7">
        <v>112.18</v>
      </c>
      <c r="L166" s="5" t="s">
        <v>23</v>
      </c>
      <c r="M166" s="5" t="s">
        <v>33</v>
      </c>
      <c r="N166" s="3">
        <v>4</v>
      </c>
      <c r="O166" s="3">
        <v>8</v>
      </c>
      <c r="P166" s="5" t="b">
        <v>0</v>
      </c>
      <c r="Q166" s="3">
        <v>8</v>
      </c>
      <c r="R166" s="3">
        <v>5</v>
      </c>
      <c r="T166">
        <f t="shared" si="2"/>
        <v>1</v>
      </c>
    </row>
    <row r="167" spans="1:20">
      <c r="A167" s="5" t="s">
        <v>801</v>
      </c>
      <c r="B167" s="5" t="s">
        <v>802</v>
      </c>
      <c r="C167" s="6">
        <v>45005</v>
      </c>
      <c r="D167" s="5">
        <v>39</v>
      </c>
      <c r="E167" s="5" t="s">
        <v>20</v>
      </c>
      <c r="F167" s="5" t="s">
        <v>88</v>
      </c>
      <c r="G167" s="5" t="s">
        <v>115</v>
      </c>
      <c r="H167" s="7">
        <v>85.71</v>
      </c>
      <c r="I167" s="3">
        <v>1</v>
      </c>
      <c r="J167" s="4">
        <v>0</v>
      </c>
      <c r="K167" s="7">
        <v>85.71</v>
      </c>
      <c r="L167" s="5" t="s">
        <v>692</v>
      </c>
      <c r="M167" s="5" t="s">
        <v>33</v>
      </c>
      <c r="N167" s="3">
        <v>16</v>
      </c>
      <c r="O167" s="3">
        <v>12</v>
      </c>
      <c r="P167" s="5" t="b">
        <v>1</v>
      </c>
      <c r="Q167" s="3">
        <v>8</v>
      </c>
      <c r="R167" s="3">
        <v>5</v>
      </c>
      <c r="T167">
        <f t="shared" si="2"/>
        <v>1</v>
      </c>
    </row>
    <row r="168" spans="1:20">
      <c r="A168" s="5" t="s">
        <v>416</v>
      </c>
      <c r="B168" s="5" t="s">
        <v>417</v>
      </c>
      <c r="C168" s="6">
        <v>45248</v>
      </c>
      <c r="D168" s="5">
        <v>44</v>
      </c>
      <c r="E168" s="5" t="s">
        <v>20</v>
      </c>
      <c r="F168" s="5" t="s">
        <v>49</v>
      </c>
      <c r="G168" s="5" t="s">
        <v>64</v>
      </c>
      <c r="H168" s="7">
        <v>758.95</v>
      </c>
      <c r="I168" s="3">
        <v>2</v>
      </c>
      <c r="J168" s="4">
        <v>108.29</v>
      </c>
      <c r="K168" s="7">
        <v>1409.61</v>
      </c>
      <c r="L168" s="5" t="s">
        <v>327</v>
      </c>
      <c r="M168" s="5" t="s">
        <v>29</v>
      </c>
      <c r="N168" s="3">
        <v>6</v>
      </c>
      <c r="O168" s="3">
        <v>7</v>
      </c>
      <c r="P168" s="5" t="b">
        <v>1</v>
      </c>
      <c r="Q168" s="3">
        <v>9</v>
      </c>
      <c r="R168" s="3">
        <v>4</v>
      </c>
      <c r="T168">
        <f t="shared" si="2"/>
        <v>1</v>
      </c>
    </row>
    <row r="169" spans="1:20">
      <c r="A169" s="5" t="s">
        <v>803</v>
      </c>
      <c r="B169" s="5" t="s">
        <v>804</v>
      </c>
      <c r="C169" s="6">
        <v>45008</v>
      </c>
      <c r="D169" s="5">
        <v>57</v>
      </c>
      <c r="E169" s="5" t="s">
        <v>20</v>
      </c>
      <c r="F169" s="5" t="s">
        <v>52</v>
      </c>
      <c r="G169" s="5" t="s">
        <v>28</v>
      </c>
      <c r="H169" s="7">
        <v>236.55</v>
      </c>
      <c r="I169" s="3">
        <v>3</v>
      </c>
      <c r="J169" s="4">
        <v>0</v>
      </c>
      <c r="K169" s="7">
        <v>709.65</v>
      </c>
      <c r="L169" s="5" t="s">
        <v>692</v>
      </c>
      <c r="M169" s="5" t="s">
        <v>24</v>
      </c>
      <c r="N169" s="3">
        <v>11</v>
      </c>
      <c r="O169" s="3">
        <v>10</v>
      </c>
      <c r="P169" s="5" t="b">
        <v>0</v>
      </c>
      <c r="Q169" s="3">
        <v>6</v>
      </c>
      <c r="R169" s="3">
        <v>3</v>
      </c>
      <c r="T169">
        <f t="shared" si="2"/>
        <v>1</v>
      </c>
    </row>
    <row r="170" spans="1:20">
      <c r="A170" s="5" t="s">
        <v>1252</v>
      </c>
      <c r="B170" s="5" t="s">
        <v>1253</v>
      </c>
      <c r="C170" s="6">
        <v>45332</v>
      </c>
      <c r="D170" s="5">
        <v>32</v>
      </c>
      <c r="E170" s="5" t="s">
        <v>20</v>
      </c>
      <c r="F170" s="5" t="s">
        <v>73</v>
      </c>
      <c r="G170" s="5" t="s">
        <v>28</v>
      </c>
      <c r="H170" s="7">
        <v>28.21</v>
      </c>
      <c r="I170" s="3">
        <v>1</v>
      </c>
      <c r="J170" s="4">
        <v>0</v>
      </c>
      <c r="K170" s="7">
        <v>28.21</v>
      </c>
      <c r="L170" s="5" t="s">
        <v>1231</v>
      </c>
      <c r="M170" s="5" t="s">
        <v>24</v>
      </c>
      <c r="N170" s="3">
        <v>6</v>
      </c>
      <c r="O170" s="3">
        <v>11</v>
      </c>
      <c r="P170" s="5" t="b">
        <v>1</v>
      </c>
      <c r="Q170" s="3">
        <v>3</v>
      </c>
      <c r="R170" s="3">
        <v>4</v>
      </c>
      <c r="T170">
        <f t="shared" si="2"/>
        <v>1</v>
      </c>
    </row>
    <row r="171" spans="1:20">
      <c r="A171" s="5" t="s">
        <v>805</v>
      </c>
      <c r="B171" s="5" t="s">
        <v>806</v>
      </c>
      <c r="C171" s="6">
        <v>45275</v>
      </c>
      <c r="D171" s="5">
        <v>25</v>
      </c>
      <c r="E171" s="5" t="s">
        <v>36</v>
      </c>
      <c r="F171" s="5" t="s">
        <v>59</v>
      </c>
      <c r="G171" s="5" t="s">
        <v>28</v>
      </c>
      <c r="H171" s="7">
        <v>58.14</v>
      </c>
      <c r="I171" s="3">
        <v>1</v>
      </c>
      <c r="J171" s="4">
        <v>0</v>
      </c>
      <c r="K171" s="7">
        <v>58.14</v>
      </c>
      <c r="L171" s="5" t="s">
        <v>692</v>
      </c>
      <c r="M171" s="5" t="s">
        <v>24</v>
      </c>
      <c r="N171" s="3">
        <v>12</v>
      </c>
      <c r="O171" s="3">
        <v>5</v>
      </c>
      <c r="P171" s="5" t="b">
        <v>1</v>
      </c>
      <c r="Q171" s="3">
        <v>7</v>
      </c>
      <c r="R171" s="3">
        <v>3</v>
      </c>
      <c r="T171">
        <f t="shared" si="2"/>
        <v>1</v>
      </c>
    </row>
    <row r="172" spans="1:20">
      <c r="A172" s="5" t="s">
        <v>807</v>
      </c>
      <c r="B172" s="5" t="s">
        <v>808</v>
      </c>
      <c r="C172" s="6">
        <v>45143</v>
      </c>
      <c r="D172" s="5">
        <v>24</v>
      </c>
      <c r="E172" s="5" t="s">
        <v>36</v>
      </c>
      <c r="F172" s="5" t="s">
        <v>88</v>
      </c>
      <c r="G172" s="5" t="s">
        <v>37</v>
      </c>
      <c r="H172" s="7">
        <v>99.2</v>
      </c>
      <c r="I172" s="3">
        <v>1</v>
      </c>
      <c r="J172" s="4">
        <v>0</v>
      </c>
      <c r="K172" s="7">
        <v>99.2</v>
      </c>
      <c r="L172" s="5" t="s">
        <v>692</v>
      </c>
      <c r="M172" s="5" t="s">
        <v>24</v>
      </c>
      <c r="N172" s="3">
        <v>13</v>
      </c>
      <c r="O172" s="3">
        <v>10</v>
      </c>
      <c r="P172" s="5" t="b">
        <v>1</v>
      </c>
      <c r="Q172" s="3">
        <v>3</v>
      </c>
      <c r="R172" s="3">
        <v>3</v>
      </c>
      <c r="T172">
        <f t="shared" si="2"/>
        <v>1</v>
      </c>
    </row>
    <row r="173" spans="1:20">
      <c r="A173" s="5" t="s">
        <v>1331</v>
      </c>
      <c r="B173" s="5" t="s">
        <v>1332</v>
      </c>
      <c r="C173" s="6">
        <v>45232</v>
      </c>
      <c r="D173" s="5">
        <v>25</v>
      </c>
      <c r="E173" s="5" t="s">
        <v>36</v>
      </c>
      <c r="F173" s="5" t="s">
        <v>32</v>
      </c>
      <c r="G173" s="5" t="s">
        <v>64</v>
      </c>
      <c r="H173" s="7">
        <v>2214.16</v>
      </c>
      <c r="I173" s="3">
        <v>2</v>
      </c>
      <c r="J173" s="4">
        <v>0</v>
      </c>
      <c r="K173" s="7">
        <v>4428.32</v>
      </c>
      <c r="L173" s="5" t="s">
        <v>1298</v>
      </c>
      <c r="M173" s="5" t="s">
        <v>24</v>
      </c>
      <c r="N173" s="3">
        <v>17</v>
      </c>
      <c r="O173" s="3">
        <v>8</v>
      </c>
      <c r="P173" s="5" t="b">
        <v>1</v>
      </c>
      <c r="Q173" s="3">
        <v>17</v>
      </c>
      <c r="R173" s="3">
        <v>5</v>
      </c>
      <c r="T173">
        <f t="shared" si="2"/>
        <v>1</v>
      </c>
    </row>
    <row r="174" spans="1:20">
      <c r="A174" s="5" t="s">
        <v>1254</v>
      </c>
      <c r="B174" s="5" t="s">
        <v>1255</v>
      </c>
      <c r="C174" s="6">
        <v>44959</v>
      </c>
      <c r="D174" s="5">
        <v>34</v>
      </c>
      <c r="E174" s="5" t="s">
        <v>36</v>
      </c>
      <c r="F174" s="5" t="s">
        <v>52</v>
      </c>
      <c r="G174" s="5" t="s">
        <v>64</v>
      </c>
      <c r="H174" s="7">
        <v>1563.53</v>
      </c>
      <c r="I174" s="3">
        <v>3</v>
      </c>
      <c r="J174" s="4">
        <v>0</v>
      </c>
      <c r="K174" s="7">
        <v>4690.59</v>
      </c>
      <c r="L174" s="5" t="s">
        <v>1231</v>
      </c>
      <c r="M174" s="5" t="s">
        <v>24</v>
      </c>
      <c r="N174" s="3">
        <v>5</v>
      </c>
      <c r="O174" s="3">
        <v>8</v>
      </c>
      <c r="P174" s="5" t="b">
        <v>1</v>
      </c>
      <c r="Q174" s="3">
        <v>7</v>
      </c>
      <c r="R174" s="3">
        <v>4</v>
      </c>
      <c r="T174">
        <f t="shared" si="2"/>
        <v>1</v>
      </c>
    </row>
    <row r="175" spans="1:20">
      <c r="A175" s="5" t="s">
        <v>116</v>
      </c>
      <c r="B175" s="5" t="s">
        <v>117</v>
      </c>
      <c r="C175" s="6">
        <v>45124</v>
      </c>
      <c r="D175" s="5">
        <v>39</v>
      </c>
      <c r="E175" s="5" t="s">
        <v>36</v>
      </c>
      <c r="F175" s="5" t="s">
        <v>52</v>
      </c>
      <c r="G175" s="5" t="s">
        <v>46</v>
      </c>
      <c r="H175" s="7">
        <v>617.46</v>
      </c>
      <c r="I175" s="3">
        <v>1</v>
      </c>
      <c r="J175" s="4">
        <v>0</v>
      </c>
      <c r="K175" s="7">
        <v>617.46</v>
      </c>
      <c r="L175" s="5" t="s">
        <v>23</v>
      </c>
      <c r="M175" s="5" t="s">
        <v>24</v>
      </c>
      <c r="N175" s="3">
        <v>19</v>
      </c>
      <c r="O175" s="3">
        <v>11</v>
      </c>
      <c r="P175" s="5" t="b">
        <v>1</v>
      </c>
      <c r="Q175" s="3">
        <v>2</v>
      </c>
      <c r="R175" s="3">
        <v>4</v>
      </c>
      <c r="T175">
        <f t="shared" si="2"/>
        <v>1</v>
      </c>
    </row>
    <row r="176" spans="1:20">
      <c r="A176" s="5" t="s">
        <v>809</v>
      </c>
      <c r="B176" s="5" t="s">
        <v>810</v>
      </c>
      <c r="C176" s="6">
        <v>45122</v>
      </c>
      <c r="D176" s="5">
        <v>38</v>
      </c>
      <c r="E176" s="5" t="s">
        <v>20</v>
      </c>
      <c r="F176" s="5" t="s">
        <v>32</v>
      </c>
      <c r="G176" s="5" t="s">
        <v>22</v>
      </c>
      <c r="H176" s="7">
        <v>176.32</v>
      </c>
      <c r="I176" s="3">
        <v>1</v>
      </c>
      <c r="J176" s="4">
        <v>0</v>
      </c>
      <c r="K176" s="7">
        <v>176.32</v>
      </c>
      <c r="L176" s="5" t="s">
        <v>692</v>
      </c>
      <c r="M176" s="5" t="s">
        <v>24</v>
      </c>
      <c r="N176" s="3">
        <v>19</v>
      </c>
      <c r="O176" s="3">
        <v>14</v>
      </c>
      <c r="P176" s="5" t="b">
        <v>0</v>
      </c>
      <c r="Q176" s="3">
        <v>5</v>
      </c>
      <c r="R176" s="3">
        <v>5</v>
      </c>
      <c r="T176">
        <f t="shared" si="2"/>
        <v>1</v>
      </c>
    </row>
    <row r="177" spans="1:20">
      <c r="A177" s="5" t="s">
        <v>418</v>
      </c>
      <c r="B177" s="5" t="s">
        <v>419</v>
      </c>
      <c r="C177" s="6">
        <v>45232</v>
      </c>
      <c r="D177" s="5">
        <v>44</v>
      </c>
      <c r="E177" s="5" t="s">
        <v>36</v>
      </c>
      <c r="F177" s="5" t="s">
        <v>73</v>
      </c>
      <c r="G177" s="5" t="s">
        <v>37</v>
      </c>
      <c r="H177" s="7">
        <v>24.55</v>
      </c>
      <c r="I177" s="3">
        <v>1</v>
      </c>
      <c r="J177" s="4">
        <v>2.4500000000000002</v>
      </c>
      <c r="K177" s="7">
        <v>22.1</v>
      </c>
      <c r="L177" s="5" t="s">
        <v>327</v>
      </c>
      <c r="M177" s="5" t="s">
        <v>33</v>
      </c>
      <c r="N177" s="3">
        <v>7</v>
      </c>
      <c r="O177" s="3">
        <v>7</v>
      </c>
      <c r="P177" s="5" t="b">
        <v>0</v>
      </c>
      <c r="Q177" s="3">
        <v>7</v>
      </c>
      <c r="R177" s="3">
        <v>2</v>
      </c>
      <c r="T177">
        <f t="shared" si="2"/>
        <v>1</v>
      </c>
    </row>
    <row r="178" spans="1:20">
      <c r="A178" s="5" t="s">
        <v>420</v>
      </c>
      <c r="B178" s="5" t="s">
        <v>421</v>
      </c>
      <c r="C178" s="6">
        <v>45166</v>
      </c>
      <c r="D178" s="5">
        <v>35</v>
      </c>
      <c r="E178" s="5" t="s">
        <v>36</v>
      </c>
      <c r="F178" s="5" t="s">
        <v>88</v>
      </c>
      <c r="G178" s="5" t="s">
        <v>28</v>
      </c>
      <c r="H178" s="7">
        <v>118.56</v>
      </c>
      <c r="I178" s="3">
        <v>2</v>
      </c>
      <c r="J178" s="4">
        <v>10.62</v>
      </c>
      <c r="K178" s="7">
        <v>226.5</v>
      </c>
      <c r="L178" s="5" t="s">
        <v>327</v>
      </c>
      <c r="M178" s="5" t="s">
        <v>33</v>
      </c>
      <c r="N178" s="3">
        <v>6</v>
      </c>
      <c r="O178" s="3">
        <v>12</v>
      </c>
      <c r="P178" s="5" t="b">
        <v>1</v>
      </c>
      <c r="Q178" s="3">
        <v>19</v>
      </c>
      <c r="R178" s="3">
        <v>4</v>
      </c>
      <c r="T178">
        <f t="shared" si="2"/>
        <v>1</v>
      </c>
    </row>
    <row r="179" spans="1:20">
      <c r="A179" s="5" t="s">
        <v>118</v>
      </c>
      <c r="B179" s="5" t="s">
        <v>119</v>
      </c>
      <c r="C179" s="6">
        <v>45197</v>
      </c>
      <c r="D179" s="5">
        <v>52</v>
      </c>
      <c r="E179" s="5" t="s">
        <v>36</v>
      </c>
      <c r="F179" s="5" t="s">
        <v>52</v>
      </c>
      <c r="G179" s="5" t="s">
        <v>46</v>
      </c>
      <c r="H179" s="7">
        <v>357.87</v>
      </c>
      <c r="I179" s="3">
        <v>1</v>
      </c>
      <c r="J179" s="4">
        <v>39.409999999999997</v>
      </c>
      <c r="K179" s="7">
        <v>318.45999999999998</v>
      </c>
      <c r="L179" s="5" t="s">
        <v>23</v>
      </c>
      <c r="M179" s="5" t="s">
        <v>33</v>
      </c>
      <c r="N179" s="3">
        <v>9</v>
      </c>
      <c r="O179" s="3">
        <v>9</v>
      </c>
      <c r="P179" s="5" t="b">
        <v>1</v>
      </c>
      <c r="Q179" s="3">
        <v>3</v>
      </c>
      <c r="R179" s="3">
        <v>4</v>
      </c>
      <c r="T179">
        <f t="shared" si="2"/>
        <v>1</v>
      </c>
    </row>
    <row r="180" spans="1:20">
      <c r="A180" s="5" t="s">
        <v>811</v>
      </c>
      <c r="B180" s="5" t="s">
        <v>812</v>
      </c>
      <c r="C180" s="6">
        <v>45055</v>
      </c>
      <c r="D180" s="5">
        <v>31</v>
      </c>
      <c r="E180" s="5" t="s">
        <v>36</v>
      </c>
      <c r="F180" s="5" t="s">
        <v>27</v>
      </c>
      <c r="G180" s="5" t="s">
        <v>64</v>
      </c>
      <c r="H180" s="7">
        <v>3135.28</v>
      </c>
      <c r="I180" s="3">
        <v>1</v>
      </c>
      <c r="J180" s="4">
        <v>286.99</v>
      </c>
      <c r="K180" s="7">
        <v>2848.29</v>
      </c>
      <c r="L180" s="5" t="s">
        <v>692</v>
      </c>
      <c r="M180" s="5" t="s">
        <v>33</v>
      </c>
      <c r="N180" s="3">
        <v>28</v>
      </c>
      <c r="O180" s="3">
        <v>13</v>
      </c>
      <c r="P180" s="5" t="b">
        <v>0</v>
      </c>
      <c r="Q180" s="3">
        <v>3</v>
      </c>
      <c r="R180" s="3">
        <v>4</v>
      </c>
      <c r="T180">
        <f t="shared" si="2"/>
        <v>1</v>
      </c>
    </row>
    <row r="181" spans="1:20">
      <c r="A181" s="5" t="s">
        <v>813</v>
      </c>
      <c r="B181" s="5" t="s">
        <v>814</v>
      </c>
      <c r="C181" s="6">
        <v>45210</v>
      </c>
      <c r="D181" s="5">
        <v>67</v>
      </c>
      <c r="E181" s="5" t="s">
        <v>20</v>
      </c>
      <c r="F181" s="5" t="s">
        <v>49</v>
      </c>
      <c r="G181" s="5" t="s">
        <v>37</v>
      </c>
      <c r="H181" s="7">
        <v>144.91999999999999</v>
      </c>
      <c r="I181" s="3">
        <v>5</v>
      </c>
      <c r="J181" s="4">
        <v>18.88</v>
      </c>
      <c r="K181" s="7">
        <v>705.72</v>
      </c>
      <c r="L181" s="5" t="s">
        <v>692</v>
      </c>
      <c r="M181" s="5" t="s">
        <v>24</v>
      </c>
      <c r="N181" s="3">
        <v>4</v>
      </c>
      <c r="O181" s="3">
        <v>7</v>
      </c>
      <c r="P181" s="5" t="b">
        <v>1</v>
      </c>
      <c r="Q181" s="3">
        <v>6</v>
      </c>
      <c r="R181" s="3">
        <v>5</v>
      </c>
      <c r="T181">
        <f t="shared" si="2"/>
        <v>1</v>
      </c>
    </row>
    <row r="182" spans="1:20">
      <c r="A182" s="5" t="s">
        <v>422</v>
      </c>
      <c r="B182" s="5" t="s">
        <v>423</v>
      </c>
      <c r="C182" s="6">
        <v>45367</v>
      </c>
      <c r="D182" s="5">
        <v>42</v>
      </c>
      <c r="E182" s="5" t="s">
        <v>36</v>
      </c>
      <c r="F182" s="5" t="s">
        <v>52</v>
      </c>
      <c r="G182" s="5" t="s">
        <v>56</v>
      </c>
      <c r="H182" s="7">
        <v>239.92</v>
      </c>
      <c r="I182" s="3">
        <v>1</v>
      </c>
      <c r="J182" s="4">
        <v>0</v>
      </c>
      <c r="K182" s="7">
        <v>239.92</v>
      </c>
      <c r="L182" s="5" t="s">
        <v>327</v>
      </c>
      <c r="M182" s="5" t="s">
        <v>33</v>
      </c>
      <c r="N182" s="3">
        <v>18</v>
      </c>
      <c r="O182" s="3">
        <v>11</v>
      </c>
      <c r="P182" s="5" t="b">
        <v>1</v>
      </c>
      <c r="Q182" s="3">
        <v>6</v>
      </c>
      <c r="R182" s="3">
        <v>5</v>
      </c>
      <c r="T182">
        <f t="shared" si="2"/>
        <v>1</v>
      </c>
    </row>
    <row r="183" spans="1:20">
      <c r="A183" s="5" t="s">
        <v>815</v>
      </c>
      <c r="B183" s="5" t="s">
        <v>816</v>
      </c>
      <c r="C183" s="6">
        <v>44932</v>
      </c>
      <c r="D183" s="5">
        <v>24</v>
      </c>
      <c r="E183" s="5" t="s">
        <v>36</v>
      </c>
      <c r="F183" s="5" t="s">
        <v>32</v>
      </c>
      <c r="G183" s="5" t="s">
        <v>64</v>
      </c>
      <c r="H183" s="7">
        <v>164.61</v>
      </c>
      <c r="I183" s="3">
        <v>1</v>
      </c>
      <c r="J183" s="4">
        <v>28.42</v>
      </c>
      <c r="K183" s="7">
        <v>136.19</v>
      </c>
      <c r="L183" s="5" t="s">
        <v>692</v>
      </c>
      <c r="M183" s="5" t="s">
        <v>33</v>
      </c>
      <c r="N183" s="3">
        <v>15</v>
      </c>
      <c r="O183" s="3">
        <v>12</v>
      </c>
      <c r="P183" s="5" t="b">
        <v>1</v>
      </c>
      <c r="Q183" s="3">
        <v>7</v>
      </c>
      <c r="R183" s="3">
        <v>4</v>
      </c>
      <c r="T183">
        <f t="shared" si="2"/>
        <v>1</v>
      </c>
    </row>
    <row r="184" spans="1:20">
      <c r="A184" s="5" t="s">
        <v>120</v>
      </c>
      <c r="B184" s="5" t="s">
        <v>121</v>
      </c>
      <c r="C184" s="6">
        <v>45275</v>
      </c>
      <c r="D184" s="5">
        <v>22</v>
      </c>
      <c r="E184" s="5" t="s">
        <v>122</v>
      </c>
      <c r="F184" s="5" t="s">
        <v>27</v>
      </c>
      <c r="G184" s="5" t="s">
        <v>56</v>
      </c>
      <c r="H184" s="7">
        <v>532.57000000000005</v>
      </c>
      <c r="I184" s="3">
        <v>5</v>
      </c>
      <c r="J184" s="4">
        <v>0</v>
      </c>
      <c r="K184" s="7">
        <v>2662.85</v>
      </c>
      <c r="L184" s="5" t="s">
        <v>23</v>
      </c>
      <c r="M184" s="5" t="s">
        <v>24</v>
      </c>
      <c r="N184" s="3">
        <v>30</v>
      </c>
      <c r="O184" s="3">
        <v>10</v>
      </c>
      <c r="P184" s="5" t="b">
        <v>1</v>
      </c>
      <c r="Q184" s="3">
        <v>8</v>
      </c>
      <c r="R184" s="3">
        <v>4</v>
      </c>
      <c r="T184">
        <f t="shared" si="2"/>
        <v>1</v>
      </c>
    </row>
    <row r="185" spans="1:20">
      <c r="A185" s="5" t="s">
        <v>123</v>
      </c>
      <c r="B185" s="5" t="s">
        <v>124</v>
      </c>
      <c r="C185" s="6">
        <v>45296</v>
      </c>
      <c r="D185" s="5">
        <v>40</v>
      </c>
      <c r="E185" s="5" t="s">
        <v>20</v>
      </c>
      <c r="F185" s="5" t="s">
        <v>88</v>
      </c>
      <c r="G185" s="5" t="s">
        <v>53</v>
      </c>
      <c r="H185" s="7">
        <v>34.9</v>
      </c>
      <c r="I185" s="3">
        <v>2</v>
      </c>
      <c r="J185" s="4">
        <v>0</v>
      </c>
      <c r="K185" s="7">
        <v>69.8</v>
      </c>
      <c r="L185" s="5" t="s">
        <v>23</v>
      </c>
      <c r="M185" s="5" t="s">
        <v>33</v>
      </c>
      <c r="N185" s="3">
        <v>20</v>
      </c>
      <c r="O185" s="3">
        <v>6</v>
      </c>
      <c r="P185" s="5" t="b">
        <v>0</v>
      </c>
      <c r="Q185" s="3">
        <v>7</v>
      </c>
      <c r="R185" s="3">
        <v>4</v>
      </c>
      <c r="T185">
        <f t="shared" si="2"/>
        <v>1</v>
      </c>
    </row>
    <row r="186" spans="1:20">
      <c r="A186" s="5" t="s">
        <v>125</v>
      </c>
      <c r="B186" s="5" t="s">
        <v>126</v>
      </c>
      <c r="C186" s="6">
        <v>44985</v>
      </c>
      <c r="D186" s="5">
        <v>32</v>
      </c>
      <c r="E186" s="5" t="s">
        <v>20</v>
      </c>
      <c r="F186" s="5" t="s">
        <v>49</v>
      </c>
      <c r="G186" s="5" t="s">
        <v>56</v>
      </c>
      <c r="H186" s="7">
        <v>1647.9</v>
      </c>
      <c r="I186" s="3">
        <v>4</v>
      </c>
      <c r="J186" s="4">
        <v>361.69</v>
      </c>
      <c r="K186" s="7">
        <v>6229.91</v>
      </c>
      <c r="L186" s="5" t="s">
        <v>23</v>
      </c>
      <c r="M186" s="5" t="s">
        <v>29</v>
      </c>
      <c r="N186" s="3">
        <v>1</v>
      </c>
      <c r="O186" s="3">
        <v>13</v>
      </c>
      <c r="P186" s="5" t="b">
        <v>0</v>
      </c>
      <c r="Q186" s="3">
        <v>14</v>
      </c>
      <c r="R186" s="3">
        <v>5</v>
      </c>
      <c r="T186">
        <f t="shared" si="2"/>
        <v>1</v>
      </c>
    </row>
    <row r="187" spans="1:20">
      <c r="A187" s="5" t="s">
        <v>424</v>
      </c>
      <c r="B187" s="5" t="s">
        <v>425</v>
      </c>
      <c r="C187" s="6">
        <v>45276</v>
      </c>
      <c r="D187" s="5">
        <v>43</v>
      </c>
      <c r="E187" s="5" t="s">
        <v>20</v>
      </c>
      <c r="F187" s="5" t="s">
        <v>32</v>
      </c>
      <c r="G187" s="5" t="s">
        <v>64</v>
      </c>
      <c r="H187" s="7">
        <v>3200.17</v>
      </c>
      <c r="I187" s="3">
        <v>5</v>
      </c>
      <c r="J187" s="4">
        <v>0</v>
      </c>
      <c r="K187" s="7">
        <v>16000.85</v>
      </c>
      <c r="L187" s="5" t="s">
        <v>327</v>
      </c>
      <c r="M187" s="5" t="s">
        <v>24</v>
      </c>
      <c r="N187" s="3">
        <v>23</v>
      </c>
      <c r="O187" s="3">
        <v>12</v>
      </c>
      <c r="P187" s="5" t="b">
        <v>0</v>
      </c>
      <c r="Q187" s="3">
        <v>7</v>
      </c>
      <c r="R187" s="3">
        <v>5</v>
      </c>
      <c r="T187">
        <f t="shared" si="2"/>
        <v>1</v>
      </c>
    </row>
    <row r="188" spans="1:20">
      <c r="A188" s="5" t="s">
        <v>1333</v>
      </c>
      <c r="B188" s="5" t="s">
        <v>1334</v>
      </c>
      <c r="C188" s="6">
        <v>45201</v>
      </c>
      <c r="D188" s="5">
        <v>40</v>
      </c>
      <c r="E188" s="5" t="s">
        <v>36</v>
      </c>
      <c r="F188" s="5" t="s">
        <v>32</v>
      </c>
      <c r="G188" s="5" t="s">
        <v>46</v>
      </c>
      <c r="H188" s="7">
        <v>146.52000000000001</v>
      </c>
      <c r="I188" s="3">
        <v>2</v>
      </c>
      <c r="J188" s="4">
        <v>39.08</v>
      </c>
      <c r="K188" s="7">
        <v>253.96</v>
      </c>
      <c r="L188" s="5" t="s">
        <v>1298</v>
      </c>
      <c r="M188" s="5" t="s">
        <v>24</v>
      </c>
      <c r="N188" s="3">
        <v>9</v>
      </c>
      <c r="O188" s="3">
        <v>9</v>
      </c>
      <c r="P188" s="5" t="b">
        <v>0</v>
      </c>
      <c r="Q188" s="3">
        <v>4</v>
      </c>
      <c r="R188" s="3">
        <v>3</v>
      </c>
      <c r="T188">
        <f t="shared" si="2"/>
        <v>1</v>
      </c>
    </row>
    <row r="189" spans="1:20">
      <c r="A189" s="5" t="s">
        <v>817</v>
      </c>
      <c r="B189" s="5" t="s">
        <v>818</v>
      </c>
      <c r="C189" s="6">
        <v>45311</v>
      </c>
      <c r="D189" s="5">
        <v>34</v>
      </c>
      <c r="E189" s="5" t="s">
        <v>20</v>
      </c>
      <c r="F189" s="5" t="s">
        <v>32</v>
      </c>
      <c r="G189" s="5" t="s">
        <v>64</v>
      </c>
      <c r="H189" s="7">
        <v>2258.91</v>
      </c>
      <c r="I189" s="3">
        <v>3</v>
      </c>
      <c r="J189" s="4">
        <v>0</v>
      </c>
      <c r="K189" s="7">
        <v>6776.73</v>
      </c>
      <c r="L189" s="5" t="s">
        <v>692</v>
      </c>
      <c r="M189" s="5" t="s">
        <v>24</v>
      </c>
      <c r="N189" s="3">
        <v>10</v>
      </c>
      <c r="O189" s="3">
        <v>14</v>
      </c>
      <c r="P189" s="5" t="b">
        <v>1</v>
      </c>
      <c r="Q189" s="3">
        <v>9</v>
      </c>
      <c r="R189" s="3">
        <v>2</v>
      </c>
      <c r="T189">
        <f t="shared" si="2"/>
        <v>1</v>
      </c>
    </row>
    <row r="190" spans="1:20">
      <c r="A190" s="5" t="s">
        <v>819</v>
      </c>
      <c r="B190" s="5" t="s">
        <v>820</v>
      </c>
      <c r="C190" s="6">
        <v>45063</v>
      </c>
      <c r="D190" s="5">
        <v>24</v>
      </c>
      <c r="E190" s="5" t="s">
        <v>20</v>
      </c>
      <c r="F190" s="5" t="s">
        <v>73</v>
      </c>
      <c r="G190" s="5" t="s">
        <v>64</v>
      </c>
      <c r="H190" s="7">
        <v>2019.23</v>
      </c>
      <c r="I190" s="3">
        <v>3</v>
      </c>
      <c r="J190" s="4">
        <v>0</v>
      </c>
      <c r="K190" s="7">
        <v>6057.69</v>
      </c>
      <c r="L190" s="5" t="s">
        <v>692</v>
      </c>
      <c r="M190" s="5" t="s">
        <v>24</v>
      </c>
      <c r="N190" s="3">
        <v>6</v>
      </c>
      <c r="O190" s="3">
        <v>8</v>
      </c>
      <c r="P190" s="5" t="b">
        <v>1</v>
      </c>
      <c r="Q190" s="3">
        <v>9</v>
      </c>
      <c r="R190" s="3">
        <v>5</v>
      </c>
      <c r="T190">
        <f t="shared" si="2"/>
        <v>1</v>
      </c>
    </row>
    <row r="191" spans="1:20">
      <c r="A191" s="5" t="s">
        <v>426</v>
      </c>
      <c r="B191" s="5" t="s">
        <v>427</v>
      </c>
      <c r="C191" s="6">
        <v>45320</v>
      </c>
      <c r="D191" s="5">
        <v>18</v>
      </c>
      <c r="E191" s="5" t="s">
        <v>122</v>
      </c>
      <c r="F191" s="5" t="s">
        <v>27</v>
      </c>
      <c r="G191" s="5" t="s">
        <v>53</v>
      </c>
      <c r="H191" s="7">
        <v>64.180000000000007</v>
      </c>
      <c r="I191" s="3">
        <v>3</v>
      </c>
      <c r="J191" s="4">
        <v>14.83</v>
      </c>
      <c r="K191" s="7">
        <v>177.71</v>
      </c>
      <c r="L191" s="5" t="s">
        <v>327</v>
      </c>
      <c r="M191" s="5" t="s">
        <v>24</v>
      </c>
      <c r="N191" s="3">
        <v>20</v>
      </c>
      <c r="O191" s="3">
        <v>11</v>
      </c>
      <c r="P191" s="5" t="b">
        <v>0</v>
      </c>
      <c r="Q191" s="3">
        <v>5</v>
      </c>
      <c r="R191" s="3">
        <v>3</v>
      </c>
      <c r="T191">
        <f t="shared" si="2"/>
        <v>1</v>
      </c>
    </row>
    <row r="192" spans="1:20">
      <c r="A192" s="5" t="s">
        <v>821</v>
      </c>
      <c r="B192" s="5" t="s">
        <v>822</v>
      </c>
      <c r="C192" s="6">
        <v>45255</v>
      </c>
      <c r="D192" s="5">
        <v>29</v>
      </c>
      <c r="E192" s="5" t="s">
        <v>20</v>
      </c>
      <c r="F192" s="5" t="s">
        <v>32</v>
      </c>
      <c r="G192" s="5" t="s">
        <v>28</v>
      </c>
      <c r="H192" s="7">
        <v>675.6</v>
      </c>
      <c r="I192" s="3">
        <v>1</v>
      </c>
      <c r="J192" s="4">
        <v>0</v>
      </c>
      <c r="K192" s="7">
        <v>675.6</v>
      </c>
      <c r="L192" s="5" t="s">
        <v>692</v>
      </c>
      <c r="M192" s="5" t="s">
        <v>24</v>
      </c>
      <c r="N192" s="3">
        <v>4</v>
      </c>
      <c r="O192" s="3">
        <v>10</v>
      </c>
      <c r="P192" s="5" t="b">
        <v>0</v>
      </c>
      <c r="Q192" s="3">
        <v>2</v>
      </c>
      <c r="R192" s="3">
        <v>5</v>
      </c>
      <c r="T192">
        <f t="shared" si="2"/>
        <v>1</v>
      </c>
    </row>
    <row r="193" spans="1:20">
      <c r="A193" s="5" t="s">
        <v>823</v>
      </c>
      <c r="B193" s="5" t="s">
        <v>824</v>
      </c>
      <c r="C193" s="6">
        <v>45101</v>
      </c>
      <c r="D193" s="5">
        <v>45</v>
      </c>
      <c r="E193" s="5" t="s">
        <v>36</v>
      </c>
      <c r="F193" s="5" t="s">
        <v>59</v>
      </c>
      <c r="G193" s="5" t="s">
        <v>22</v>
      </c>
      <c r="H193" s="7">
        <v>224.13</v>
      </c>
      <c r="I193" s="3">
        <v>1</v>
      </c>
      <c r="J193" s="4">
        <v>47.75</v>
      </c>
      <c r="K193" s="7">
        <v>176.38</v>
      </c>
      <c r="L193" s="5" t="s">
        <v>692</v>
      </c>
      <c r="M193" s="5" t="s">
        <v>33</v>
      </c>
      <c r="N193" s="3">
        <v>12</v>
      </c>
      <c r="O193" s="3">
        <v>7</v>
      </c>
      <c r="P193" s="5" t="b">
        <v>1</v>
      </c>
      <c r="Q193" s="3">
        <v>5</v>
      </c>
      <c r="R193" s="3">
        <v>5</v>
      </c>
      <c r="T193">
        <f t="shared" si="2"/>
        <v>1</v>
      </c>
    </row>
    <row r="194" spans="1:20">
      <c r="A194" s="5" t="s">
        <v>825</v>
      </c>
      <c r="B194" s="5" t="s">
        <v>826</v>
      </c>
      <c r="C194" s="6">
        <v>44984</v>
      </c>
      <c r="D194" s="5">
        <v>37</v>
      </c>
      <c r="E194" s="5" t="s">
        <v>20</v>
      </c>
      <c r="F194" s="5" t="s">
        <v>73</v>
      </c>
      <c r="G194" s="5" t="s">
        <v>64</v>
      </c>
      <c r="H194" s="7">
        <v>2450.69</v>
      </c>
      <c r="I194" s="3">
        <v>1</v>
      </c>
      <c r="J194" s="4">
        <v>0</v>
      </c>
      <c r="K194" s="7">
        <v>2450.69</v>
      </c>
      <c r="L194" s="5" t="s">
        <v>692</v>
      </c>
      <c r="M194" s="5" t="s">
        <v>24</v>
      </c>
      <c r="N194" s="3">
        <v>31</v>
      </c>
      <c r="O194" s="3">
        <v>8</v>
      </c>
      <c r="P194" s="5" t="b">
        <v>1</v>
      </c>
      <c r="Q194" s="3">
        <v>6</v>
      </c>
      <c r="R194" s="3">
        <v>4</v>
      </c>
      <c r="T194">
        <f t="shared" si="2"/>
        <v>1</v>
      </c>
    </row>
    <row r="195" spans="1:20">
      <c r="A195" s="5" t="s">
        <v>1335</v>
      </c>
      <c r="B195" s="5" t="s">
        <v>1336</v>
      </c>
      <c r="C195" s="6">
        <v>45077</v>
      </c>
      <c r="D195" s="5">
        <v>20</v>
      </c>
      <c r="E195" s="5" t="s">
        <v>36</v>
      </c>
      <c r="F195" s="5" t="s">
        <v>49</v>
      </c>
      <c r="G195" s="5" t="s">
        <v>53</v>
      </c>
      <c r="H195" s="7">
        <v>84.6</v>
      </c>
      <c r="I195" s="3">
        <v>3</v>
      </c>
      <c r="J195" s="4">
        <v>0</v>
      </c>
      <c r="K195" s="7">
        <v>253.8</v>
      </c>
      <c r="L195" s="5" t="s">
        <v>1298</v>
      </c>
      <c r="M195" s="5" t="s">
        <v>24</v>
      </c>
      <c r="N195" s="3">
        <v>21</v>
      </c>
      <c r="O195" s="3">
        <v>7</v>
      </c>
      <c r="P195" s="5" t="b">
        <v>0</v>
      </c>
      <c r="Q195" s="3">
        <v>2</v>
      </c>
      <c r="R195" s="3">
        <v>5</v>
      </c>
      <c r="T195">
        <f t="shared" ref="T195:T258" si="3">COUNTIF(A195:A893,A195)</f>
        <v>1</v>
      </c>
    </row>
    <row r="196" spans="1:20">
      <c r="A196" s="5" t="s">
        <v>1337</v>
      </c>
      <c r="B196" s="5" t="s">
        <v>1338</v>
      </c>
      <c r="C196" s="6">
        <v>45149</v>
      </c>
      <c r="D196" s="5">
        <v>37</v>
      </c>
      <c r="E196" s="5" t="s">
        <v>36</v>
      </c>
      <c r="F196" s="5" t="s">
        <v>83</v>
      </c>
      <c r="G196" s="5" t="s">
        <v>46</v>
      </c>
      <c r="H196" s="7">
        <v>561.6</v>
      </c>
      <c r="I196" s="3">
        <v>3</v>
      </c>
      <c r="J196" s="4">
        <v>0</v>
      </c>
      <c r="K196" s="7">
        <v>1684.8</v>
      </c>
      <c r="L196" s="5" t="s">
        <v>1298</v>
      </c>
      <c r="M196" s="5" t="s">
        <v>33</v>
      </c>
      <c r="N196" s="3">
        <v>16</v>
      </c>
      <c r="O196" s="3">
        <v>9</v>
      </c>
      <c r="P196" s="5" t="b">
        <v>1</v>
      </c>
      <c r="Q196" s="3">
        <v>4</v>
      </c>
      <c r="R196" s="3">
        <v>2</v>
      </c>
      <c r="T196">
        <f t="shared" si="3"/>
        <v>1</v>
      </c>
    </row>
    <row r="197" spans="1:20">
      <c r="A197" s="5" t="s">
        <v>428</v>
      </c>
      <c r="B197" s="5" t="s">
        <v>429</v>
      </c>
      <c r="C197" s="6">
        <v>45007</v>
      </c>
      <c r="D197" s="5">
        <v>39</v>
      </c>
      <c r="E197" s="5" t="s">
        <v>36</v>
      </c>
      <c r="F197" s="5" t="s">
        <v>32</v>
      </c>
      <c r="G197" s="5" t="s">
        <v>53</v>
      </c>
      <c r="H197" s="7">
        <v>123.96</v>
      </c>
      <c r="I197" s="3">
        <v>3</v>
      </c>
      <c r="J197" s="4">
        <v>0</v>
      </c>
      <c r="K197" s="7">
        <v>371.88</v>
      </c>
      <c r="L197" s="5" t="s">
        <v>327</v>
      </c>
      <c r="M197" s="5" t="s">
        <v>33</v>
      </c>
      <c r="N197" s="3">
        <v>9</v>
      </c>
      <c r="O197" s="3">
        <v>15</v>
      </c>
      <c r="P197" s="5" t="b">
        <v>1</v>
      </c>
      <c r="Q197" s="3">
        <v>3</v>
      </c>
      <c r="R197" s="3">
        <v>5</v>
      </c>
      <c r="T197">
        <f t="shared" si="3"/>
        <v>1</v>
      </c>
    </row>
    <row r="198" spans="1:20">
      <c r="A198" s="5" t="s">
        <v>827</v>
      </c>
      <c r="B198" s="5" t="s">
        <v>828</v>
      </c>
      <c r="C198" s="6">
        <v>45159</v>
      </c>
      <c r="D198" s="5">
        <v>24</v>
      </c>
      <c r="E198" s="5" t="s">
        <v>36</v>
      </c>
      <c r="F198" s="5" t="s">
        <v>88</v>
      </c>
      <c r="G198" s="5" t="s">
        <v>115</v>
      </c>
      <c r="H198" s="7">
        <v>68.58</v>
      </c>
      <c r="I198" s="3">
        <v>4</v>
      </c>
      <c r="J198" s="4">
        <v>0</v>
      </c>
      <c r="K198" s="7">
        <v>274.32</v>
      </c>
      <c r="L198" s="5" t="s">
        <v>692</v>
      </c>
      <c r="M198" s="5" t="s">
        <v>33</v>
      </c>
      <c r="N198" s="3">
        <v>22</v>
      </c>
      <c r="O198" s="3">
        <v>14</v>
      </c>
      <c r="P198" s="5" t="b">
        <v>1</v>
      </c>
      <c r="Q198" s="3">
        <v>3</v>
      </c>
      <c r="R198" s="3">
        <v>2</v>
      </c>
      <c r="T198">
        <f t="shared" si="3"/>
        <v>1</v>
      </c>
    </row>
    <row r="199" spans="1:20">
      <c r="A199" s="5" t="s">
        <v>829</v>
      </c>
      <c r="B199" s="5" t="s">
        <v>830</v>
      </c>
      <c r="C199" s="6">
        <v>44928</v>
      </c>
      <c r="D199" s="5">
        <v>36</v>
      </c>
      <c r="E199" s="5" t="s">
        <v>20</v>
      </c>
      <c r="F199" s="5" t="s">
        <v>32</v>
      </c>
      <c r="G199" s="5" t="s">
        <v>53</v>
      </c>
      <c r="H199" s="7">
        <v>81.91</v>
      </c>
      <c r="I199" s="3">
        <v>1</v>
      </c>
      <c r="J199" s="4">
        <v>0</v>
      </c>
      <c r="K199" s="7">
        <v>81.91</v>
      </c>
      <c r="L199" s="5" t="s">
        <v>692</v>
      </c>
      <c r="M199" s="5" t="s">
        <v>33</v>
      </c>
      <c r="N199" s="3">
        <v>8</v>
      </c>
      <c r="O199" s="3">
        <v>14</v>
      </c>
      <c r="P199" s="5" t="b">
        <v>1</v>
      </c>
      <c r="Q199" s="3">
        <v>6</v>
      </c>
      <c r="R199" s="3">
        <v>4</v>
      </c>
      <c r="T199">
        <f t="shared" si="3"/>
        <v>1</v>
      </c>
    </row>
    <row r="200" spans="1:20">
      <c r="A200" s="5" t="s">
        <v>831</v>
      </c>
      <c r="B200" s="5" t="s">
        <v>832</v>
      </c>
      <c r="C200" s="6">
        <v>45296</v>
      </c>
      <c r="D200" s="5">
        <v>35</v>
      </c>
      <c r="E200" s="5" t="s">
        <v>20</v>
      </c>
      <c r="F200" s="5" t="s">
        <v>52</v>
      </c>
      <c r="G200" s="5" t="s">
        <v>56</v>
      </c>
      <c r="H200" s="7">
        <v>341.94</v>
      </c>
      <c r="I200" s="3">
        <v>2</v>
      </c>
      <c r="J200" s="4">
        <v>84.41</v>
      </c>
      <c r="K200" s="7">
        <v>599.47</v>
      </c>
      <c r="L200" s="5" t="s">
        <v>692</v>
      </c>
      <c r="M200" s="5" t="s">
        <v>33</v>
      </c>
      <c r="N200" s="3">
        <v>18</v>
      </c>
      <c r="O200" s="3">
        <v>9</v>
      </c>
      <c r="P200" s="5" t="b">
        <v>1</v>
      </c>
      <c r="Q200" s="3">
        <v>6</v>
      </c>
      <c r="R200" s="3">
        <v>4</v>
      </c>
      <c r="T200">
        <f t="shared" si="3"/>
        <v>1</v>
      </c>
    </row>
    <row r="201" spans="1:20">
      <c r="A201" s="5" t="s">
        <v>833</v>
      </c>
      <c r="B201" s="5" t="s">
        <v>834</v>
      </c>
      <c r="C201" s="6">
        <v>45375</v>
      </c>
      <c r="D201" s="5">
        <v>21</v>
      </c>
      <c r="E201" s="5" t="s">
        <v>20</v>
      </c>
      <c r="F201" s="5" t="s">
        <v>88</v>
      </c>
      <c r="G201" s="5" t="s">
        <v>22</v>
      </c>
      <c r="H201" s="7">
        <v>96.08</v>
      </c>
      <c r="I201" s="3">
        <v>2</v>
      </c>
      <c r="J201" s="4">
        <v>0</v>
      </c>
      <c r="K201" s="7">
        <v>192.16</v>
      </c>
      <c r="L201" s="5" t="s">
        <v>692</v>
      </c>
      <c r="M201" s="5" t="s">
        <v>24</v>
      </c>
      <c r="N201" s="3">
        <v>24</v>
      </c>
      <c r="O201" s="3">
        <v>6</v>
      </c>
      <c r="P201" s="5" t="b">
        <v>1</v>
      </c>
      <c r="Q201" s="3">
        <v>4</v>
      </c>
      <c r="R201" s="3">
        <v>5</v>
      </c>
      <c r="T201">
        <f t="shared" si="3"/>
        <v>1</v>
      </c>
    </row>
    <row r="202" spans="1:20">
      <c r="A202" s="5" t="s">
        <v>835</v>
      </c>
      <c r="B202" s="5" t="s">
        <v>836</v>
      </c>
      <c r="C202" s="6">
        <v>45295</v>
      </c>
      <c r="D202" s="5">
        <v>39</v>
      </c>
      <c r="E202" s="5" t="s">
        <v>36</v>
      </c>
      <c r="F202" s="5" t="s">
        <v>88</v>
      </c>
      <c r="G202" s="5" t="s">
        <v>22</v>
      </c>
      <c r="H202" s="7">
        <v>341.14</v>
      </c>
      <c r="I202" s="3">
        <v>4</v>
      </c>
      <c r="J202" s="4">
        <v>0</v>
      </c>
      <c r="K202" s="7">
        <v>1364.56</v>
      </c>
      <c r="L202" s="5" t="s">
        <v>692</v>
      </c>
      <c r="M202" s="5" t="s">
        <v>33</v>
      </c>
      <c r="N202" s="3">
        <v>8</v>
      </c>
      <c r="O202" s="3">
        <v>9</v>
      </c>
      <c r="P202" s="5" t="b">
        <v>1</v>
      </c>
      <c r="Q202" s="3">
        <v>9</v>
      </c>
      <c r="R202" s="3">
        <v>2</v>
      </c>
      <c r="T202">
        <f t="shared" si="3"/>
        <v>1</v>
      </c>
    </row>
    <row r="203" spans="1:20">
      <c r="A203" s="5" t="s">
        <v>127</v>
      </c>
      <c r="B203" s="5" t="s">
        <v>128</v>
      </c>
      <c r="C203" s="6">
        <v>45061</v>
      </c>
      <c r="D203" s="5">
        <v>41</v>
      </c>
      <c r="E203" s="5" t="s">
        <v>36</v>
      </c>
      <c r="F203" s="5" t="s">
        <v>21</v>
      </c>
      <c r="G203" s="5" t="s">
        <v>37</v>
      </c>
      <c r="H203" s="7">
        <v>92.5</v>
      </c>
      <c r="I203" s="3">
        <v>4</v>
      </c>
      <c r="J203" s="4">
        <v>0</v>
      </c>
      <c r="K203" s="7">
        <v>370</v>
      </c>
      <c r="L203" s="5" t="s">
        <v>23</v>
      </c>
      <c r="M203" s="5" t="s">
        <v>24</v>
      </c>
      <c r="N203" s="3">
        <v>14</v>
      </c>
      <c r="O203" s="3">
        <v>9</v>
      </c>
      <c r="P203" s="5" t="b">
        <v>1</v>
      </c>
      <c r="Q203" s="3">
        <v>9</v>
      </c>
      <c r="R203" s="3">
        <v>4</v>
      </c>
      <c r="T203">
        <f t="shared" si="3"/>
        <v>1</v>
      </c>
    </row>
    <row r="204" spans="1:20">
      <c r="A204" s="5" t="s">
        <v>430</v>
      </c>
      <c r="B204" s="5" t="s">
        <v>431</v>
      </c>
      <c r="C204" s="6">
        <v>45183</v>
      </c>
      <c r="D204" s="5">
        <v>47</v>
      </c>
      <c r="E204" s="5" t="s">
        <v>20</v>
      </c>
      <c r="F204" s="5" t="s">
        <v>73</v>
      </c>
      <c r="G204" s="5" t="s">
        <v>28</v>
      </c>
      <c r="H204" s="7">
        <v>149.18</v>
      </c>
      <c r="I204" s="3">
        <v>1</v>
      </c>
      <c r="J204" s="4">
        <v>0</v>
      </c>
      <c r="K204" s="7">
        <v>149.18</v>
      </c>
      <c r="L204" s="5" t="s">
        <v>327</v>
      </c>
      <c r="M204" s="5" t="s">
        <v>24</v>
      </c>
      <c r="N204" s="3">
        <v>13</v>
      </c>
      <c r="O204" s="3">
        <v>16</v>
      </c>
      <c r="P204" s="5" t="b">
        <v>1</v>
      </c>
      <c r="Q204" s="3">
        <v>2</v>
      </c>
      <c r="R204" s="3">
        <v>4</v>
      </c>
      <c r="T204">
        <f t="shared" si="3"/>
        <v>1</v>
      </c>
    </row>
    <row r="205" spans="1:20">
      <c r="A205" s="5" t="s">
        <v>837</v>
      </c>
      <c r="B205" s="5" t="s">
        <v>838</v>
      </c>
      <c r="C205" s="6">
        <v>45317</v>
      </c>
      <c r="D205" s="5">
        <v>47</v>
      </c>
      <c r="E205" s="5" t="s">
        <v>36</v>
      </c>
      <c r="F205" s="5" t="s">
        <v>27</v>
      </c>
      <c r="G205" s="5" t="s">
        <v>46</v>
      </c>
      <c r="H205" s="7">
        <v>345.35</v>
      </c>
      <c r="I205" s="3">
        <v>1</v>
      </c>
      <c r="J205" s="4">
        <v>0</v>
      </c>
      <c r="K205" s="7">
        <v>345.35</v>
      </c>
      <c r="L205" s="5" t="s">
        <v>692</v>
      </c>
      <c r="M205" s="5" t="s">
        <v>24</v>
      </c>
      <c r="N205" s="3">
        <v>19</v>
      </c>
      <c r="O205" s="3">
        <v>5</v>
      </c>
      <c r="P205" s="5" t="b">
        <v>0</v>
      </c>
      <c r="Q205" s="3">
        <v>12</v>
      </c>
      <c r="R205" s="3">
        <v>4</v>
      </c>
      <c r="T205">
        <f t="shared" si="3"/>
        <v>1</v>
      </c>
    </row>
    <row r="206" spans="1:20">
      <c r="A206" s="5" t="s">
        <v>129</v>
      </c>
      <c r="B206" s="5" t="s">
        <v>130</v>
      </c>
      <c r="C206" s="6">
        <v>45018</v>
      </c>
      <c r="D206" s="5">
        <v>18</v>
      </c>
      <c r="E206" s="5" t="s">
        <v>20</v>
      </c>
      <c r="F206" s="5" t="s">
        <v>59</v>
      </c>
      <c r="G206" s="5" t="s">
        <v>37</v>
      </c>
      <c r="H206" s="7">
        <v>159.18</v>
      </c>
      <c r="I206" s="3">
        <v>2</v>
      </c>
      <c r="J206" s="4">
        <v>0</v>
      </c>
      <c r="K206" s="7">
        <v>318.36</v>
      </c>
      <c r="L206" s="5" t="s">
        <v>23</v>
      </c>
      <c r="M206" s="5" t="s">
        <v>33</v>
      </c>
      <c r="N206" s="3">
        <v>7</v>
      </c>
      <c r="O206" s="3">
        <v>9</v>
      </c>
      <c r="P206" s="5" t="b">
        <v>0</v>
      </c>
      <c r="Q206" s="3">
        <v>6</v>
      </c>
      <c r="R206" s="3">
        <v>5</v>
      </c>
      <c r="T206">
        <f t="shared" si="3"/>
        <v>1</v>
      </c>
    </row>
    <row r="207" spans="1:20">
      <c r="A207" s="5" t="s">
        <v>131</v>
      </c>
      <c r="B207" s="5" t="s">
        <v>132</v>
      </c>
      <c r="C207" s="6">
        <v>45186</v>
      </c>
      <c r="D207" s="5">
        <v>23</v>
      </c>
      <c r="E207" s="5" t="s">
        <v>36</v>
      </c>
      <c r="F207" s="5" t="s">
        <v>32</v>
      </c>
      <c r="G207" s="5" t="s">
        <v>28</v>
      </c>
      <c r="H207" s="7">
        <v>167.61</v>
      </c>
      <c r="I207" s="3">
        <v>1</v>
      </c>
      <c r="J207" s="4">
        <v>0</v>
      </c>
      <c r="K207" s="7">
        <v>167.61</v>
      </c>
      <c r="L207" s="5" t="s">
        <v>23</v>
      </c>
      <c r="M207" s="5" t="s">
        <v>29</v>
      </c>
      <c r="N207" s="3">
        <v>15</v>
      </c>
      <c r="O207" s="3">
        <v>10</v>
      </c>
      <c r="P207" s="5" t="b">
        <v>0</v>
      </c>
      <c r="Q207" s="3">
        <v>9</v>
      </c>
      <c r="R207" s="3">
        <v>1</v>
      </c>
      <c r="T207">
        <f t="shared" si="3"/>
        <v>1</v>
      </c>
    </row>
    <row r="208" spans="1:20">
      <c r="A208" s="5" t="s">
        <v>432</v>
      </c>
      <c r="B208" s="5" t="s">
        <v>433</v>
      </c>
      <c r="C208" s="6">
        <v>44981</v>
      </c>
      <c r="D208" s="5">
        <v>41</v>
      </c>
      <c r="E208" s="5" t="s">
        <v>36</v>
      </c>
      <c r="F208" s="5" t="s">
        <v>59</v>
      </c>
      <c r="G208" s="5" t="s">
        <v>28</v>
      </c>
      <c r="H208" s="7">
        <v>549.61</v>
      </c>
      <c r="I208" s="3">
        <v>1</v>
      </c>
      <c r="J208" s="4">
        <v>151.72</v>
      </c>
      <c r="K208" s="7">
        <v>397.89</v>
      </c>
      <c r="L208" s="5" t="s">
        <v>327</v>
      </c>
      <c r="M208" s="5" t="s">
        <v>24</v>
      </c>
      <c r="N208" s="3">
        <v>11</v>
      </c>
      <c r="O208" s="3">
        <v>7</v>
      </c>
      <c r="P208" s="5" t="b">
        <v>1</v>
      </c>
      <c r="Q208" s="3">
        <v>9</v>
      </c>
      <c r="R208" s="3">
        <v>5</v>
      </c>
      <c r="T208">
        <f t="shared" si="3"/>
        <v>1</v>
      </c>
    </row>
    <row r="209" spans="1:20">
      <c r="A209" s="5" t="s">
        <v>839</v>
      </c>
      <c r="B209" s="5" t="s">
        <v>840</v>
      </c>
      <c r="C209" s="6">
        <v>45372</v>
      </c>
      <c r="D209" s="5">
        <v>41</v>
      </c>
      <c r="E209" s="5" t="s">
        <v>20</v>
      </c>
      <c r="F209" s="5" t="s">
        <v>21</v>
      </c>
      <c r="G209" s="5" t="s">
        <v>53</v>
      </c>
      <c r="H209" s="7">
        <v>53.93</v>
      </c>
      <c r="I209" s="3">
        <v>2</v>
      </c>
      <c r="J209" s="4">
        <v>0</v>
      </c>
      <c r="K209" s="7">
        <v>107.86</v>
      </c>
      <c r="L209" s="5" t="s">
        <v>692</v>
      </c>
      <c r="M209" s="5" t="s">
        <v>33</v>
      </c>
      <c r="N209" s="3">
        <v>25</v>
      </c>
      <c r="O209" s="3">
        <v>11</v>
      </c>
      <c r="P209" s="5" t="b">
        <v>1</v>
      </c>
      <c r="Q209" s="3">
        <v>6</v>
      </c>
      <c r="R209" s="3">
        <v>5</v>
      </c>
      <c r="T209">
        <f t="shared" si="3"/>
        <v>1</v>
      </c>
    </row>
    <row r="210" spans="1:20">
      <c r="A210" s="5" t="s">
        <v>1339</v>
      </c>
      <c r="B210" s="5" t="s">
        <v>1340</v>
      </c>
      <c r="C210" s="6">
        <v>45247</v>
      </c>
      <c r="D210" s="5">
        <v>41</v>
      </c>
      <c r="E210" s="5" t="s">
        <v>36</v>
      </c>
      <c r="F210" s="5" t="s">
        <v>21</v>
      </c>
      <c r="G210" s="5" t="s">
        <v>46</v>
      </c>
      <c r="H210" s="7">
        <v>580.51</v>
      </c>
      <c r="I210" s="3">
        <v>3</v>
      </c>
      <c r="J210" s="4">
        <v>0</v>
      </c>
      <c r="K210" s="7">
        <v>1741.53</v>
      </c>
      <c r="L210" s="5" t="s">
        <v>1298</v>
      </c>
      <c r="M210" s="5" t="s">
        <v>33</v>
      </c>
      <c r="N210" s="3">
        <v>17</v>
      </c>
      <c r="O210" s="3">
        <v>10</v>
      </c>
      <c r="P210" s="5" t="b">
        <v>1</v>
      </c>
      <c r="Q210" s="3">
        <v>10</v>
      </c>
      <c r="R210" s="3">
        <v>5</v>
      </c>
      <c r="T210">
        <f t="shared" si="3"/>
        <v>1</v>
      </c>
    </row>
    <row r="211" spans="1:20">
      <c r="A211" s="5" t="s">
        <v>133</v>
      </c>
      <c r="B211" s="5" t="s">
        <v>134</v>
      </c>
      <c r="C211" s="6">
        <v>45079</v>
      </c>
      <c r="D211" s="5">
        <v>75</v>
      </c>
      <c r="E211" s="5" t="s">
        <v>20</v>
      </c>
      <c r="F211" s="5" t="s">
        <v>21</v>
      </c>
      <c r="G211" s="5" t="s">
        <v>28</v>
      </c>
      <c r="H211" s="7">
        <v>279.45999999999998</v>
      </c>
      <c r="I211" s="3">
        <v>1</v>
      </c>
      <c r="J211" s="4">
        <v>0</v>
      </c>
      <c r="K211" s="7">
        <v>279.45999999999998</v>
      </c>
      <c r="L211" s="5" t="s">
        <v>23</v>
      </c>
      <c r="M211" s="5" t="s">
        <v>29</v>
      </c>
      <c r="N211" s="3">
        <v>18</v>
      </c>
      <c r="O211" s="3">
        <v>10</v>
      </c>
      <c r="P211" s="5" t="b">
        <v>1</v>
      </c>
      <c r="Q211" s="3">
        <v>6</v>
      </c>
      <c r="R211" s="3">
        <v>4</v>
      </c>
      <c r="T211">
        <f t="shared" si="3"/>
        <v>1</v>
      </c>
    </row>
    <row r="212" spans="1:20">
      <c r="A212" s="5" t="s">
        <v>841</v>
      </c>
      <c r="B212" s="5" t="s">
        <v>842</v>
      </c>
      <c r="C212" s="6">
        <v>45357</v>
      </c>
      <c r="D212" s="5">
        <v>41</v>
      </c>
      <c r="E212" s="5" t="s">
        <v>36</v>
      </c>
      <c r="F212" s="5" t="s">
        <v>21</v>
      </c>
      <c r="G212" s="5" t="s">
        <v>46</v>
      </c>
      <c r="H212" s="7">
        <v>629.32000000000005</v>
      </c>
      <c r="I212" s="3">
        <v>1</v>
      </c>
      <c r="J212" s="4">
        <v>0</v>
      </c>
      <c r="K212" s="7">
        <v>629.32000000000005</v>
      </c>
      <c r="L212" s="5" t="s">
        <v>692</v>
      </c>
      <c r="M212" s="5" t="s">
        <v>29</v>
      </c>
      <c r="N212" s="3">
        <v>16</v>
      </c>
      <c r="O212" s="3">
        <v>5</v>
      </c>
      <c r="P212" s="5" t="b">
        <v>0</v>
      </c>
      <c r="Q212" s="3">
        <v>11</v>
      </c>
      <c r="R212" s="3">
        <v>4</v>
      </c>
      <c r="T212">
        <f t="shared" si="3"/>
        <v>1</v>
      </c>
    </row>
    <row r="213" spans="1:20">
      <c r="A213" s="5" t="s">
        <v>434</v>
      </c>
      <c r="B213" s="5" t="s">
        <v>435</v>
      </c>
      <c r="C213" s="6">
        <v>45254</v>
      </c>
      <c r="D213" s="5">
        <v>48</v>
      </c>
      <c r="E213" s="5" t="s">
        <v>36</v>
      </c>
      <c r="F213" s="5" t="s">
        <v>76</v>
      </c>
      <c r="G213" s="5" t="s">
        <v>22</v>
      </c>
      <c r="H213" s="7">
        <v>99.34</v>
      </c>
      <c r="I213" s="3">
        <v>5</v>
      </c>
      <c r="J213" s="4">
        <v>0</v>
      </c>
      <c r="K213" s="7">
        <v>496.7</v>
      </c>
      <c r="L213" s="5" t="s">
        <v>327</v>
      </c>
      <c r="M213" s="5" t="s">
        <v>24</v>
      </c>
      <c r="N213" s="3">
        <v>9</v>
      </c>
      <c r="O213" s="3">
        <v>5</v>
      </c>
      <c r="P213" s="5" t="b">
        <v>1</v>
      </c>
      <c r="Q213" s="3">
        <v>2</v>
      </c>
      <c r="R213" s="3">
        <v>4</v>
      </c>
      <c r="T213">
        <f t="shared" si="3"/>
        <v>1</v>
      </c>
    </row>
    <row r="214" spans="1:20">
      <c r="A214" s="5" t="s">
        <v>436</v>
      </c>
      <c r="B214" s="5" t="s">
        <v>437</v>
      </c>
      <c r="C214" s="6">
        <v>45186</v>
      </c>
      <c r="D214" s="5">
        <v>46</v>
      </c>
      <c r="E214" s="5" t="s">
        <v>20</v>
      </c>
      <c r="F214" s="5" t="s">
        <v>73</v>
      </c>
      <c r="G214" s="5" t="s">
        <v>22</v>
      </c>
      <c r="H214" s="7">
        <v>208.7</v>
      </c>
      <c r="I214" s="3">
        <v>1</v>
      </c>
      <c r="J214" s="4">
        <v>0</v>
      </c>
      <c r="K214" s="7">
        <v>208.7</v>
      </c>
      <c r="L214" s="5" t="s">
        <v>327</v>
      </c>
      <c r="M214" s="5" t="s">
        <v>24</v>
      </c>
      <c r="N214" s="3">
        <v>7</v>
      </c>
      <c r="O214" s="3">
        <v>12</v>
      </c>
      <c r="P214" s="5" t="b">
        <v>1</v>
      </c>
      <c r="Q214" s="3">
        <v>12</v>
      </c>
      <c r="R214" s="3">
        <v>5</v>
      </c>
      <c r="T214">
        <f t="shared" si="3"/>
        <v>1</v>
      </c>
    </row>
    <row r="215" spans="1:20">
      <c r="A215" s="5" t="s">
        <v>438</v>
      </c>
      <c r="B215" s="5" t="s">
        <v>439</v>
      </c>
      <c r="C215" s="6">
        <v>45238</v>
      </c>
      <c r="D215" s="5">
        <v>42</v>
      </c>
      <c r="E215" s="5" t="s">
        <v>20</v>
      </c>
      <c r="F215" s="5" t="s">
        <v>76</v>
      </c>
      <c r="G215" s="5" t="s">
        <v>22</v>
      </c>
      <c r="H215" s="7">
        <v>136.28</v>
      </c>
      <c r="I215" s="3">
        <v>2</v>
      </c>
      <c r="J215" s="4">
        <v>0</v>
      </c>
      <c r="K215" s="7">
        <v>272.56</v>
      </c>
      <c r="L215" s="5" t="s">
        <v>327</v>
      </c>
      <c r="M215" s="5" t="s">
        <v>33</v>
      </c>
      <c r="N215" s="3">
        <v>19</v>
      </c>
      <c r="O215" s="3">
        <v>10</v>
      </c>
      <c r="P215" s="5" t="b">
        <v>1</v>
      </c>
      <c r="Q215" s="3">
        <v>15</v>
      </c>
      <c r="R215" s="3">
        <v>5</v>
      </c>
      <c r="T215">
        <f t="shared" si="3"/>
        <v>1</v>
      </c>
    </row>
    <row r="216" spans="1:20">
      <c r="A216" s="5" t="s">
        <v>440</v>
      </c>
      <c r="B216" s="5" t="s">
        <v>441</v>
      </c>
      <c r="C216" s="6">
        <v>45028</v>
      </c>
      <c r="D216" s="5">
        <v>31</v>
      </c>
      <c r="E216" s="5" t="s">
        <v>20</v>
      </c>
      <c r="F216" s="5" t="s">
        <v>32</v>
      </c>
      <c r="G216" s="5" t="s">
        <v>64</v>
      </c>
      <c r="H216" s="7">
        <v>2003.75</v>
      </c>
      <c r="I216" s="3">
        <v>1</v>
      </c>
      <c r="J216" s="4">
        <v>0</v>
      </c>
      <c r="K216" s="7">
        <v>2003.75</v>
      </c>
      <c r="L216" s="5" t="s">
        <v>327</v>
      </c>
      <c r="M216" s="5" t="s">
        <v>33</v>
      </c>
      <c r="N216" s="3">
        <v>3</v>
      </c>
      <c r="O216" s="3">
        <v>8</v>
      </c>
      <c r="P216" s="5" t="b">
        <v>1</v>
      </c>
      <c r="Q216" s="3">
        <v>6</v>
      </c>
      <c r="R216" s="3">
        <v>4</v>
      </c>
      <c r="T216">
        <f t="shared" si="3"/>
        <v>1</v>
      </c>
    </row>
    <row r="217" spans="1:20">
      <c r="A217" s="5" t="s">
        <v>442</v>
      </c>
      <c r="B217" s="5" t="s">
        <v>443</v>
      </c>
      <c r="C217" s="6">
        <v>45005</v>
      </c>
      <c r="D217" s="5">
        <v>44</v>
      </c>
      <c r="E217" s="5" t="s">
        <v>36</v>
      </c>
      <c r="F217" s="5" t="s">
        <v>27</v>
      </c>
      <c r="G217" s="5" t="s">
        <v>53</v>
      </c>
      <c r="H217" s="7">
        <v>58.2</v>
      </c>
      <c r="I217" s="3">
        <v>1</v>
      </c>
      <c r="J217" s="4">
        <v>0</v>
      </c>
      <c r="K217" s="7">
        <v>58.2</v>
      </c>
      <c r="L217" s="5" t="s">
        <v>327</v>
      </c>
      <c r="M217" s="5" t="s">
        <v>33</v>
      </c>
      <c r="N217" s="3">
        <v>8</v>
      </c>
      <c r="O217" s="3">
        <v>8</v>
      </c>
      <c r="P217" s="5" t="b">
        <v>1</v>
      </c>
      <c r="Q217" s="3">
        <v>9</v>
      </c>
      <c r="R217" s="3">
        <v>5</v>
      </c>
      <c r="T217">
        <f t="shared" si="3"/>
        <v>1</v>
      </c>
    </row>
    <row r="218" spans="1:20">
      <c r="A218" s="5" t="s">
        <v>135</v>
      </c>
      <c r="B218" s="5" t="s">
        <v>136</v>
      </c>
      <c r="C218" s="6">
        <v>45118</v>
      </c>
      <c r="D218" s="5">
        <v>25</v>
      </c>
      <c r="E218" s="5" t="s">
        <v>36</v>
      </c>
      <c r="F218" s="5" t="s">
        <v>59</v>
      </c>
      <c r="G218" s="5" t="s">
        <v>115</v>
      </c>
      <c r="H218" s="7">
        <v>107.69</v>
      </c>
      <c r="I218" s="3">
        <v>4</v>
      </c>
      <c r="J218" s="4">
        <v>11.57</v>
      </c>
      <c r="K218" s="7">
        <v>419.19</v>
      </c>
      <c r="L218" s="5" t="s">
        <v>23</v>
      </c>
      <c r="M218" s="5" t="s">
        <v>33</v>
      </c>
      <c r="N218" s="3">
        <v>13</v>
      </c>
      <c r="O218" s="3">
        <v>11</v>
      </c>
      <c r="P218" s="5" t="b">
        <v>1</v>
      </c>
      <c r="Q218" s="3">
        <v>6</v>
      </c>
      <c r="R218" s="3">
        <v>5</v>
      </c>
      <c r="T218">
        <f t="shared" si="3"/>
        <v>1</v>
      </c>
    </row>
    <row r="219" spans="1:20">
      <c r="A219" s="5" t="s">
        <v>444</v>
      </c>
      <c r="B219" s="5" t="s">
        <v>445</v>
      </c>
      <c r="C219" s="6">
        <v>45317</v>
      </c>
      <c r="D219" s="5">
        <v>32</v>
      </c>
      <c r="E219" s="5" t="s">
        <v>20</v>
      </c>
      <c r="F219" s="5" t="s">
        <v>49</v>
      </c>
      <c r="G219" s="5" t="s">
        <v>46</v>
      </c>
      <c r="H219" s="7">
        <v>875.66</v>
      </c>
      <c r="I219" s="3">
        <v>1</v>
      </c>
      <c r="J219" s="4">
        <v>0</v>
      </c>
      <c r="K219" s="7">
        <v>875.66</v>
      </c>
      <c r="L219" s="5" t="s">
        <v>327</v>
      </c>
      <c r="M219" s="5" t="s">
        <v>24</v>
      </c>
      <c r="N219" s="3">
        <v>17</v>
      </c>
      <c r="O219" s="3">
        <v>17</v>
      </c>
      <c r="P219" s="5" t="b">
        <v>1</v>
      </c>
      <c r="Q219" s="3">
        <v>2</v>
      </c>
      <c r="R219" s="3">
        <v>5</v>
      </c>
      <c r="T219">
        <f t="shared" si="3"/>
        <v>1</v>
      </c>
    </row>
    <row r="220" spans="1:20">
      <c r="A220" s="5" t="s">
        <v>843</v>
      </c>
      <c r="B220" s="5" t="s">
        <v>844</v>
      </c>
      <c r="C220" s="6">
        <v>45009</v>
      </c>
      <c r="D220" s="5">
        <v>29</v>
      </c>
      <c r="E220" s="5" t="s">
        <v>36</v>
      </c>
      <c r="F220" s="5" t="s">
        <v>73</v>
      </c>
      <c r="G220" s="5" t="s">
        <v>53</v>
      </c>
      <c r="H220" s="7">
        <v>30.85</v>
      </c>
      <c r="I220" s="3">
        <v>1</v>
      </c>
      <c r="J220" s="4">
        <v>0</v>
      </c>
      <c r="K220" s="7">
        <v>30.85</v>
      </c>
      <c r="L220" s="5" t="s">
        <v>692</v>
      </c>
      <c r="M220" s="5" t="s">
        <v>33</v>
      </c>
      <c r="N220" s="3">
        <v>5</v>
      </c>
      <c r="O220" s="3">
        <v>10</v>
      </c>
      <c r="P220" s="5" t="b">
        <v>0</v>
      </c>
      <c r="Q220" s="3">
        <v>3</v>
      </c>
      <c r="R220" s="3">
        <v>5</v>
      </c>
      <c r="T220">
        <f t="shared" si="3"/>
        <v>1</v>
      </c>
    </row>
    <row r="221" spans="1:20">
      <c r="A221" s="5" t="s">
        <v>845</v>
      </c>
      <c r="B221" s="5" t="s">
        <v>846</v>
      </c>
      <c r="C221" s="6">
        <v>45203</v>
      </c>
      <c r="D221" s="5">
        <v>35</v>
      </c>
      <c r="E221" s="5" t="s">
        <v>36</v>
      </c>
      <c r="F221" s="5" t="s">
        <v>73</v>
      </c>
      <c r="G221" s="5" t="s">
        <v>28</v>
      </c>
      <c r="H221" s="7">
        <v>288.72000000000003</v>
      </c>
      <c r="I221" s="3">
        <v>2</v>
      </c>
      <c r="J221" s="4">
        <v>59.37</v>
      </c>
      <c r="K221" s="7">
        <v>518.07000000000005</v>
      </c>
      <c r="L221" s="5" t="s">
        <v>692</v>
      </c>
      <c r="M221" s="5" t="s">
        <v>33</v>
      </c>
      <c r="N221" s="3">
        <v>12</v>
      </c>
      <c r="O221" s="3">
        <v>11</v>
      </c>
      <c r="P221" s="5" t="b">
        <v>1</v>
      </c>
      <c r="Q221" s="3">
        <v>7</v>
      </c>
      <c r="R221" s="3">
        <v>5</v>
      </c>
      <c r="T221">
        <f t="shared" si="3"/>
        <v>1</v>
      </c>
    </row>
    <row r="222" spans="1:20">
      <c r="A222" s="5" t="s">
        <v>847</v>
      </c>
      <c r="B222" s="5" t="s">
        <v>848</v>
      </c>
      <c r="C222" s="6">
        <v>45325</v>
      </c>
      <c r="D222" s="5">
        <v>62</v>
      </c>
      <c r="E222" s="5" t="s">
        <v>20</v>
      </c>
      <c r="F222" s="5" t="s">
        <v>88</v>
      </c>
      <c r="G222" s="5" t="s">
        <v>46</v>
      </c>
      <c r="H222" s="7">
        <v>953.88</v>
      </c>
      <c r="I222" s="3">
        <v>2</v>
      </c>
      <c r="J222" s="4">
        <v>0</v>
      </c>
      <c r="K222" s="7">
        <v>1907.76</v>
      </c>
      <c r="L222" s="5" t="s">
        <v>692</v>
      </c>
      <c r="M222" s="5" t="s">
        <v>33</v>
      </c>
      <c r="N222" s="3">
        <v>14</v>
      </c>
      <c r="O222" s="3">
        <v>11</v>
      </c>
      <c r="P222" s="5" t="b">
        <v>1</v>
      </c>
      <c r="Q222" s="3">
        <v>3</v>
      </c>
      <c r="R222" s="3">
        <v>5</v>
      </c>
      <c r="T222">
        <f t="shared" si="3"/>
        <v>1</v>
      </c>
    </row>
    <row r="223" spans="1:20">
      <c r="A223" s="5" t="s">
        <v>446</v>
      </c>
      <c r="B223" s="5" t="s">
        <v>447</v>
      </c>
      <c r="C223" s="6">
        <v>45198</v>
      </c>
      <c r="D223" s="5">
        <v>18</v>
      </c>
      <c r="E223" s="5" t="s">
        <v>20</v>
      </c>
      <c r="F223" s="5" t="s">
        <v>59</v>
      </c>
      <c r="G223" s="5" t="s">
        <v>46</v>
      </c>
      <c r="H223" s="7">
        <v>205.74</v>
      </c>
      <c r="I223" s="3">
        <v>1</v>
      </c>
      <c r="J223" s="4">
        <v>12.23</v>
      </c>
      <c r="K223" s="7">
        <v>193.51</v>
      </c>
      <c r="L223" s="5" t="s">
        <v>327</v>
      </c>
      <c r="M223" s="5" t="s">
        <v>24</v>
      </c>
      <c r="N223" s="3">
        <v>12</v>
      </c>
      <c r="O223" s="3">
        <v>17</v>
      </c>
      <c r="P223" s="5" t="b">
        <v>1</v>
      </c>
      <c r="Q223" s="3">
        <v>17</v>
      </c>
      <c r="R223" s="3">
        <v>2</v>
      </c>
      <c r="T223">
        <f t="shared" si="3"/>
        <v>1</v>
      </c>
    </row>
    <row r="224" spans="1:20">
      <c r="A224" s="5" t="s">
        <v>849</v>
      </c>
      <c r="B224" s="5" t="s">
        <v>850</v>
      </c>
      <c r="C224" s="6">
        <v>44927</v>
      </c>
      <c r="D224" s="5">
        <v>43</v>
      </c>
      <c r="E224" s="5" t="s">
        <v>36</v>
      </c>
      <c r="F224" s="5" t="s">
        <v>32</v>
      </c>
      <c r="G224" s="5" t="s">
        <v>37</v>
      </c>
      <c r="H224" s="7">
        <v>122.46</v>
      </c>
      <c r="I224" s="3">
        <v>1</v>
      </c>
      <c r="J224" s="4">
        <v>0</v>
      </c>
      <c r="K224" s="7">
        <v>122.46</v>
      </c>
      <c r="L224" s="5" t="s">
        <v>692</v>
      </c>
      <c r="M224" s="5" t="s">
        <v>33</v>
      </c>
      <c r="N224" s="3">
        <v>14</v>
      </c>
      <c r="O224" s="3">
        <v>9</v>
      </c>
      <c r="P224" s="5" t="b">
        <v>1</v>
      </c>
      <c r="Q224" s="3">
        <v>9</v>
      </c>
      <c r="R224" s="3">
        <v>5</v>
      </c>
      <c r="T224">
        <f t="shared" si="3"/>
        <v>1</v>
      </c>
    </row>
    <row r="225" spans="1:20">
      <c r="A225" s="5" t="s">
        <v>137</v>
      </c>
      <c r="B225" s="5" t="s">
        <v>138</v>
      </c>
      <c r="C225" s="6">
        <v>45233</v>
      </c>
      <c r="D225" s="5">
        <v>18</v>
      </c>
      <c r="E225" s="5" t="s">
        <v>36</v>
      </c>
      <c r="F225" s="5" t="s">
        <v>59</v>
      </c>
      <c r="G225" s="5" t="s">
        <v>46</v>
      </c>
      <c r="H225" s="7">
        <v>1071.7</v>
      </c>
      <c r="I225" s="3">
        <v>4</v>
      </c>
      <c r="J225" s="4">
        <v>0</v>
      </c>
      <c r="K225" s="7">
        <v>4286.8</v>
      </c>
      <c r="L225" s="5" t="s">
        <v>23</v>
      </c>
      <c r="M225" s="5" t="s">
        <v>24</v>
      </c>
      <c r="N225" s="3">
        <v>9</v>
      </c>
      <c r="O225" s="3">
        <v>4</v>
      </c>
      <c r="P225" s="5" t="b">
        <v>0</v>
      </c>
      <c r="Q225" s="3">
        <v>11</v>
      </c>
      <c r="R225" s="3">
        <v>4</v>
      </c>
      <c r="T225">
        <f t="shared" si="3"/>
        <v>1</v>
      </c>
    </row>
    <row r="226" spans="1:20">
      <c r="A226" s="5" t="s">
        <v>851</v>
      </c>
      <c r="B226" s="5" t="s">
        <v>852</v>
      </c>
      <c r="C226" s="6">
        <v>45092</v>
      </c>
      <c r="D226" s="5">
        <v>29</v>
      </c>
      <c r="E226" s="5" t="s">
        <v>20</v>
      </c>
      <c r="F226" s="5" t="s">
        <v>21</v>
      </c>
      <c r="G226" s="5" t="s">
        <v>46</v>
      </c>
      <c r="H226" s="7">
        <v>377.34</v>
      </c>
      <c r="I226" s="3">
        <v>3</v>
      </c>
      <c r="J226" s="4">
        <v>0</v>
      </c>
      <c r="K226" s="7">
        <v>1132.02</v>
      </c>
      <c r="L226" s="5" t="s">
        <v>692</v>
      </c>
      <c r="M226" s="5" t="s">
        <v>33</v>
      </c>
      <c r="N226" s="3">
        <v>22</v>
      </c>
      <c r="O226" s="3">
        <v>4</v>
      </c>
      <c r="P226" s="5" t="b">
        <v>0</v>
      </c>
      <c r="Q226" s="3">
        <v>3</v>
      </c>
      <c r="R226" s="3">
        <v>4</v>
      </c>
      <c r="T226">
        <f t="shared" si="3"/>
        <v>1</v>
      </c>
    </row>
    <row r="227" spans="1:20">
      <c r="A227" s="5" t="s">
        <v>139</v>
      </c>
      <c r="B227" s="5" t="s">
        <v>140</v>
      </c>
      <c r="C227" s="6">
        <v>45177</v>
      </c>
      <c r="D227" s="5">
        <v>48</v>
      </c>
      <c r="E227" s="5" t="s">
        <v>20</v>
      </c>
      <c r="F227" s="5" t="s">
        <v>52</v>
      </c>
      <c r="G227" s="5" t="s">
        <v>56</v>
      </c>
      <c r="H227" s="7">
        <v>592.09</v>
      </c>
      <c r="I227" s="3">
        <v>1</v>
      </c>
      <c r="J227" s="4">
        <v>0</v>
      </c>
      <c r="K227" s="7">
        <v>592.09</v>
      </c>
      <c r="L227" s="5" t="s">
        <v>23</v>
      </c>
      <c r="M227" s="5" t="s">
        <v>29</v>
      </c>
      <c r="N227" s="3">
        <v>16</v>
      </c>
      <c r="O227" s="3">
        <v>8</v>
      </c>
      <c r="P227" s="5" t="b">
        <v>0</v>
      </c>
      <c r="Q227" s="3">
        <v>5</v>
      </c>
      <c r="R227" s="3">
        <v>5</v>
      </c>
      <c r="T227">
        <f t="shared" si="3"/>
        <v>1</v>
      </c>
    </row>
    <row r="228" spans="1:20">
      <c r="A228" s="5" t="s">
        <v>141</v>
      </c>
      <c r="B228" s="5" t="s">
        <v>142</v>
      </c>
      <c r="C228" s="6">
        <v>44936</v>
      </c>
      <c r="D228" s="5">
        <v>35</v>
      </c>
      <c r="E228" s="5" t="s">
        <v>20</v>
      </c>
      <c r="F228" s="5" t="s">
        <v>88</v>
      </c>
      <c r="G228" s="5" t="s">
        <v>115</v>
      </c>
      <c r="H228" s="7">
        <v>78.19</v>
      </c>
      <c r="I228" s="3">
        <v>1</v>
      </c>
      <c r="J228" s="4">
        <v>0</v>
      </c>
      <c r="K228" s="7">
        <v>78.19</v>
      </c>
      <c r="L228" s="5" t="s">
        <v>23</v>
      </c>
      <c r="M228" s="5" t="s">
        <v>33</v>
      </c>
      <c r="N228" s="3">
        <v>12</v>
      </c>
      <c r="O228" s="3">
        <v>12</v>
      </c>
      <c r="P228" s="5" t="b">
        <v>1</v>
      </c>
      <c r="Q228" s="3">
        <v>3</v>
      </c>
      <c r="R228" s="3">
        <v>5</v>
      </c>
      <c r="T228">
        <f t="shared" si="3"/>
        <v>1</v>
      </c>
    </row>
    <row r="229" spans="1:20">
      <c r="A229" s="5" t="s">
        <v>853</v>
      </c>
      <c r="B229" s="5" t="s">
        <v>854</v>
      </c>
      <c r="C229" s="6">
        <v>44984</v>
      </c>
      <c r="D229" s="5">
        <v>22</v>
      </c>
      <c r="E229" s="5" t="s">
        <v>36</v>
      </c>
      <c r="F229" s="5" t="s">
        <v>21</v>
      </c>
      <c r="G229" s="5" t="s">
        <v>56</v>
      </c>
      <c r="H229" s="7">
        <v>654.97</v>
      </c>
      <c r="I229" s="3">
        <v>4</v>
      </c>
      <c r="J229" s="4">
        <v>195.13</v>
      </c>
      <c r="K229" s="7">
        <v>2424.75</v>
      </c>
      <c r="L229" s="5" t="s">
        <v>692</v>
      </c>
      <c r="M229" s="5" t="s">
        <v>33</v>
      </c>
      <c r="N229" s="3">
        <v>3</v>
      </c>
      <c r="O229" s="3">
        <v>16</v>
      </c>
      <c r="P229" s="5" t="b">
        <v>1</v>
      </c>
      <c r="Q229" s="3">
        <v>10</v>
      </c>
      <c r="R229" s="3">
        <v>5</v>
      </c>
      <c r="T229">
        <f t="shared" si="3"/>
        <v>1</v>
      </c>
    </row>
    <row r="230" spans="1:20">
      <c r="A230" s="5" t="s">
        <v>143</v>
      </c>
      <c r="B230" s="5" t="s">
        <v>144</v>
      </c>
      <c r="C230" s="6">
        <v>45112</v>
      </c>
      <c r="D230" s="5">
        <v>26</v>
      </c>
      <c r="E230" s="5" t="s">
        <v>20</v>
      </c>
      <c r="F230" s="5" t="s">
        <v>59</v>
      </c>
      <c r="G230" s="5" t="s">
        <v>37</v>
      </c>
      <c r="H230" s="7">
        <v>109.85</v>
      </c>
      <c r="I230" s="3">
        <v>1</v>
      </c>
      <c r="J230" s="4">
        <v>0</v>
      </c>
      <c r="K230" s="7">
        <v>109.85</v>
      </c>
      <c r="L230" s="5" t="s">
        <v>23</v>
      </c>
      <c r="M230" s="5" t="s">
        <v>33</v>
      </c>
      <c r="N230" s="3">
        <v>15</v>
      </c>
      <c r="O230" s="3">
        <v>10</v>
      </c>
      <c r="P230" s="5" t="b">
        <v>1</v>
      </c>
      <c r="Q230" s="3">
        <v>2</v>
      </c>
      <c r="R230" s="3">
        <v>4</v>
      </c>
      <c r="T230">
        <f t="shared" si="3"/>
        <v>1</v>
      </c>
    </row>
    <row r="231" spans="1:20">
      <c r="A231" s="5" t="s">
        <v>1256</v>
      </c>
      <c r="B231" s="5" t="s">
        <v>1257</v>
      </c>
      <c r="C231" s="6">
        <v>45376</v>
      </c>
      <c r="D231" s="5">
        <v>43</v>
      </c>
      <c r="E231" s="5" t="s">
        <v>20</v>
      </c>
      <c r="F231" s="5" t="s">
        <v>52</v>
      </c>
      <c r="G231" s="5" t="s">
        <v>64</v>
      </c>
      <c r="H231" s="7">
        <v>2275.2399999999998</v>
      </c>
      <c r="I231" s="3">
        <v>2</v>
      </c>
      <c r="J231" s="4">
        <v>601.72</v>
      </c>
      <c r="K231" s="7">
        <v>3948.76</v>
      </c>
      <c r="L231" s="5" t="s">
        <v>1231</v>
      </c>
      <c r="M231" s="5" t="s">
        <v>24</v>
      </c>
      <c r="N231" s="3">
        <v>5</v>
      </c>
      <c r="O231" s="3">
        <v>9</v>
      </c>
      <c r="P231" s="5" t="b">
        <v>1</v>
      </c>
      <c r="Q231" s="3">
        <v>7</v>
      </c>
      <c r="R231" s="3">
        <v>4</v>
      </c>
      <c r="T231">
        <f t="shared" si="3"/>
        <v>1</v>
      </c>
    </row>
    <row r="232" spans="1:20">
      <c r="A232" s="5" t="s">
        <v>855</v>
      </c>
      <c r="B232" s="5" t="s">
        <v>856</v>
      </c>
      <c r="C232" s="6">
        <v>45352</v>
      </c>
      <c r="D232" s="5">
        <v>26</v>
      </c>
      <c r="E232" s="5" t="s">
        <v>36</v>
      </c>
      <c r="F232" s="5" t="s">
        <v>32</v>
      </c>
      <c r="G232" s="5" t="s">
        <v>22</v>
      </c>
      <c r="H232" s="7">
        <v>380.48</v>
      </c>
      <c r="I232" s="3">
        <v>2</v>
      </c>
      <c r="J232" s="4">
        <v>54.13</v>
      </c>
      <c r="K232" s="7">
        <v>706.83</v>
      </c>
      <c r="L232" s="5" t="s">
        <v>692</v>
      </c>
      <c r="M232" s="5" t="s">
        <v>33</v>
      </c>
      <c r="N232" s="3">
        <v>3</v>
      </c>
      <c r="O232" s="3">
        <v>8</v>
      </c>
      <c r="P232" s="5" t="b">
        <v>0</v>
      </c>
      <c r="Q232" s="3">
        <v>2</v>
      </c>
      <c r="R232" s="3">
        <v>1</v>
      </c>
      <c r="T232">
        <f t="shared" si="3"/>
        <v>1</v>
      </c>
    </row>
    <row r="233" spans="1:20">
      <c r="A233" s="5" t="s">
        <v>1341</v>
      </c>
      <c r="B233" s="5" t="s">
        <v>1342</v>
      </c>
      <c r="C233" s="6">
        <v>45340</v>
      </c>
      <c r="D233" s="5">
        <v>37</v>
      </c>
      <c r="E233" s="5" t="s">
        <v>36</v>
      </c>
      <c r="F233" s="5" t="s">
        <v>21</v>
      </c>
      <c r="G233" s="5" t="s">
        <v>28</v>
      </c>
      <c r="H233" s="7">
        <v>146.1</v>
      </c>
      <c r="I233" s="3">
        <v>1</v>
      </c>
      <c r="J233" s="4">
        <v>0</v>
      </c>
      <c r="K233" s="7">
        <v>146.1</v>
      </c>
      <c r="L233" s="5" t="s">
        <v>1298</v>
      </c>
      <c r="M233" s="5" t="s">
        <v>33</v>
      </c>
      <c r="N233" s="3">
        <v>7</v>
      </c>
      <c r="O233" s="3">
        <v>8</v>
      </c>
      <c r="P233" s="5" t="b">
        <v>1</v>
      </c>
      <c r="Q233" s="3">
        <v>5</v>
      </c>
      <c r="R233" s="3">
        <v>4</v>
      </c>
      <c r="T233">
        <f t="shared" si="3"/>
        <v>1</v>
      </c>
    </row>
    <row r="234" spans="1:20">
      <c r="A234" s="5" t="s">
        <v>448</v>
      </c>
      <c r="B234" s="5" t="s">
        <v>449</v>
      </c>
      <c r="C234" s="6">
        <v>45084</v>
      </c>
      <c r="D234" s="5">
        <v>35</v>
      </c>
      <c r="E234" s="5" t="s">
        <v>20</v>
      </c>
      <c r="F234" s="5" t="s">
        <v>32</v>
      </c>
      <c r="G234" s="5" t="s">
        <v>28</v>
      </c>
      <c r="H234" s="7">
        <v>435.89</v>
      </c>
      <c r="I234" s="3">
        <v>1</v>
      </c>
      <c r="J234" s="4">
        <v>88.84</v>
      </c>
      <c r="K234" s="7">
        <v>347.05</v>
      </c>
      <c r="L234" s="5" t="s">
        <v>327</v>
      </c>
      <c r="M234" s="5" t="s">
        <v>33</v>
      </c>
      <c r="N234" s="3">
        <v>17</v>
      </c>
      <c r="O234" s="3">
        <v>8</v>
      </c>
      <c r="P234" s="5" t="b">
        <v>1</v>
      </c>
      <c r="Q234" s="3">
        <v>5</v>
      </c>
      <c r="R234" s="3">
        <v>5</v>
      </c>
      <c r="T234">
        <f t="shared" si="3"/>
        <v>1</v>
      </c>
    </row>
    <row r="235" spans="1:20">
      <c r="A235" s="5" t="s">
        <v>450</v>
      </c>
      <c r="B235" s="5" t="s">
        <v>451</v>
      </c>
      <c r="C235" s="6">
        <v>45049</v>
      </c>
      <c r="D235" s="5">
        <v>27</v>
      </c>
      <c r="E235" s="5" t="s">
        <v>20</v>
      </c>
      <c r="F235" s="5" t="s">
        <v>27</v>
      </c>
      <c r="G235" s="5" t="s">
        <v>115</v>
      </c>
      <c r="H235" s="7">
        <v>33.950000000000003</v>
      </c>
      <c r="I235" s="3">
        <v>1</v>
      </c>
      <c r="J235" s="4">
        <v>6.33</v>
      </c>
      <c r="K235" s="7">
        <v>27.62</v>
      </c>
      <c r="L235" s="5" t="s">
        <v>327</v>
      </c>
      <c r="M235" s="5" t="s">
        <v>33</v>
      </c>
      <c r="N235" s="3">
        <v>17</v>
      </c>
      <c r="O235" s="3">
        <v>12</v>
      </c>
      <c r="P235" s="5" t="b">
        <v>0</v>
      </c>
      <c r="Q235" s="3">
        <v>12</v>
      </c>
      <c r="R235" s="3">
        <v>4</v>
      </c>
      <c r="T235">
        <f t="shared" si="3"/>
        <v>1</v>
      </c>
    </row>
    <row r="236" spans="1:20">
      <c r="A236" s="5" t="s">
        <v>857</v>
      </c>
      <c r="B236" s="5" t="s">
        <v>858</v>
      </c>
      <c r="C236" s="6">
        <v>44956</v>
      </c>
      <c r="D236" s="5">
        <v>60</v>
      </c>
      <c r="E236" s="5" t="s">
        <v>36</v>
      </c>
      <c r="F236" s="5" t="s">
        <v>52</v>
      </c>
      <c r="G236" s="5" t="s">
        <v>46</v>
      </c>
      <c r="H236" s="7">
        <v>785.55</v>
      </c>
      <c r="I236" s="3">
        <v>1</v>
      </c>
      <c r="J236" s="4">
        <v>0</v>
      </c>
      <c r="K236" s="7">
        <v>785.55</v>
      </c>
      <c r="L236" s="5" t="s">
        <v>692</v>
      </c>
      <c r="M236" s="5" t="s">
        <v>33</v>
      </c>
      <c r="N236" s="3">
        <v>1</v>
      </c>
      <c r="O236" s="3">
        <v>11</v>
      </c>
      <c r="P236" s="5" t="b">
        <v>1</v>
      </c>
      <c r="Q236" s="3">
        <v>9</v>
      </c>
      <c r="R236" s="3">
        <v>4</v>
      </c>
      <c r="T236">
        <f t="shared" si="3"/>
        <v>1</v>
      </c>
    </row>
    <row r="237" spans="1:20">
      <c r="A237" s="5" t="s">
        <v>145</v>
      </c>
      <c r="B237" s="5" t="s">
        <v>146</v>
      </c>
      <c r="C237" s="6">
        <v>45050</v>
      </c>
      <c r="D237" s="5">
        <v>42</v>
      </c>
      <c r="E237" s="5" t="s">
        <v>20</v>
      </c>
      <c r="F237" s="5" t="s">
        <v>21</v>
      </c>
      <c r="G237" s="5" t="s">
        <v>53</v>
      </c>
      <c r="H237" s="7">
        <v>13.46</v>
      </c>
      <c r="I237" s="3">
        <v>2</v>
      </c>
      <c r="J237" s="4">
        <v>0</v>
      </c>
      <c r="K237" s="7">
        <v>26.92</v>
      </c>
      <c r="L237" s="5" t="s">
        <v>23</v>
      </c>
      <c r="M237" s="5" t="s">
        <v>33</v>
      </c>
      <c r="N237" s="3">
        <v>16</v>
      </c>
      <c r="O237" s="3">
        <v>6</v>
      </c>
      <c r="P237" s="5" t="b">
        <v>0</v>
      </c>
      <c r="Q237" s="3">
        <v>7</v>
      </c>
      <c r="R237" s="3">
        <v>3</v>
      </c>
      <c r="T237">
        <f t="shared" si="3"/>
        <v>1</v>
      </c>
    </row>
    <row r="238" spans="1:20">
      <c r="A238" s="5" t="s">
        <v>452</v>
      </c>
      <c r="B238" s="5" t="s">
        <v>453</v>
      </c>
      <c r="C238" s="6">
        <v>45376</v>
      </c>
      <c r="D238" s="5">
        <v>18</v>
      </c>
      <c r="E238" s="5" t="s">
        <v>20</v>
      </c>
      <c r="F238" s="5" t="s">
        <v>32</v>
      </c>
      <c r="G238" s="5" t="s">
        <v>28</v>
      </c>
      <c r="H238" s="7">
        <v>157.19</v>
      </c>
      <c r="I238" s="3">
        <v>1</v>
      </c>
      <c r="J238" s="4">
        <v>0</v>
      </c>
      <c r="K238" s="7">
        <v>157.19</v>
      </c>
      <c r="L238" s="5" t="s">
        <v>327</v>
      </c>
      <c r="M238" s="5" t="s">
        <v>29</v>
      </c>
      <c r="N238" s="3">
        <v>4</v>
      </c>
      <c r="O238" s="3">
        <v>8</v>
      </c>
      <c r="P238" s="5" t="b">
        <v>1</v>
      </c>
      <c r="Q238" s="3">
        <v>3</v>
      </c>
      <c r="R238" s="3">
        <v>5</v>
      </c>
      <c r="T238">
        <f t="shared" si="3"/>
        <v>1</v>
      </c>
    </row>
    <row r="239" spans="1:20">
      <c r="A239" s="5" t="s">
        <v>147</v>
      </c>
      <c r="B239" s="5" t="s">
        <v>148</v>
      </c>
      <c r="C239" s="6">
        <v>45217</v>
      </c>
      <c r="D239" s="5">
        <v>37</v>
      </c>
      <c r="E239" s="5" t="s">
        <v>36</v>
      </c>
      <c r="F239" s="5" t="s">
        <v>52</v>
      </c>
      <c r="G239" s="5" t="s">
        <v>56</v>
      </c>
      <c r="H239" s="7">
        <v>66.709999999999994</v>
      </c>
      <c r="I239" s="3">
        <v>1</v>
      </c>
      <c r="J239" s="4">
        <v>17.41</v>
      </c>
      <c r="K239" s="7">
        <v>49.3</v>
      </c>
      <c r="L239" s="5" t="s">
        <v>23</v>
      </c>
      <c r="M239" s="5" t="s">
        <v>33</v>
      </c>
      <c r="N239" s="3">
        <v>22</v>
      </c>
      <c r="O239" s="3">
        <v>9</v>
      </c>
      <c r="P239" s="5" t="b">
        <v>0</v>
      </c>
      <c r="Q239" s="3">
        <v>3</v>
      </c>
      <c r="R239" s="3">
        <v>2</v>
      </c>
      <c r="T239">
        <f t="shared" si="3"/>
        <v>1</v>
      </c>
    </row>
    <row r="240" spans="1:20">
      <c r="A240" s="5" t="s">
        <v>149</v>
      </c>
      <c r="B240" s="5" t="s">
        <v>150</v>
      </c>
      <c r="C240" s="6">
        <v>44967</v>
      </c>
      <c r="D240" s="5">
        <v>27</v>
      </c>
      <c r="E240" s="5" t="s">
        <v>20</v>
      </c>
      <c r="F240" s="5" t="s">
        <v>59</v>
      </c>
      <c r="G240" s="5" t="s">
        <v>22</v>
      </c>
      <c r="H240" s="7">
        <v>266.44</v>
      </c>
      <c r="I240" s="3">
        <v>2</v>
      </c>
      <c r="J240" s="4">
        <v>0</v>
      </c>
      <c r="K240" s="7">
        <v>532.88</v>
      </c>
      <c r="L240" s="5" t="s">
        <v>23</v>
      </c>
      <c r="M240" s="5" t="s">
        <v>29</v>
      </c>
      <c r="N240" s="3">
        <v>19</v>
      </c>
      <c r="O240" s="3">
        <v>10</v>
      </c>
      <c r="P240" s="5" t="b">
        <v>0</v>
      </c>
      <c r="Q240" s="3">
        <v>4</v>
      </c>
      <c r="R240" s="3">
        <v>5</v>
      </c>
      <c r="T240">
        <f t="shared" si="3"/>
        <v>1</v>
      </c>
    </row>
    <row r="241" spans="1:20">
      <c r="A241" s="5" t="s">
        <v>454</v>
      </c>
      <c r="B241" s="5" t="s">
        <v>455</v>
      </c>
      <c r="C241" s="6">
        <v>44970</v>
      </c>
      <c r="D241" s="5">
        <v>45</v>
      </c>
      <c r="E241" s="5" t="s">
        <v>36</v>
      </c>
      <c r="F241" s="5" t="s">
        <v>32</v>
      </c>
      <c r="G241" s="5" t="s">
        <v>64</v>
      </c>
      <c r="H241" s="7">
        <v>2059.12</v>
      </c>
      <c r="I241" s="3">
        <v>5</v>
      </c>
      <c r="J241" s="4">
        <v>0</v>
      </c>
      <c r="K241" s="7">
        <v>10295.6</v>
      </c>
      <c r="L241" s="5" t="s">
        <v>327</v>
      </c>
      <c r="M241" s="5" t="s">
        <v>33</v>
      </c>
      <c r="N241" s="3">
        <v>3</v>
      </c>
      <c r="O241" s="3">
        <v>9</v>
      </c>
      <c r="P241" s="5" t="b">
        <v>0</v>
      </c>
      <c r="Q241" s="3">
        <v>5</v>
      </c>
      <c r="R241" s="3">
        <v>4</v>
      </c>
      <c r="T241">
        <f t="shared" si="3"/>
        <v>1</v>
      </c>
    </row>
    <row r="242" spans="1:20">
      <c r="A242" s="5" t="s">
        <v>859</v>
      </c>
      <c r="B242" s="5" t="s">
        <v>860</v>
      </c>
      <c r="C242" s="6">
        <v>45301</v>
      </c>
      <c r="D242" s="5">
        <v>25</v>
      </c>
      <c r="E242" s="5" t="s">
        <v>36</v>
      </c>
      <c r="F242" s="5" t="s">
        <v>49</v>
      </c>
      <c r="G242" s="5" t="s">
        <v>22</v>
      </c>
      <c r="H242" s="7">
        <v>193.18</v>
      </c>
      <c r="I242" s="3">
        <v>4</v>
      </c>
      <c r="J242" s="4">
        <v>0</v>
      </c>
      <c r="K242" s="7">
        <v>772.72</v>
      </c>
      <c r="L242" s="5" t="s">
        <v>692</v>
      </c>
      <c r="M242" s="5" t="s">
        <v>33</v>
      </c>
      <c r="N242" s="3">
        <v>15</v>
      </c>
      <c r="O242" s="3">
        <v>7</v>
      </c>
      <c r="P242" s="5" t="b">
        <v>0</v>
      </c>
      <c r="Q242" s="3">
        <v>5</v>
      </c>
      <c r="R242" s="3">
        <v>1</v>
      </c>
      <c r="T242">
        <f t="shared" si="3"/>
        <v>1</v>
      </c>
    </row>
    <row r="243" spans="1:20">
      <c r="A243" s="5" t="s">
        <v>861</v>
      </c>
      <c r="B243" s="5" t="s">
        <v>862</v>
      </c>
      <c r="C243" s="6">
        <v>45175</v>
      </c>
      <c r="D243" s="5">
        <v>33</v>
      </c>
      <c r="E243" s="5" t="s">
        <v>20</v>
      </c>
      <c r="F243" s="5" t="s">
        <v>76</v>
      </c>
      <c r="G243" s="5" t="s">
        <v>46</v>
      </c>
      <c r="H243" s="7">
        <v>458.12</v>
      </c>
      <c r="I243" s="3">
        <v>1</v>
      </c>
      <c r="J243" s="4">
        <v>0</v>
      </c>
      <c r="K243" s="7">
        <v>458.12</v>
      </c>
      <c r="L243" s="5" t="s">
        <v>692</v>
      </c>
      <c r="M243" s="5" t="s">
        <v>33</v>
      </c>
      <c r="N243" s="3">
        <v>9</v>
      </c>
      <c r="O243" s="3">
        <v>13</v>
      </c>
      <c r="P243" s="5" t="b">
        <v>1</v>
      </c>
      <c r="Q243" s="3">
        <v>9</v>
      </c>
      <c r="R243" s="3">
        <v>5</v>
      </c>
      <c r="T243">
        <f t="shared" si="3"/>
        <v>1</v>
      </c>
    </row>
    <row r="244" spans="1:20">
      <c r="A244" s="5" t="s">
        <v>863</v>
      </c>
      <c r="B244" s="5" t="s">
        <v>864</v>
      </c>
      <c r="C244" s="6">
        <v>45344</v>
      </c>
      <c r="D244" s="5">
        <v>41</v>
      </c>
      <c r="E244" s="5" t="s">
        <v>20</v>
      </c>
      <c r="F244" s="5" t="s">
        <v>49</v>
      </c>
      <c r="G244" s="5" t="s">
        <v>115</v>
      </c>
      <c r="H244" s="7">
        <v>99.82</v>
      </c>
      <c r="I244" s="3">
        <v>1</v>
      </c>
      <c r="J244" s="4">
        <v>0</v>
      </c>
      <c r="K244" s="7">
        <v>99.82</v>
      </c>
      <c r="L244" s="5" t="s">
        <v>692</v>
      </c>
      <c r="M244" s="5" t="s">
        <v>33</v>
      </c>
      <c r="N244" s="3">
        <v>22</v>
      </c>
      <c r="O244" s="3">
        <v>8</v>
      </c>
      <c r="P244" s="5" t="b">
        <v>0</v>
      </c>
      <c r="Q244" s="3">
        <v>4</v>
      </c>
      <c r="R244" s="3">
        <v>4</v>
      </c>
      <c r="T244">
        <f t="shared" si="3"/>
        <v>1</v>
      </c>
    </row>
    <row r="245" spans="1:20">
      <c r="A245" s="5" t="s">
        <v>1343</v>
      </c>
      <c r="B245" s="5" t="s">
        <v>1344</v>
      </c>
      <c r="C245" s="6">
        <v>44962</v>
      </c>
      <c r="D245" s="5">
        <v>45</v>
      </c>
      <c r="E245" s="5" t="s">
        <v>36</v>
      </c>
      <c r="F245" s="5" t="s">
        <v>59</v>
      </c>
      <c r="G245" s="5" t="s">
        <v>22</v>
      </c>
      <c r="H245" s="7">
        <v>21.76</v>
      </c>
      <c r="I245" s="3">
        <v>1</v>
      </c>
      <c r="J245" s="4">
        <v>0</v>
      </c>
      <c r="K245" s="7">
        <v>21.76</v>
      </c>
      <c r="L245" s="5" t="s">
        <v>1298</v>
      </c>
      <c r="M245" s="5" t="s">
        <v>24</v>
      </c>
      <c r="N245" s="3">
        <v>8</v>
      </c>
      <c r="O245" s="3">
        <v>9</v>
      </c>
      <c r="P245" s="5" t="b">
        <v>0</v>
      </c>
      <c r="Q245" s="3">
        <v>9</v>
      </c>
      <c r="R245" s="3">
        <v>4</v>
      </c>
      <c r="T245">
        <f t="shared" si="3"/>
        <v>1</v>
      </c>
    </row>
    <row r="246" spans="1:20">
      <c r="A246" s="5" t="s">
        <v>865</v>
      </c>
      <c r="B246" s="5" t="s">
        <v>866</v>
      </c>
      <c r="C246" s="6">
        <v>45316</v>
      </c>
      <c r="D246" s="5">
        <v>20</v>
      </c>
      <c r="E246" s="5" t="s">
        <v>36</v>
      </c>
      <c r="F246" s="5" t="s">
        <v>32</v>
      </c>
      <c r="G246" s="5" t="s">
        <v>46</v>
      </c>
      <c r="H246" s="7">
        <v>308.55</v>
      </c>
      <c r="I246" s="3">
        <v>3</v>
      </c>
      <c r="J246" s="4">
        <v>52.33</v>
      </c>
      <c r="K246" s="7">
        <v>873.32</v>
      </c>
      <c r="L246" s="5" t="s">
        <v>692</v>
      </c>
      <c r="M246" s="5" t="s">
        <v>24</v>
      </c>
      <c r="N246" s="3">
        <v>27</v>
      </c>
      <c r="O246" s="3">
        <v>9</v>
      </c>
      <c r="P246" s="5" t="b">
        <v>0</v>
      </c>
      <c r="Q246" s="3">
        <v>7</v>
      </c>
      <c r="R246" s="3">
        <v>5</v>
      </c>
      <c r="T246">
        <f t="shared" si="3"/>
        <v>1</v>
      </c>
    </row>
    <row r="247" spans="1:20">
      <c r="A247" s="5" t="s">
        <v>867</v>
      </c>
      <c r="B247" s="5" t="s">
        <v>868</v>
      </c>
      <c r="C247" s="6">
        <v>45199</v>
      </c>
      <c r="D247" s="5">
        <v>30</v>
      </c>
      <c r="E247" s="5" t="s">
        <v>36</v>
      </c>
      <c r="F247" s="5" t="s">
        <v>52</v>
      </c>
      <c r="G247" s="5" t="s">
        <v>37</v>
      </c>
      <c r="H247" s="7">
        <v>221.35</v>
      </c>
      <c r="I247" s="3">
        <v>5</v>
      </c>
      <c r="J247" s="4">
        <v>0</v>
      </c>
      <c r="K247" s="7">
        <v>1106.75</v>
      </c>
      <c r="L247" s="5" t="s">
        <v>692</v>
      </c>
      <c r="M247" s="5" t="s">
        <v>33</v>
      </c>
      <c r="N247" s="3">
        <v>20</v>
      </c>
      <c r="O247" s="3">
        <v>6</v>
      </c>
      <c r="P247" s="5" t="b">
        <v>0</v>
      </c>
      <c r="Q247" s="3">
        <v>3</v>
      </c>
      <c r="R247" s="3">
        <v>5</v>
      </c>
      <c r="T247">
        <f t="shared" si="3"/>
        <v>1</v>
      </c>
    </row>
    <row r="248" spans="1:20">
      <c r="A248" s="5" t="s">
        <v>869</v>
      </c>
      <c r="B248" s="5" t="s">
        <v>870</v>
      </c>
      <c r="C248" s="6">
        <v>45319</v>
      </c>
      <c r="D248" s="5">
        <v>29</v>
      </c>
      <c r="E248" s="5" t="s">
        <v>36</v>
      </c>
      <c r="F248" s="5" t="s">
        <v>88</v>
      </c>
      <c r="G248" s="5" t="s">
        <v>56</v>
      </c>
      <c r="H248" s="7">
        <v>225.7</v>
      </c>
      <c r="I248" s="3">
        <v>1</v>
      </c>
      <c r="J248" s="4">
        <v>0</v>
      </c>
      <c r="K248" s="7">
        <v>225.7</v>
      </c>
      <c r="L248" s="5" t="s">
        <v>692</v>
      </c>
      <c r="M248" s="5" t="s">
        <v>33</v>
      </c>
      <c r="N248" s="3">
        <v>5</v>
      </c>
      <c r="O248" s="3">
        <v>7</v>
      </c>
      <c r="P248" s="5" t="b">
        <v>1</v>
      </c>
      <c r="Q248" s="3">
        <v>7</v>
      </c>
      <c r="R248" s="3">
        <v>5</v>
      </c>
      <c r="T248">
        <f t="shared" si="3"/>
        <v>1</v>
      </c>
    </row>
    <row r="249" spans="1:20">
      <c r="A249" s="5" t="s">
        <v>1345</v>
      </c>
      <c r="B249" s="5" t="s">
        <v>1346</v>
      </c>
      <c r="C249" s="6">
        <v>44991</v>
      </c>
      <c r="D249" s="5">
        <v>27</v>
      </c>
      <c r="E249" s="5" t="s">
        <v>20</v>
      </c>
      <c r="F249" s="5" t="s">
        <v>27</v>
      </c>
      <c r="G249" s="5" t="s">
        <v>56</v>
      </c>
      <c r="H249" s="7">
        <v>353.9</v>
      </c>
      <c r="I249" s="3">
        <v>1</v>
      </c>
      <c r="J249" s="4">
        <v>29.33</v>
      </c>
      <c r="K249" s="7">
        <v>324.57</v>
      </c>
      <c r="L249" s="5" t="s">
        <v>1298</v>
      </c>
      <c r="M249" s="5" t="s">
        <v>29</v>
      </c>
      <c r="N249" s="3">
        <v>29</v>
      </c>
      <c r="O249" s="3">
        <v>12</v>
      </c>
      <c r="P249" s="5" t="b">
        <v>0</v>
      </c>
      <c r="Q249" s="3">
        <v>6</v>
      </c>
      <c r="R249" s="3">
        <v>5</v>
      </c>
      <c r="T249">
        <f t="shared" si="3"/>
        <v>1</v>
      </c>
    </row>
    <row r="250" spans="1:20">
      <c r="A250" s="5" t="s">
        <v>456</v>
      </c>
      <c r="B250" s="5" t="s">
        <v>457</v>
      </c>
      <c r="C250" s="6">
        <v>44992</v>
      </c>
      <c r="D250" s="5">
        <v>56</v>
      </c>
      <c r="E250" s="5" t="s">
        <v>36</v>
      </c>
      <c r="F250" s="5" t="s">
        <v>49</v>
      </c>
      <c r="G250" s="5" t="s">
        <v>46</v>
      </c>
      <c r="H250" s="7">
        <v>77.87</v>
      </c>
      <c r="I250" s="3">
        <v>2</v>
      </c>
      <c r="J250" s="4">
        <v>13.24</v>
      </c>
      <c r="K250" s="7">
        <v>142.5</v>
      </c>
      <c r="L250" s="5" t="s">
        <v>327</v>
      </c>
      <c r="M250" s="5" t="s">
        <v>33</v>
      </c>
      <c r="N250" s="3">
        <v>15</v>
      </c>
      <c r="O250" s="3">
        <v>9</v>
      </c>
      <c r="P250" s="5" t="b">
        <v>1</v>
      </c>
      <c r="Q250" s="3">
        <v>2</v>
      </c>
      <c r="R250" s="3">
        <v>4</v>
      </c>
      <c r="T250">
        <f t="shared" si="3"/>
        <v>1</v>
      </c>
    </row>
    <row r="251" spans="1:20">
      <c r="A251" s="5" t="s">
        <v>1258</v>
      </c>
      <c r="B251" s="5" t="s">
        <v>1259</v>
      </c>
      <c r="C251" s="6">
        <v>45264</v>
      </c>
      <c r="D251" s="5">
        <v>39</v>
      </c>
      <c r="E251" s="5" t="s">
        <v>20</v>
      </c>
      <c r="F251" s="5" t="s">
        <v>49</v>
      </c>
      <c r="G251" s="5" t="s">
        <v>53</v>
      </c>
      <c r="H251" s="7">
        <v>37.119999999999997</v>
      </c>
      <c r="I251" s="3">
        <v>1</v>
      </c>
      <c r="J251" s="4">
        <v>0</v>
      </c>
      <c r="K251" s="7">
        <v>37.119999999999997</v>
      </c>
      <c r="L251" s="5" t="s">
        <v>1231</v>
      </c>
      <c r="M251" s="5" t="s">
        <v>33</v>
      </c>
      <c r="N251" s="3">
        <v>12</v>
      </c>
      <c r="O251" s="3">
        <v>4</v>
      </c>
      <c r="P251" s="5" t="b">
        <v>1</v>
      </c>
      <c r="Q251" s="3">
        <v>3</v>
      </c>
      <c r="R251" s="3">
        <v>4</v>
      </c>
      <c r="T251">
        <f t="shared" si="3"/>
        <v>1</v>
      </c>
    </row>
    <row r="252" spans="1:20">
      <c r="A252" s="5" t="s">
        <v>151</v>
      </c>
      <c r="B252" s="5" t="s">
        <v>152</v>
      </c>
      <c r="C252" s="6">
        <v>45170</v>
      </c>
      <c r="D252" s="5">
        <v>19</v>
      </c>
      <c r="E252" s="5" t="s">
        <v>20</v>
      </c>
      <c r="F252" s="5" t="s">
        <v>21</v>
      </c>
      <c r="G252" s="5" t="s">
        <v>56</v>
      </c>
      <c r="H252" s="7">
        <v>555.28</v>
      </c>
      <c r="I252" s="3">
        <v>1</v>
      </c>
      <c r="J252" s="4">
        <v>0</v>
      </c>
      <c r="K252" s="7">
        <v>555.28</v>
      </c>
      <c r="L252" s="5" t="s">
        <v>23</v>
      </c>
      <c r="M252" s="5" t="s">
        <v>24</v>
      </c>
      <c r="N252" s="3">
        <v>7</v>
      </c>
      <c r="O252" s="3">
        <v>8</v>
      </c>
      <c r="P252" s="5" t="b">
        <v>0</v>
      </c>
      <c r="Q252" s="3">
        <v>8</v>
      </c>
      <c r="R252" s="3">
        <v>3</v>
      </c>
      <c r="T252">
        <f t="shared" si="3"/>
        <v>1</v>
      </c>
    </row>
    <row r="253" spans="1:20">
      <c r="A253" s="5" t="s">
        <v>1347</v>
      </c>
      <c r="B253" s="5" t="s">
        <v>1348</v>
      </c>
      <c r="C253" s="6">
        <v>45208</v>
      </c>
      <c r="D253" s="5">
        <v>46</v>
      </c>
      <c r="E253" s="5" t="s">
        <v>20</v>
      </c>
      <c r="F253" s="5" t="s">
        <v>32</v>
      </c>
      <c r="G253" s="5" t="s">
        <v>115</v>
      </c>
      <c r="H253" s="7">
        <v>263.52999999999997</v>
      </c>
      <c r="I253" s="3">
        <v>5</v>
      </c>
      <c r="J253" s="4">
        <v>0</v>
      </c>
      <c r="K253" s="7">
        <v>1317.65</v>
      </c>
      <c r="L253" s="5" t="s">
        <v>1298</v>
      </c>
      <c r="M253" s="5" t="s">
        <v>33</v>
      </c>
      <c r="N253" s="3">
        <v>14</v>
      </c>
      <c r="O253" s="3">
        <v>9</v>
      </c>
      <c r="P253" s="5" t="b">
        <v>1</v>
      </c>
      <c r="Q253" s="3">
        <v>4</v>
      </c>
      <c r="R253" s="3">
        <v>5</v>
      </c>
      <c r="T253">
        <f t="shared" si="3"/>
        <v>1</v>
      </c>
    </row>
    <row r="254" spans="1:20">
      <c r="A254" s="5" t="s">
        <v>871</v>
      </c>
      <c r="B254" s="5" t="s">
        <v>872</v>
      </c>
      <c r="C254" s="6">
        <v>45011</v>
      </c>
      <c r="D254" s="5">
        <v>60</v>
      </c>
      <c r="E254" s="5" t="s">
        <v>20</v>
      </c>
      <c r="F254" s="5" t="s">
        <v>59</v>
      </c>
      <c r="G254" s="5" t="s">
        <v>53</v>
      </c>
      <c r="H254" s="7">
        <v>64.23</v>
      </c>
      <c r="I254" s="3">
        <v>3</v>
      </c>
      <c r="J254" s="4">
        <v>0</v>
      </c>
      <c r="K254" s="7">
        <v>192.69</v>
      </c>
      <c r="L254" s="5" t="s">
        <v>692</v>
      </c>
      <c r="M254" s="5" t="s">
        <v>24</v>
      </c>
      <c r="N254" s="3">
        <v>22</v>
      </c>
      <c r="O254" s="3">
        <v>8</v>
      </c>
      <c r="P254" s="5" t="b">
        <v>0</v>
      </c>
      <c r="Q254" s="3">
        <v>6</v>
      </c>
      <c r="R254" s="3">
        <v>5</v>
      </c>
      <c r="T254">
        <f t="shared" si="3"/>
        <v>1</v>
      </c>
    </row>
    <row r="255" spans="1:20">
      <c r="A255" s="5" t="s">
        <v>873</v>
      </c>
      <c r="B255" s="5" t="s">
        <v>874</v>
      </c>
      <c r="C255" s="6">
        <v>45062</v>
      </c>
      <c r="D255" s="5">
        <v>47</v>
      </c>
      <c r="E255" s="5" t="s">
        <v>36</v>
      </c>
      <c r="F255" s="5" t="s">
        <v>49</v>
      </c>
      <c r="G255" s="5" t="s">
        <v>46</v>
      </c>
      <c r="H255" s="7">
        <v>322.29000000000002</v>
      </c>
      <c r="I255" s="3">
        <v>3</v>
      </c>
      <c r="J255" s="4">
        <v>0</v>
      </c>
      <c r="K255" s="7">
        <v>966.87</v>
      </c>
      <c r="L255" s="5" t="s">
        <v>692</v>
      </c>
      <c r="M255" s="5" t="s">
        <v>33</v>
      </c>
      <c r="N255" s="3">
        <v>16</v>
      </c>
      <c r="O255" s="3">
        <v>6</v>
      </c>
      <c r="P255" s="5" t="b">
        <v>0</v>
      </c>
      <c r="Q255" s="3">
        <v>10</v>
      </c>
      <c r="R255" s="3">
        <v>4</v>
      </c>
      <c r="T255">
        <f t="shared" si="3"/>
        <v>1</v>
      </c>
    </row>
    <row r="256" spans="1:20">
      <c r="A256" s="5" t="s">
        <v>875</v>
      </c>
      <c r="B256" s="5" t="s">
        <v>876</v>
      </c>
      <c r="C256" s="6">
        <v>45197</v>
      </c>
      <c r="D256" s="5">
        <v>18</v>
      </c>
      <c r="E256" s="5" t="s">
        <v>20</v>
      </c>
      <c r="F256" s="5" t="s">
        <v>21</v>
      </c>
      <c r="G256" s="5" t="s">
        <v>37</v>
      </c>
      <c r="H256" s="7">
        <v>33.17</v>
      </c>
      <c r="I256" s="3">
        <v>1</v>
      </c>
      <c r="J256" s="4">
        <v>2.64</v>
      </c>
      <c r="K256" s="7">
        <v>30.53</v>
      </c>
      <c r="L256" s="5" t="s">
        <v>692</v>
      </c>
      <c r="M256" s="5" t="s">
        <v>33</v>
      </c>
      <c r="N256" s="3">
        <v>17</v>
      </c>
      <c r="O256" s="3">
        <v>12</v>
      </c>
      <c r="P256" s="5" t="b">
        <v>1</v>
      </c>
      <c r="Q256" s="3">
        <v>5</v>
      </c>
      <c r="R256" s="3">
        <v>2</v>
      </c>
      <c r="T256">
        <f t="shared" si="3"/>
        <v>1</v>
      </c>
    </row>
    <row r="257" spans="1:20">
      <c r="A257" s="5" t="s">
        <v>458</v>
      </c>
      <c r="B257" s="5" t="s">
        <v>459</v>
      </c>
      <c r="C257" s="6">
        <v>45373</v>
      </c>
      <c r="D257" s="5">
        <v>29</v>
      </c>
      <c r="E257" s="5" t="s">
        <v>20</v>
      </c>
      <c r="F257" s="5" t="s">
        <v>88</v>
      </c>
      <c r="G257" s="5" t="s">
        <v>46</v>
      </c>
      <c r="H257" s="7">
        <v>269.26</v>
      </c>
      <c r="I257" s="3">
        <v>5</v>
      </c>
      <c r="J257" s="4">
        <v>0</v>
      </c>
      <c r="K257" s="7">
        <v>1346.3</v>
      </c>
      <c r="L257" s="5" t="s">
        <v>327</v>
      </c>
      <c r="M257" s="5" t="s">
        <v>33</v>
      </c>
      <c r="N257" s="3">
        <v>13</v>
      </c>
      <c r="O257" s="3">
        <v>11</v>
      </c>
      <c r="P257" s="5" t="b">
        <v>0</v>
      </c>
      <c r="Q257" s="3">
        <v>10</v>
      </c>
      <c r="R257" s="3">
        <v>3</v>
      </c>
      <c r="T257">
        <f t="shared" si="3"/>
        <v>1</v>
      </c>
    </row>
    <row r="258" spans="1:20">
      <c r="A258" s="5" t="s">
        <v>153</v>
      </c>
      <c r="B258" s="5" t="s">
        <v>154</v>
      </c>
      <c r="C258" s="6">
        <v>45237</v>
      </c>
      <c r="D258" s="5">
        <v>50</v>
      </c>
      <c r="E258" s="5" t="s">
        <v>20</v>
      </c>
      <c r="F258" s="5" t="s">
        <v>52</v>
      </c>
      <c r="G258" s="5" t="s">
        <v>37</v>
      </c>
      <c r="H258" s="7">
        <v>54.26</v>
      </c>
      <c r="I258" s="3">
        <v>4</v>
      </c>
      <c r="J258" s="4">
        <v>13.67</v>
      </c>
      <c r="K258" s="7">
        <v>203.37</v>
      </c>
      <c r="L258" s="5" t="s">
        <v>23</v>
      </c>
      <c r="M258" s="5" t="s">
        <v>33</v>
      </c>
      <c r="N258" s="3">
        <v>25</v>
      </c>
      <c r="O258" s="3">
        <v>7</v>
      </c>
      <c r="P258" s="5" t="b">
        <v>0</v>
      </c>
      <c r="Q258" s="3">
        <v>3</v>
      </c>
      <c r="R258" s="3">
        <v>5</v>
      </c>
      <c r="T258">
        <f t="shared" si="3"/>
        <v>1</v>
      </c>
    </row>
    <row r="259" spans="1:20">
      <c r="A259" s="5" t="s">
        <v>877</v>
      </c>
      <c r="B259" s="5" t="s">
        <v>878</v>
      </c>
      <c r="C259" s="6">
        <v>45143</v>
      </c>
      <c r="D259" s="5">
        <v>26</v>
      </c>
      <c r="E259" s="5" t="s">
        <v>36</v>
      </c>
      <c r="F259" s="5" t="s">
        <v>52</v>
      </c>
      <c r="G259" s="5" t="s">
        <v>28</v>
      </c>
      <c r="H259" s="7">
        <v>23.78</v>
      </c>
      <c r="I259" s="3">
        <v>2</v>
      </c>
      <c r="J259" s="4">
        <v>2.1800000000000002</v>
      </c>
      <c r="K259" s="7">
        <v>45.38</v>
      </c>
      <c r="L259" s="5" t="s">
        <v>692</v>
      </c>
      <c r="M259" s="5" t="s">
        <v>33</v>
      </c>
      <c r="N259" s="3">
        <v>15</v>
      </c>
      <c r="O259" s="3">
        <v>9</v>
      </c>
      <c r="P259" s="5" t="b">
        <v>0</v>
      </c>
      <c r="Q259" s="3">
        <v>10</v>
      </c>
      <c r="R259" s="3">
        <v>3</v>
      </c>
      <c r="T259">
        <f t="shared" ref="T259:T322" si="4">COUNTIF(A259:A957,A259)</f>
        <v>1</v>
      </c>
    </row>
    <row r="260" spans="1:20">
      <c r="A260" s="5" t="s">
        <v>879</v>
      </c>
      <c r="B260" s="5" t="s">
        <v>880</v>
      </c>
      <c r="C260" s="6">
        <v>45035</v>
      </c>
      <c r="D260" s="5">
        <v>40</v>
      </c>
      <c r="E260" s="5" t="s">
        <v>36</v>
      </c>
      <c r="F260" s="5" t="s">
        <v>88</v>
      </c>
      <c r="G260" s="5" t="s">
        <v>56</v>
      </c>
      <c r="H260" s="7">
        <v>219.57</v>
      </c>
      <c r="I260" s="3">
        <v>1</v>
      </c>
      <c r="J260" s="4">
        <v>0</v>
      </c>
      <c r="K260" s="7">
        <v>219.57</v>
      </c>
      <c r="L260" s="5" t="s">
        <v>692</v>
      </c>
      <c r="M260" s="5" t="s">
        <v>33</v>
      </c>
      <c r="N260" s="3">
        <v>8</v>
      </c>
      <c r="O260" s="3">
        <v>9</v>
      </c>
      <c r="P260" s="5" t="b">
        <v>0</v>
      </c>
      <c r="Q260" s="3">
        <v>3</v>
      </c>
      <c r="R260" s="3">
        <v>5</v>
      </c>
      <c r="T260">
        <f t="shared" si="4"/>
        <v>1</v>
      </c>
    </row>
    <row r="261" spans="1:20">
      <c r="A261" s="5" t="s">
        <v>460</v>
      </c>
      <c r="B261" s="5" t="s">
        <v>461</v>
      </c>
      <c r="C261" s="6">
        <v>45203</v>
      </c>
      <c r="D261" s="5">
        <v>44</v>
      </c>
      <c r="E261" s="5" t="s">
        <v>20</v>
      </c>
      <c r="F261" s="5" t="s">
        <v>59</v>
      </c>
      <c r="G261" s="5" t="s">
        <v>115</v>
      </c>
      <c r="H261" s="7">
        <v>45.4</v>
      </c>
      <c r="I261" s="3">
        <v>1</v>
      </c>
      <c r="J261" s="4">
        <v>0</v>
      </c>
      <c r="K261" s="7">
        <v>45.4</v>
      </c>
      <c r="L261" s="5" t="s">
        <v>327</v>
      </c>
      <c r="M261" s="5" t="s">
        <v>24</v>
      </c>
      <c r="N261" s="3">
        <v>9</v>
      </c>
      <c r="O261" s="3">
        <v>5</v>
      </c>
      <c r="P261" s="5" t="b">
        <v>1</v>
      </c>
      <c r="Q261" s="3">
        <v>7</v>
      </c>
      <c r="R261" s="3">
        <v>5</v>
      </c>
      <c r="T261">
        <f t="shared" si="4"/>
        <v>1</v>
      </c>
    </row>
    <row r="262" spans="1:20">
      <c r="A262" s="5" t="s">
        <v>881</v>
      </c>
      <c r="B262" s="5" t="s">
        <v>882</v>
      </c>
      <c r="C262" s="6">
        <v>45313</v>
      </c>
      <c r="D262" s="5">
        <v>23</v>
      </c>
      <c r="E262" s="5" t="s">
        <v>20</v>
      </c>
      <c r="F262" s="5" t="s">
        <v>21</v>
      </c>
      <c r="G262" s="5" t="s">
        <v>53</v>
      </c>
      <c r="H262" s="7">
        <v>42.64</v>
      </c>
      <c r="I262" s="3">
        <v>5</v>
      </c>
      <c r="J262" s="4">
        <v>0</v>
      </c>
      <c r="K262" s="7">
        <v>213.2</v>
      </c>
      <c r="L262" s="5" t="s">
        <v>692</v>
      </c>
      <c r="M262" s="5" t="s">
        <v>24</v>
      </c>
      <c r="N262" s="3">
        <v>13</v>
      </c>
      <c r="O262" s="3">
        <v>4</v>
      </c>
      <c r="P262" s="5" t="b">
        <v>0</v>
      </c>
      <c r="Q262" s="3">
        <v>9</v>
      </c>
      <c r="R262" s="3">
        <v>5</v>
      </c>
      <c r="T262">
        <f t="shared" si="4"/>
        <v>1</v>
      </c>
    </row>
    <row r="263" spans="1:20">
      <c r="A263" s="5" t="s">
        <v>462</v>
      </c>
      <c r="B263" s="5" t="s">
        <v>463</v>
      </c>
      <c r="C263" s="6">
        <v>45300</v>
      </c>
      <c r="D263" s="5">
        <v>34</v>
      </c>
      <c r="E263" s="5" t="s">
        <v>20</v>
      </c>
      <c r="F263" s="5" t="s">
        <v>32</v>
      </c>
      <c r="G263" s="5" t="s">
        <v>115</v>
      </c>
      <c r="H263" s="7">
        <v>98.63</v>
      </c>
      <c r="I263" s="3">
        <v>4</v>
      </c>
      <c r="J263" s="4">
        <v>0</v>
      </c>
      <c r="K263" s="7">
        <v>394.52</v>
      </c>
      <c r="L263" s="5" t="s">
        <v>327</v>
      </c>
      <c r="M263" s="5" t="s">
        <v>33</v>
      </c>
      <c r="N263" s="3">
        <v>11</v>
      </c>
      <c r="O263" s="3">
        <v>7</v>
      </c>
      <c r="P263" s="5" t="b">
        <v>0</v>
      </c>
      <c r="Q263" s="3">
        <v>14</v>
      </c>
      <c r="R263" s="3">
        <v>1</v>
      </c>
      <c r="T263">
        <f t="shared" si="4"/>
        <v>1</v>
      </c>
    </row>
    <row r="264" spans="1:20">
      <c r="A264" s="5" t="s">
        <v>883</v>
      </c>
      <c r="B264" s="5" t="s">
        <v>884</v>
      </c>
      <c r="C264" s="6">
        <v>45280</v>
      </c>
      <c r="D264" s="5">
        <v>18</v>
      </c>
      <c r="E264" s="5" t="s">
        <v>36</v>
      </c>
      <c r="F264" s="5" t="s">
        <v>32</v>
      </c>
      <c r="G264" s="5" t="s">
        <v>46</v>
      </c>
      <c r="H264" s="7">
        <v>1125.8800000000001</v>
      </c>
      <c r="I264" s="3">
        <v>1</v>
      </c>
      <c r="J264" s="4">
        <v>160.21</v>
      </c>
      <c r="K264" s="7">
        <v>965.67</v>
      </c>
      <c r="L264" s="5" t="s">
        <v>692</v>
      </c>
      <c r="M264" s="5" t="s">
        <v>24</v>
      </c>
      <c r="N264" s="3">
        <v>23</v>
      </c>
      <c r="O264" s="3">
        <v>3</v>
      </c>
      <c r="P264" s="5" t="b">
        <v>1</v>
      </c>
      <c r="Q264" s="3">
        <v>18</v>
      </c>
      <c r="R264" s="3">
        <v>5</v>
      </c>
      <c r="T264">
        <f t="shared" si="4"/>
        <v>1</v>
      </c>
    </row>
    <row r="265" spans="1:20">
      <c r="A265" s="5" t="s">
        <v>155</v>
      </c>
      <c r="B265" s="5" t="s">
        <v>156</v>
      </c>
      <c r="C265" s="6">
        <v>45029</v>
      </c>
      <c r="D265" s="5">
        <v>22</v>
      </c>
      <c r="E265" s="5" t="s">
        <v>36</v>
      </c>
      <c r="F265" s="5" t="s">
        <v>49</v>
      </c>
      <c r="G265" s="5" t="s">
        <v>28</v>
      </c>
      <c r="H265" s="7">
        <v>122.17</v>
      </c>
      <c r="I265" s="3">
        <v>1</v>
      </c>
      <c r="J265" s="4">
        <v>0</v>
      </c>
      <c r="K265" s="7">
        <v>122.17</v>
      </c>
      <c r="L265" s="5" t="s">
        <v>23</v>
      </c>
      <c r="M265" s="5" t="s">
        <v>33</v>
      </c>
      <c r="N265" s="3">
        <v>17</v>
      </c>
      <c r="O265" s="3">
        <v>7</v>
      </c>
      <c r="P265" s="5" t="b">
        <v>1</v>
      </c>
      <c r="Q265" s="3">
        <v>3</v>
      </c>
      <c r="R265" s="3">
        <v>5</v>
      </c>
      <c r="T265">
        <f t="shared" si="4"/>
        <v>1</v>
      </c>
    </row>
    <row r="266" spans="1:20">
      <c r="A266" s="5" t="s">
        <v>464</v>
      </c>
      <c r="B266" s="5" t="s">
        <v>465</v>
      </c>
      <c r="C266" s="6">
        <v>45292</v>
      </c>
      <c r="D266" s="5">
        <v>31</v>
      </c>
      <c r="E266" s="5" t="s">
        <v>36</v>
      </c>
      <c r="F266" s="5" t="s">
        <v>52</v>
      </c>
      <c r="G266" s="5" t="s">
        <v>56</v>
      </c>
      <c r="H266" s="7">
        <v>1069.82</v>
      </c>
      <c r="I266" s="3">
        <v>1</v>
      </c>
      <c r="J266" s="4">
        <v>0</v>
      </c>
      <c r="K266" s="7">
        <v>1069.82</v>
      </c>
      <c r="L266" s="5" t="s">
        <v>327</v>
      </c>
      <c r="M266" s="5" t="s">
        <v>33</v>
      </c>
      <c r="N266" s="3">
        <v>13</v>
      </c>
      <c r="O266" s="3">
        <v>11</v>
      </c>
      <c r="P266" s="5" t="b">
        <v>0</v>
      </c>
      <c r="Q266" s="3">
        <v>15</v>
      </c>
      <c r="R266" s="3">
        <v>2</v>
      </c>
      <c r="T266">
        <f t="shared" si="4"/>
        <v>1</v>
      </c>
    </row>
    <row r="267" spans="1:20">
      <c r="A267" s="5" t="s">
        <v>466</v>
      </c>
      <c r="B267" s="5" t="s">
        <v>467</v>
      </c>
      <c r="C267" s="6">
        <v>45086</v>
      </c>
      <c r="D267" s="5">
        <v>20</v>
      </c>
      <c r="E267" s="5" t="s">
        <v>36</v>
      </c>
      <c r="F267" s="5" t="s">
        <v>59</v>
      </c>
      <c r="G267" s="5" t="s">
        <v>115</v>
      </c>
      <c r="H267" s="7">
        <v>44.35</v>
      </c>
      <c r="I267" s="3">
        <v>3</v>
      </c>
      <c r="J267" s="4">
        <v>0</v>
      </c>
      <c r="K267" s="7">
        <v>133.05000000000001</v>
      </c>
      <c r="L267" s="5" t="s">
        <v>327</v>
      </c>
      <c r="M267" s="5" t="s">
        <v>24</v>
      </c>
      <c r="N267" s="3">
        <v>8</v>
      </c>
      <c r="O267" s="3">
        <v>10</v>
      </c>
      <c r="P267" s="5" t="b">
        <v>1</v>
      </c>
      <c r="Q267" s="3">
        <v>7</v>
      </c>
      <c r="R267" s="3">
        <v>4</v>
      </c>
      <c r="T267">
        <f t="shared" si="4"/>
        <v>1</v>
      </c>
    </row>
    <row r="268" spans="1:20">
      <c r="A268" s="5" t="s">
        <v>885</v>
      </c>
      <c r="B268" s="5" t="s">
        <v>886</v>
      </c>
      <c r="C268" s="6">
        <v>45131</v>
      </c>
      <c r="D268" s="5">
        <v>54</v>
      </c>
      <c r="E268" s="5" t="s">
        <v>20</v>
      </c>
      <c r="F268" s="5" t="s">
        <v>76</v>
      </c>
      <c r="G268" s="5" t="s">
        <v>28</v>
      </c>
      <c r="H268" s="7">
        <v>72.260000000000005</v>
      </c>
      <c r="I268" s="3">
        <v>1</v>
      </c>
      <c r="J268" s="4">
        <v>0</v>
      </c>
      <c r="K268" s="7">
        <v>72.260000000000005</v>
      </c>
      <c r="L268" s="5" t="s">
        <v>692</v>
      </c>
      <c r="M268" s="5" t="s">
        <v>29</v>
      </c>
      <c r="N268" s="3">
        <v>11</v>
      </c>
      <c r="O268" s="3">
        <v>9</v>
      </c>
      <c r="P268" s="5" t="b">
        <v>0</v>
      </c>
      <c r="Q268" s="3">
        <v>4</v>
      </c>
      <c r="R268" s="3">
        <v>5</v>
      </c>
      <c r="T268">
        <f t="shared" si="4"/>
        <v>1</v>
      </c>
    </row>
    <row r="269" spans="1:20">
      <c r="A269" s="5" t="s">
        <v>887</v>
      </c>
      <c r="B269" s="5" t="s">
        <v>888</v>
      </c>
      <c r="C269" s="6">
        <v>45270</v>
      </c>
      <c r="D269" s="5">
        <v>18</v>
      </c>
      <c r="E269" s="5" t="s">
        <v>36</v>
      </c>
      <c r="F269" s="5" t="s">
        <v>59</v>
      </c>
      <c r="G269" s="5" t="s">
        <v>37</v>
      </c>
      <c r="H269" s="7">
        <v>147.04</v>
      </c>
      <c r="I269" s="3">
        <v>4</v>
      </c>
      <c r="J269" s="4">
        <v>11.25</v>
      </c>
      <c r="K269" s="7">
        <v>576.91</v>
      </c>
      <c r="L269" s="5" t="s">
        <v>692</v>
      </c>
      <c r="M269" s="5" t="s">
        <v>33</v>
      </c>
      <c r="N269" s="3">
        <v>10</v>
      </c>
      <c r="O269" s="3">
        <v>7</v>
      </c>
      <c r="P269" s="5" t="b">
        <v>1</v>
      </c>
      <c r="Q269" s="3">
        <v>12</v>
      </c>
      <c r="R269" s="3">
        <v>5</v>
      </c>
      <c r="T269">
        <f t="shared" si="4"/>
        <v>1</v>
      </c>
    </row>
    <row r="270" spans="1:20">
      <c r="A270" s="5" t="s">
        <v>157</v>
      </c>
      <c r="B270" s="5" t="s">
        <v>158</v>
      </c>
      <c r="C270" s="6">
        <v>45259</v>
      </c>
      <c r="D270" s="5">
        <v>29</v>
      </c>
      <c r="E270" s="5" t="s">
        <v>36</v>
      </c>
      <c r="F270" s="5" t="s">
        <v>52</v>
      </c>
      <c r="G270" s="5" t="s">
        <v>46</v>
      </c>
      <c r="H270" s="7">
        <v>318.48</v>
      </c>
      <c r="I270" s="3">
        <v>3</v>
      </c>
      <c r="J270" s="4">
        <v>0</v>
      </c>
      <c r="K270" s="7">
        <v>955.44</v>
      </c>
      <c r="L270" s="5" t="s">
        <v>23</v>
      </c>
      <c r="M270" s="5" t="s">
        <v>24</v>
      </c>
      <c r="N270" s="3">
        <v>20</v>
      </c>
      <c r="O270" s="3">
        <v>9</v>
      </c>
      <c r="P270" s="5" t="b">
        <v>1</v>
      </c>
      <c r="Q270" s="3">
        <v>8</v>
      </c>
      <c r="R270" s="3">
        <v>3</v>
      </c>
      <c r="T270">
        <f t="shared" si="4"/>
        <v>1</v>
      </c>
    </row>
    <row r="271" spans="1:20">
      <c r="A271" s="5" t="s">
        <v>159</v>
      </c>
      <c r="B271" s="5" t="s">
        <v>160</v>
      </c>
      <c r="C271" s="6">
        <v>45118</v>
      </c>
      <c r="D271" s="5">
        <v>36</v>
      </c>
      <c r="E271" s="5" t="s">
        <v>20</v>
      </c>
      <c r="F271" s="5" t="s">
        <v>59</v>
      </c>
      <c r="G271" s="5" t="s">
        <v>28</v>
      </c>
      <c r="H271" s="7">
        <v>80.06</v>
      </c>
      <c r="I271" s="3">
        <v>1</v>
      </c>
      <c r="J271" s="4">
        <v>11.58</v>
      </c>
      <c r="K271" s="7">
        <v>68.48</v>
      </c>
      <c r="L271" s="5" t="s">
        <v>23</v>
      </c>
      <c r="M271" s="5" t="s">
        <v>24</v>
      </c>
      <c r="N271" s="3">
        <v>2</v>
      </c>
      <c r="O271" s="3">
        <v>10</v>
      </c>
      <c r="P271" s="5" t="b">
        <v>0</v>
      </c>
      <c r="Q271" s="3">
        <v>6</v>
      </c>
      <c r="R271" s="3">
        <v>2</v>
      </c>
      <c r="T271">
        <f t="shared" si="4"/>
        <v>1</v>
      </c>
    </row>
    <row r="272" spans="1:20">
      <c r="A272" s="5" t="s">
        <v>468</v>
      </c>
      <c r="B272" s="5" t="s">
        <v>469</v>
      </c>
      <c r="C272" s="6">
        <v>45151</v>
      </c>
      <c r="D272" s="5">
        <v>52</v>
      </c>
      <c r="E272" s="5" t="s">
        <v>20</v>
      </c>
      <c r="F272" s="5" t="s">
        <v>52</v>
      </c>
      <c r="G272" s="5" t="s">
        <v>115</v>
      </c>
      <c r="H272" s="7">
        <v>28.67</v>
      </c>
      <c r="I272" s="3">
        <v>5</v>
      </c>
      <c r="J272" s="4">
        <v>8.34</v>
      </c>
      <c r="K272" s="7">
        <v>135.01</v>
      </c>
      <c r="L272" s="5" t="s">
        <v>327</v>
      </c>
      <c r="M272" s="5" t="s">
        <v>24</v>
      </c>
      <c r="N272" s="3">
        <v>8</v>
      </c>
      <c r="O272" s="3">
        <v>11</v>
      </c>
      <c r="P272" s="5" t="b">
        <v>1</v>
      </c>
      <c r="Q272" s="3">
        <v>6</v>
      </c>
      <c r="R272" s="3">
        <v>4</v>
      </c>
      <c r="T272">
        <f t="shared" si="4"/>
        <v>1</v>
      </c>
    </row>
    <row r="273" spans="1:20">
      <c r="A273" s="5" t="s">
        <v>470</v>
      </c>
      <c r="B273" s="5" t="s">
        <v>471</v>
      </c>
      <c r="C273" s="6">
        <v>45191</v>
      </c>
      <c r="D273" s="5">
        <v>18</v>
      </c>
      <c r="E273" s="5" t="s">
        <v>36</v>
      </c>
      <c r="F273" s="5" t="s">
        <v>32</v>
      </c>
      <c r="G273" s="5" t="s">
        <v>28</v>
      </c>
      <c r="H273" s="7">
        <v>37.04</v>
      </c>
      <c r="I273" s="3">
        <v>2</v>
      </c>
      <c r="J273" s="4">
        <v>10.46</v>
      </c>
      <c r="K273" s="7">
        <v>63.62</v>
      </c>
      <c r="L273" s="5" t="s">
        <v>327</v>
      </c>
      <c r="M273" s="5" t="s">
        <v>33</v>
      </c>
      <c r="N273" s="3">
        <v>5</v>
      </c>
      <c r="O273" s="3">
        <v>4</v>
      </c>
      <c r="P273" s="5" t="b">
        <v>0</v>
      </c>
      <c r="Q273" s="3">
        <v>13</v>
      </c>
      <c r="R273" s="3">
        <v>5</v>
      </c>
      <c r="T273">
        <f t="shared" si="4"/>
        <v>1</v>
      </c>
    </row>
    <row r="274" spans="1:20">
      <c r="A274" s="5" t="s">
        <v>889</v>
      </c>
      <c r="B274" s="5" t="s">
        <v>890</v>
      </c>
      <c r="C274" s="6">
        <v>45158</v>
      </c>
      <c r="D274" s="5">
        <v>48</v>
      </c>
      <c r="E274" s="5" t="s">
        <v>36</v>
      </c>
      <c r="F274" s="5" t="s">
        <v>32</v>
      </c>
      <c r="G274" s="5" t="s">
        <v>37</v>
      </c>
      <c r="H274" s="7">
        <v>98.5</v>
      </c>
      <c r="I274" s="3">
        <v>1</v>
      </c>
      <c r="J274" s="4">
        <v>18.79</v>
      </c>
      <c r="K274" s="7">
        <v>79.709999999999994</v>
      </c>
      <c r="L274" s="5" t="s">
        <v>692</v>
      </c>
      <c r="M274" s="5" t="s">
        <v>29</v>
      </c>
      <c r="N274" s="3">
        <v>8</v>
      </c>
      <c r="O274" s="3">
        <v>11</v>
      </c>
      <c r="P274" s="5" t="b">
        <v>1</v>
      </c>
      <c r="Q274" s="3">
        <v>8</v>
      </c>
      <c r="R274" s="3">
        <v>5</v>
      </c>
      <c r="T274">
        <f t="shared" si="4"/>
        <v>1</v>
      </c>
    </row>
    <row r="275" spans="1:20">
      <c r="A275" s="5" t="s">
        <v>1349</v>
      </c>
      <c r="B275" s="5" t="s">
        <v>1350</v>
      </c>
      <c r="C275" s="6">
        <v>44988</v>
      </c>
      <c r="D275" s="5">
        <v>35</v>
      </c>
      <c r="E275" s="5" t="s">
        <v>20</v>
      </c>
      <c r="F275" s="5" t="s">
        <v>52</v>
      </c>
      <c r="G275" s="5" t="s">
        <v>22</v>
      </c>
      <c r="H275" s="7">
        <v>154.55000000000001</v>
      </c>
      <c r="I275" s="3">
        <v>3</v>
      </c>
      <c r="J275" s="4">
        <v>32.39</v>
      </c>
      <c r="K275" s="7">
        <v>431.26</v>
      </c>
      <c r="L275" s="5" t="s">
        <v>1298</v>
      </c>
      <c r="M275" s="5" t="s">
        <v>33</v>
      </c>
      <c r="N275" s="3">
        <v>17</v>
      </c>
      <c r="O275" s="3">
        <v>8</v>
      </c>
      <c r="P275" s="5" t="b">
        <v>1</v>
      </c>
      <c r="Q275" s="3">
        <v>8</v>
      </c>
      <c r="R275" s="3">
        <v>3</v>
      </c>
      <c r="T275">
        <f t="shared" si="4"/>
        <v>1</v>
      </c>
    </row>
    <row r="276" spans="1:20">
      <c r="A276" s="5" t="s">
        <v>161</v>
      </c>
      <c r="B276" s="5" t="s">
        <v>162</v>
      </c>
      <c r="C276" s="6">
        <v>45053</v>
      </c>
      <c r="D276" s="5">
        <v>23</v>
      </c>
      <c r="E276" s="5" t="s">
        <v>36</v>
      </c>
      <c r="F276" s="5" t="s">
        <v>88</v>
      </c>
      <c r="G276" s="5" t="s">
        <v>115</v>
      </c>
      <c r="H276" s="7">
        <v>110.67</v>
      </c>
      <c r="I276" s="3">
        <v>2</v>
      </c>
      <c r="J276" s="4">
        <v>0</v>
      </c>
      <c r="K276" s="7">
        <v>221.34</v>
      </c>
      <c r="L276" s="5" t="s">
        <v>23</v>
      </c>
      <c r="M276" s="5" t="s">
        <v>33</v>
      </c>
      <c r="N276" s="3">
        <v>17</v>
      </c>
      <c r="O276" s="3">
        <v>6</v>
      </c>
      <c r="P276" s="5" t="b">
        <v>0</v>
      </c>
      <c r="Q276" s="3">
        <v>10</v>
      </c>
      <c r="R276" s="3">
        <v>4</v>
      </c>
      <c r="T276">
        <f t="shared" si="4"/>
        <v>1</v>
      </c>
    </row>
    <row r="277" spans="1:20">
      <c r="A277" s="5" t="s">
        <v>472</v>
      </c>
      <c r="B277" s="5" t="s">
        <v>473</v>
      </c>
      <c r="C277" s="6">
        <v>45042</v>
      </c>
      <c r="D277" s="5">
        <v>40</v>
      </c>
      <c r="E277" s="5" t="s">
        <v>36</v>
      </c>
      <c r="F277" s="5" t="s">
        <v>32</v>
      </c>
      <c r="G277" s="5" t="s">
        <v>37</v>
      </c>
      <c r="H277" s="7">
        <v>265.5</v>
      </c>
      <c r="I277" s="3">
        <v>4</v>
      </c>
      <c r="J277" s="4">
        <v>36.65</v>
      </c>
      <c r="K277" s="7">
        <v>1025.3499999999999</v>
      </c>
      <c r="L277" s="5" t="s">
        <v>327</v>
      </c>
      <c r="M277" s="5" t="s">
        <v>24</v>
      </c>
      <c r="N277" s="3">
        <v>16</v>
      </c>
      <c r="O277" s="3">
        <v>5</v>
      </c>
      <c r="P277" s="5" t="b">
        <v>0</v>
      </c>
      <c r="Q277" s="3">
        <v>4</v>
      </c>
      <c r="R277" s="3">
        <v>5</v>
      </c>
      <c r="T277">
        <f t="shared" si="4"/>
        <v>1</v>
      </c>
    </row>
    <row r="278" spans="1:20">
      <c r="A278" s="5" t="s">
        <v>1351</v>
      </c>
      <c r="B278" s="5" t="s">
        <v>1352</v>
      </c>
      <c r="C278" s="6">
        <v>44959</v>
      </c>
      <c r="D278" s="5">
        <v>37</v>
      </c>
      <c r="E278" s="5" t="s">
        <v>20</v>
      </c>
      <c r="F278" s="5" t="s">
        <v>32</v>
      </c>
      <c r="G278" s="5" t="s">
        <v>22</v>
      </c>
      <c r="H278" s="7">
        <v>114.14</v>
      </c>
      <c r="I278" s="3">
        <v>2</v>
      </c>
      <c r="J278" s="4">
        <v>0</v>
      </c>
      <c r="K278" s="7">
        <v>228.28</v>
      </c>
      <c r="L278" s="5" t="s">
        <v>1298</v>
      </c>
      <c r="M278" s="5" t="s">
        <v>33</v>
      </c>
      <c r="N278" s="3">
        <v>5</v>
      </c>
      <c r="O278" s="3">
        <v>10</v>
      </c>
      <c r="P278" s="5" t="b">
        <v>1</v>
      </c>
      <c r="Q278" s="3">
        <v>9</v>
      </c>
      <c r="R278" s="3">
        <v>5</v>
      </c>
      <c r="T278">
        <f t="shared" si="4"/>
        <v>1</v>
      </c>
    </row>
    <row r="279" spans="1:20">
      <c r="A279" s="5" t="s">
        <v>891</v>
      </c>
      <c r="B279" s="5" t="s">
        <v>892</v>
      </c>
      <c r="C279" s="6">
        <v>45100</v>
      </c>
      <c r="D279" s="5">
        <v>27</v>
      </c>
      <c r="E279" s="5" t="s">
        <v>20</v>
      </c>
      <c r="F279" s="5" t="s">
        <v>83</v>
      </c>
      <c r="G279" s="5" t="s">
        <v>56</v>
      </c>
      <c r="H279" s="7">
        <v>181.56</v>
      </c>
      <c r="I279" s="3">
        <v>2</v>
      </c>
      <c r="J279" s="4">
        <v>0</v>
      </c>
      <c r="K279" s="7">
        <v>363.12</v>
      </c>
      <c r="L279" s="5" t="s">
        <v>692</v>
      </c>
      <c r="M279" s="5" t="s">
        <v>33</v>
      </c>
      <c r="N279" s="3">
        <v>14</v>
      </c>
      <c r="O279" s="3">
        <v>5</v>
      </c>
      <c r="P279" s="5" t="b">
        <v>1</v>
      </c>
      <c r="Q279" s="3">
        <v>7</v>
      </c>
      <c r="R279" s="3">
        <v>5</v>
      </c>
      <c r="T279">
        <f t="shared" si="4"/>
        <v>1</v>
      </c>
    </row>
    <row r="280" spans="1:20">
      <c r="A280" s="5" t="s">
        <v>163</v>
      </c>
      <c r="B280" s="5" t="s">
        <v>164</v>
      </c>
      <c r="C280" s="6">
        <v>44937</v>
      </c>
      <c r="D280" s="5">
        <v>35</v>
      </c>
      <c r="E280" s="5" t="s">
        <v>20</v>
      </c>
      <c r="F280" s="5" t="s">
        <v>32</v>
      </c>
      <c r="G280" s="5" t="s">
        <v>46</v>
      </c>
      <c r="H280" s="7">
        <v>1148.1099999999999</v>
      </c>
      <c r="I280" s="3">
        <v>1</v>
      </c>
      <c r="J280" s="4">
        <v>0</v>
      </c>
      <c r="K280" s="7">
        <v>1148.1099999999999</v>
      </c>
      <c r="L280" s="5" t="s">
        <v>23</v>
      </c>
      <c r="M280" s="5" t="s">
        <v>33</v>
      </c>
      <c r="N280" s="3">
        <v>26</v>
      </c>
      <c r="O280" s="3">
        <v>9</v>
      </c>
      <c r="P280" s="5" t="b">
        <v>0</v>
      </c>
      <c r="Q280" s="3">
        <v>12</v>
      </c>
      <c r="R280" s="3">
        <v>5</v>
      </c>
      <c r="T280">
        <f t="shared" si="4"/>
        <v>1</v>
      </c>
    </row>
    <row r="281" spans="1:20">
      <c r="A281" s="5" t="s">
        <v>1260</v>
      </c>
      <c r="B281" s="5" t="s">
        <v>1261</v>
      </c>
      <c r="C281" s="6">
        <v>45228</v>
      </c>
      <c r="D281" s="5">
        <v>30</v>
      </c>
      <c r="E281" s="5" t="s">
        <v>36</v>
      </c>
      <c r="F281" s="5" t="s">
        <v>59</v>
      </c>
      <c r="G281" s="5" t="s">
        <v>28</v>
      </c>
      <c r="H281" s="7">
        <v>164.95</v>
      </c>
      <c r="I281" s="3">
        <v>4</v>
      </c>
      <c r="J281" s="4">
        <v>0</v>
      </c>
      <c r="K281" s="7">
        <v>659.8</v>
      </c>
      <c r="L281" s="5" t="s">
        <v>1231</v>
      </c>
      <c r="M281" s="5" t="s">
        <v>33</v>
      </c>
      <c r="N281" s="3">
        <v>11</v>
      </c>
      <c r="O281" s="3">
        <v>8</v>
      </c>
      <c r="P281" s="5" t="b">
        <v>0</v>
      </c>
      <c r="Q281" s="3">
        <v>9</v>
      </c>
      <c r="R281" s="3">
        <v>3</v>
      </c>
      <c r="T281">
        <f t="shared" si="4"/>
        <v>1</v>
      </c>
    </row>
    <row r="282" spans="1:20">
      <c r="A282" s="5" t="s">
        <v>893</v>
      </c>
      <c r="B282" s="5" t="s">
        <v>894</v>
      </c>
      <c r="C282" s="6">
        <v>45210</v>
      </c>
      <c r="D282" s="5">
        <v>36</v>
      </c>
      <c r="E282" s="5" t="s">
        <v>20</v>
      </c>
      <c r="F282" s="5" t="s">
        <v>52</v>
      </c>
      <c r="G282" s="5" t="s">
        <v>56</v>
      </c>
      <c r="H282" s="7">
        <v>635.86</v>
      </c>
      <c r="I282" s="3">
        <v>1</v>
      </c>
      <c r="J282" s="4">
        <v>65.25</v>
      </c>
      <c r="K282" s="7">
        <v>570.61</v>
      </c>
      <c r="L282" s="5" t="s">
        <v>692</v>
      </c>
      <c r="M282" s="5" t="s">
        <v>33</v>
      </c>
      <c r="N282" s="3">
        <v>12</v>
      </c>
      <c r="O282" s="3">
        <v>9</v>
      </c>
      <c r="P282" s="5" t="b">
        <v>0</v>
      </c>
      <c r="Q282" s="3">
        <v>3</v>
      </c>
      <c r="R282" s="3">
        <v>5</v>
      </c>
      <c r="T282">
        <f t="shared" si="4"/>
        <v>1</v>
      </c>
    </row>
    <row r="283" spans="1:20">
      <c r="A283" s="5" t="s">
        <v>895</v>
      </c>
      <c r="B283" s="5" t="s">
        <v>896</v>
      </c>
      <c r="C283" s="6">
        <v>45044</v>
      </c>
      <c r="D283" s="5">
        <v>42</v>
      </c>
      <c r="E283" s="5" t="s">
        <v>20</v>
      </c>
      <c r="F283" s="5" t="s">
        <v>32</v>
      </c>
      <c r="G283" s="5" t="s">
        <v>64</v>
      </c>
      <c r="H283" s="7">
        <v>1843.57</v>
      </c>
      <c r="I283" s="3">
        <v>1</v>
      </c>
      <c r="J283" s="4">
        <v>0</v>
      </c>
      <c r="K283" s="7">
        <v>1843.57</v>
      </c>
      <c r="L283" s="5" t="s">
        <v>692</v>
      </c>
      <c r="M283" s="5" t="s">
        <v>29</v>
      </c>
      <c r="N283" s="3">
        <v>9</v>
      </c>
      <c r="O283" s="3">
        <v>7</v>
      </c>
      <c r="P283" s="5" t="b">
        <v>1</v>
      </c>
      <c r="Q283" s="3">
        <v>4</v>
      </c>
      <c r="R283" s="3">
        <v>1</v>
      </c>
      <c r="T283">
        <f t="shared" si="4"/>
        <v>1</v>
      </c>
    </row>
    <row r="284" spans="1:20">
      <c r="A284" s="5" t="s">
        <v>165</v>
      </c>
      <c r="B284" s="5" t="s">
        <v>166</v>
      </c>
      <c r="C284" s="6">
        <v>45228</v>
      </c>
      <c r="D284" s="5">
        <v>54</v>
      </c>
      <c r="E284" s="5" t="s">
        <v>36</v>
      </c>
      <c r="F284" s="5" t="s">
        <v>76</v>
      </c>
      <c r="G284" s="5" t="s">
        <v>37</v>
      </c>
      <c r="H284" s="7">
        <v>188.47</v>
      </c>
      <c r="I284" s="3">
        <v>1</v>
      </c>
      <c r="J284" s="4">
        <v>0</v>
      </c>
      <c r="K284" s="7">
        <v>188.47</v>
      </c>
      <c r="L284" s="5" t="s">
        <v>23</v>
      </c>
      <c r="M284" s="5" t="s">
        <v>33</v>
      </c>
      <c r="N284" s="3">
        <v>13</v>
      </c>
      <c r="O284" s="3">
        <v>7</v>
      </c>
      <c r="P284" s="5" t="b">
        <v>1</v>
      </c>
      <c r="Q284" s="3">
        <v>9</v>
      </c>
      <c r="R284" s="3">
        <v>5</v>
      </c>
      <c r="T284">
        <f t="shared" si="4"/>
        <v>1</v>
      </c>
    </row>
    <row r="285" spans="1:20">
      <c r="A285" s="5" t="s">
        <v>897</v>
      </c>
      <c r="B285" s="5" t="s">
        <v>898</v>
      </c>
      <c r="C285" s="6">
        <v>45039</v>
      </c>
      <c r="D285" s="5">
        <v>20</v>
      </c>
      <c r="E285" s="5" t="s">
        <v>36</v>
      </c>
      <c r="F285" s="5" t="s">
        <v>32</v>
      </c>
      <c r="G285" s="5" t="s">
        <v>56</v>
      </c>
      <c r="H285" s="7">
        <v>1223.3699999999999</v>
      </c>
      <c r="I285" s="3">
        <v>2</v>
      </c>
      <c r="J285" s="4">
        <v>146.22</v>
      </c>
      <c r="K285" s="7">
        <v>2300.52</v>
      </c>
      <c r="L285" s="5" t="s">
        <v>692</v>
      </c>
      <c r="M285" s="5" t="s">
        <v>33</v>
      </c>
      <c r="N285" s="3">
        <v>13</v>
      </c>
      <c r="O285" s="3">
        <v>6</v>
      </c>
      <c r="P285" s="5" t="b">
        <v>0</v>
      </c>
      <c r="Q285" s="3">
        <v>6</v>
      </c>
      <c r="R285" s="3">
        <v>4</v>
      </c>
      <c r="T285">
        <f t="shared" si="4"/>
        <v>1</v>
      </c>
    </row>
    <row r="286" spans="1:20">
      <c r="A286" s="5" t="s">
        <v>1353</v>
      </c>
      <c r="B286" s="5" t="s">
        <v>1354</v>
      </c>
      <c r="C286" s="6">
        <v>44930</v>
      </c>
      <c r="D286" s="5">
        <v>60</v>
      </c>
      <c r="E286" s="5" t="s">
        <v>20</v>
      </c>
      <c r="F286" s="5" t="s">
        <v>73</v>
      </c>
      <c r="G286" s="5" t="s">
        <v>56</v>
      </c>
      <c r="H286" s="7">
        <v>912.21</v>
      </c>
      <c r="I286" s="3">
        <v>4</v>
      </c>
      <c r="J286" s="4">
        <v>63.68</v>
      </c>
      <c r="K286" s="7">
        <v>3585.16</v>
      </c>
      <c r="L286" s="5" t="s">
        <v>1298</v>
      </c>
      <c r="M286" s="5" t="s">
        <v>33</v>
      </c>
      <c r="N286" s="3">
        <v>13</v>
      </c>
      <c r="O286" s="3">
        <v>10</v>
      </c>
      <c r="P286" s="5" t="b">
        <v>1</v>
      </c>
      <c r="Q286" s="3">
        <v>4</v>
      </c>
      <c r="R286" s="3">
        <v>5</v>
      </c>
      <c r="T286">
        <f t="shared" si="4"/>
        <v>1</v>
      </c>
    </row>
    <row r="287" spans="1:20">
      <c r="A287" s="5" t="s">
        <v>899</v>
      </c>
      <c r="B287" s="5" t="s">
        <v>900</v>
      </c>
      <c r="C287" s="6">
        <v>44963</v>
      </c>
      <c r="D287" s="5">
        <v>18</v>
      </c>
      <c r="E287" s="5" t="s">
        <v>20</v>
      </c>
      <c r="F287" s="5" t="s">
        <v>52</v>
      </c>
      <c r="G287" s="5" t="s">
        <v>28</v>
      </c>
      <c r="H287" s="7">
        <v>58.38</v>
      </c>
      <c r="I287" s="3">
        <v>4</v>
      </c>
      <c r="J287" s="4">
        <v>0</v>
      </c>
      <c r="K287" s="7">
        <v>233.52</v>
      </c>
      <c r="L287" s="5" t="s">
        <v>692</v>
      </c>
      <c r="M287" s="5" t="s">
        <v>33</v>
      </c>
      <c r="N287" s="3">
        <v>12</v>
      </c>
      <c r="O287" s="3">
        <v>11</v>
      </c>
      <c r="P287" s="5" t="b">
        <v>0</v>
      </c>
      <c r="Q287" s="3">
        <v>3</v>
      </c>
      <c r="R287" s="3">
        <v>5</v>
      </c>
      <c r="T287">
        <f t="shared" si="4"/>
        <v>1</v>
      </c>
    </row>
    <row r="288" spans="1:20">
      <c r="A288" s="5" t="s">
        <v>167</v>
      </c>
      <c r="B288" s="5" t="s">
        <v>168</v>
      </c>
      <c r="C288" s="6">
        <v>45289</v>
      </c>
      <c r="D288" s="5">
        <v>33</v>
      </c>
      <c r="E288" s="5" t="s">
        <v>36</v>
      </c>
      <c r="F288" s="5" t="s">
        <v>32</v>
      </c>
      <c r="G288" s="5" t="s">
        <v>22</v>
      </c>
      <c r="H288" s="7">
        <v>53.49</v>
      </c>
      <c r="I288" s="3">
        <v>3</v>
      </c>
      <c r="J288" s="4">
        <v>0</v>
      </c>
      <c r="K288" s="7">
        <v>160.47</v>
      </c>
      <c r="L288" s="5" t="s">
        <v>23</v>
      </c>
      <c r="M288" s="5" t="s">
        <v>24</v>
      </c>
      <c r="N288" s="3">
        <v>2</v>
      </c>
      <c r="O288" s="3">
        <v>12</v>
      </c>
      <c r="P288" s="5" t="b">
        <v>0</v>
      </c>
      <c r="Q288" s="3">
        <v>5</v>
      </c>
      <c r="R288" s="3">
        <v>2</v>
      </c>
      <c r="T288">
        <f t="shared" si="4"/>
        <v>1</v>
      </c>
    </row>
    <row r="289" spans="1:20">
      <c r="A289" s="5" t="s">
        <v>901</v>
      </c>
      <c r="B289" s="5" t="s">
        <v>902</v>
      </c>
      <c r="C289" s="6">
        <v>45250</v>
      </c>
      <c r="D289" s="5">
        <v>42</v>
      </c>
      <c r="E289" s="5" t="s">
        <v>36</v>
      </c>
      <c r="F289" s="5" t="s">
        <v>32</v>
      </c>
      <c r="G289" s="5" t="s">
        <v>37</v>
      </c>
      <c r="H289" s="7">
        <v>43.39</v>
      </c>
      <c r="I289" s="3">
        <v>3</v>
      </c>
      <c r="J289" s="4">
        <v>7</v>
      </c>
      <c r="K289" s="7">
        <v>123.17</v>
      </c>
      <c r="L289" s="5" t="s">
        <v>692</v>
      </c>
      <c r="M289" s="5" t="s">
        <v>33</v>
      </c>
      <c r="N289" s="3">
        <v>35</v>
      </c>
      <c r="O289" s="3">
        <v>7</v>
      </c>
      <c r="P289" s="5" t="b">
        <v>1</v>
      </c>
      <c r="Q289" s="3">
        <v>6</v>
      </c>
      <c r="R289" s="3">
        <v>3</v>
      </c>
      <c r="T289">
        <f t="shared" si="4"/>
        <v>1</v>
      </c>
    </row>
    <row r="290" spans="1:20">
      <c r="A290" s="5" t="s">
        <v>903</v>
      </c>
      <c r="B290" s="5" t="s">
        <v>904</v>
      </c>
      <c r="C290" s="6">
        <v>44957</v>
      </c>
      <c r="D290" s="5">
        <v>38</v>
      </c>
      <c r="E290" s="5" t="s">
        <v>36</v>
      </c>
      <c r="F290" s="5" t="s">
        <v>32</v>
      </c>
      <c r="G290" s="5" t="s">
        <v>22</v>
      </c>
      <c r="H290" s="7">
        <v>66.84</v>
      </c>
      <c r="I290" s="3">
        <v>4</v>
      </c>
      <c r="J290" s="4">
        <v>0</v>
      </c>
      <c r="K290" s="7">
        <v>267.36</v>
      </c>
      <c r="L290" s="5" t="s">
        <v>692</v>
      </c>
      <c r="M290" s="5" t="s">
        <v>24</v>
      </c>
      <c r="N290" s="3">
        <v>27</v>
      </c>
      <c r="O290" s="3">
        <v>7</v>
      </c>
      <c r="P290" s="5" t="b">
        <v>0</v>
      </c>
      <c r="Q290" s="3">
        <v>5</v>
      </c>
      <c r="R290" s="3">
        <v>4</v>
      </c>
      <c r="T290">
        <f t="shared" si="4"/>
        <v>1</v>
      </c>
    </row>
    <row r="291" spans="1:20">
      <c r="A291" s="5" t="s">
        <v>1355</v>
      </c>
      <c r="B291" s="5" t="s">
        <v>1356</v>
      </c>
      <c r="C291" s="6">
        <v>45044</v>
      </c>
      <c r="D291" s="5">
        <v>27</v>
      </c>
      <c r="E291" s="5" t="s">
        <v>20</v>
      </c>
      <c r="F291" s="5" t="s">
        <v>32</v>
      </c>
      <c r="G291" s="5" t="s">
        <v>46</v>
      </c>
      <c r="H291" s="7">
        <v>742.38</v>
      </c>
      <c r="I291" s="3">
        <v>2</v>
      </c>
      <c r="J291" s="4">
        <v>0</v>
      </c>
      <c r="K291" s="7">
        <v>1484.76</v>
      </c>
      <c r="L291" s="5" t="s">
        <v>1298</v>
      </c>
      <c r="M291" s="5" t="s">
        <v>33</v>
      </c>
      <c r="N291" s="3">
        <v>18</v>
      </c>
      <c r="O291" s="3">
        <v>6</v>
      </c>
      <c r="P291" s="5" t="b">
        <v>0</v>
      </c>
      <c r="Q291" s="3">
        <v>8</v>
      </c>
      <c r="R291" s="3">
        <v>5</v>
      </c>
      <c r="T291">
        <f t="shared" si="4"/>
        <v>1</v>
      </c>
    </row>
    <row r="292" spans="1:20">
      <c r="A292" s="5" t="s">
        <v>169</v>
      </c>
      <c r="B292" s="5" t="s">
        <v>170</v>
      </c>
      <c r="C292" s="6">
        <v>44961</v>
      </c>
      <c r="D292" s="5">
        <v>32</v>
      </c>
      <c r="E292" s="5" t="s">
        <v>36</v>
      </c>
      <c r="F292" s="5" t="s">
        <v>27</v>
      </c>
      <c r="G292" s="5" t="s">
        <v>56</v>
      </c>
      <c r="H292" s="7">
        <v>349.92</v>
      </c>
      <c r="I292" s="3">
        <v>1</v>
      </c>
      <c r="J292" s="4">
        <v>0</v>
      </c>
      <c r="K292" s="7">
        <v>349.92</v>
      </c>
      <c r="L292" s="5" t="s">
        <v>23</v>
      </c>
      <c r="M292" s="5" t="s">
        <v>33</v>
      </c>
      <c r="N292" s="3">
        <v>12</v>
      </c>
      <c r="O292" s="3">
        <v>7</v>
      </c>
      <c r="P292" s="5" t="b">
        <v>1</v>
      </c>
      <c r="Q292" s="3">
        <v>3</v>
      </c>
      <c r="R292" s="3">
        <v>5</v>
      </c>
      <c r="T292">
        <f t="shared" si="4"/>
        <v>1</v>
      </c>
    </row>
    <row r="293" spans="1:20">
      <c r="A293" s="5" t="s">
        <v>905</v>
      </c>
      <c r="B293" s="5" t="s">
        <v>906</v>
      </c>
      <c r="C293" s="6">
        <v>44943</v>
      </c>
      <c r="D293" s="5">
        <v>29</v>
      </c>
      <c r="E293" s="5" t="s">
        <v>36</v>
      </c>
      <c r="F293" s="5" t="s">
        <v>21</v>
      </c>
      <c r="G293" s="5" t="s">
        <v>37</v>
      </c>
      <c r="H293" s="7">
        <v>140.69</v>
      </c>
      <c r="I293" s="3">
        <v>1</v>
      </c>
      <c r="J293" s="4">
        <v>0</v>
      </c>
      <c r="K293" s="7">
        <v>140.69</v>
      </c>
      <c r="L293" s="5" t="s">
        <v>692</v>
      </c>
      <c r="M293" s="5" t="s">
        <v>33</v>
      </c>
      <c r="N293" s="3">
        <v>22</v>
      </c>
      <c r="O293" s="3">
        <v>12</v>
      </c>
      <c r="P293" s="5" t="b">
        <v>0</v>
      </c>
      <c r="Q293" s="3">
        <v>5</v>
      </c>
      <c r="R293" s="3">
        <v>5</v>
      </c>
      <c r="T293">
        <f t="shared" si="4"/>
        <v>1</v>
      </c>
    </row>
    <row r="294" spans="1:20">
      <c r="A294" s="5" t="s">
        <v>907</v>
      </c>
      <c r="B294" s="5" t="s">
        <v>908</v>
      </c>
      <c r="C294" s="6">
        <v>45367</v>
      </c>
      <c r="D294" s="5">
        <v>27</v>
      </c>
      <c r="E294" s="5" t="s">
        <v>36</v>
      </c>
      <c r="F294" s="5" t="s">
        <v>52</v>
      </c>
      <c r="G294" s="5" t="s">
        <v>56</v>
      </c>
      <c r="H294" s="7">
        <v>584.78</v>
      </c>
      <c r="I294" s="3">
        <v>1</v>
      </c>
      <c r="J294" s="4">
        <v>0</v>
      </c>
      <c r="K294" s="7">
        <v>584.78</v>
      </c>
      <c r="L294" s="5" t="s">
        <v>692</v>
      </c>
      <c r="M294" s="5" t="s">
        <v>24</v>
      </c>
      <c r="N294" s="3">
        <v>18</v>
      </c>
      <c r="O294" s="3">
        <v>8</v>
      </c>
      <c r="P294" s="5" t="b">
        <v>0</v>
      </c>
      <c r="Q294" s="3">
        <v>6</v>
      </c>
      <c r="R294" s="3">
        <v>4</v>
      </c>
      <c r="T294">
        <f t="shared" si="4"/>
        <v>1</v>
      </c>
    </row>
    <row r="295" spans="1:20">
      <c r="A295" s="5" t="s">
        <v>171</v>
      </c>
      <c r="B295" s="5" t="s">
        <v>172</v>
      </c>
      <c r="C295" s="6">
        <v>45096</v>
      </c>
      <c r="D295" s="5">
        <v>45</v>
      </c>
      <c r="E295" s="5" t="s">
        <v>36</v>
      </c>
      <c r="F295" s="5" t="s">
        <v>21</v>
      </c>
      <c r="G295" s="5" t="s">
        <v>46</v>
      </c>
      <c r="H295" s="7">
        <v>261.44</v>
      </c>
      <c r="I295" s="3">
        <v>1</v>
      </c>
      <c r="J295" s="4">
        <v>0</v>
      </c>
      <c r="K295" s="7">
        <v>261.44</v>
      </c>
      <c r="L295" s="5" t="s">
        <v>23</v>
      </c>
      <c r="M295" s="5" t="s">
        <v>33</v>
      </c>
      <c r="N295" s="3">
        <v>25</v>
      </c>
      <c r="O295" s="3">
        <v>7</v>
      </c>
      <c r="P295" s="5" t="b">
        <v>0</v>
      </c>
      <c r="Q295" s="3">
        <v>8</v>
      </c>
      <c r="R295" s="3">
        <v>3</v>
      </c>
      <c r="T295">
        <f t="shared" si="4"/>
        <v>1</v>
      </c>
    </row>
    <row r="296" spans="1:20">
      <c r="A296" s="5" t="s">
        <v>173</v>
      </c>
      <c r="B296" s="5" t="s">
        <v>174</v>
      </c>
      <c r="C296" s="6">
        <v>44963</v>
      </c>
      <c r="D296" s="5">
        <v>39</v>
      </c>
      <c r="E296" s="5" t="s">
        <v>20</v>
      </c>
      <c r="F296" s="5" t="s">
        <v>76</v>
      </c>
      <c r="G296" s="5" t="s">
        <v>53</v>
      </c>
      <c r="H296" s="7">
        <v>27.2</v>
      </c>
      <c r="I296" s="3">
        <v>3</v>
      </c>
      <c r="J296" s="4">
        <v>0</v>
      </c>
      <c r="K296" s="7">
        <v>81.599999999999994</v>
      </c>
      <c r="L296" s="5" t="s">
        <v>23</v>
      </c>
      <c r="M296" s="5" t="s">
        <v>33</v>
      </c>
      <c r="N296" s="3">
        <v>10</v>
      </c>
      <c r="O296" s="3">
        <v>10</v>
      </c>
      <c r="P296" s="5" t="b">
        <v>1</v>
      </c>
      <c r="Q296" s="3">
        <v>6</v>
      </c>
      <c r="R296" s="3">
        <v>1</v>
      </c>
      <c r="T296">
        <f t="shared" si="4"/>
        <v>1</v>
      </c>
    </row>
    <row r="297" spans="1:20">
      <c r="A297" s="5" t="s">
        <v>175</v>
      </c>
      <c r="B297" s="5" t="s">
        <v>176</v>
      </c>
      <c r="C297" s="6">
        <v>45190</v>
      </c>
      <c r="D297" s="5">
        <v>26</v>
      </c>
      <c r="E297" s="5" t="s">
        <v>20</v>
      </c>
      <c r="F297" s="5" t="s">
        <v>76</v>
      </c>
      <c r="G297" s="5" t="s">
        <v>46</v>
      </c>
      <c r="H297" s="7">
        <v>246.94</v>
      </c>
      <c r="I297" s="3">
        <v>1</v>
      </c>
      <c r="J297" s="4">
        <v>0</v>
      </c>
      <c r="K297" s="7">
        <v>246.94</v>
      </c>
      <c r="L297" s="5" t="s">
        <v>23</v>
      </c>
      <c r="M297" s="5" t="s">
        <v>24</v>
      </c>
      <c r="N297" s="3">
        <v>10</v>
      </c>
      <c r="O297" s="3">
        <v>13</v>
      </c>
      <c r="P297" s="5" t="b">
        <v>1</v>
      </c>
      <c r="Q297" s="3">
        <v>5</v>
      </c>
      <c r="R297" s="3">
        <v>3</v>
      </c>
      <c r="T297">
        <f t="shared" si="4"/>
        <v>1</v>
      </c>
    </row>
    <row r="298" spans="1:20">
      <c r="A298" s="5" t="s">
        <v>474</v>
      </c>
      <c r="B298" s="5" t="s">
        <v>475</v>
      </c>
      <c r="C298" s="6">
        <v>45048</v>
      </c>
      <c r="D298" s="5">
        <v>45</v>
      </c>
      <c r="E298" s="5" t="s">
        <v>36</v>
      </c>
      <c r="F298" s="5" t="s">
        <v>27</v>
      </c>
      <c r="G298" s="5" t="s">
        <v>22</v>
      </c>
      <c r="H298" s="7">
        <v>80.91</v>
      </c>
      <c r="I298" s="3">
        <v>3</v>
      </c>
      <c r="J298" s="4">
        <v>0</v>
      </c>
      <c r="K298" s="7">
        <v>242.73</v>
      </c>
      <c r="L298" s="5" t="s">
        <v>327</v>
      </c>
      <c r="M298" s="5" t="s">
        <v>24</v>
      </c>
      <c r="N298" s="3">
        <v>33</v>
      </c>
      <c r="O298" s="3">
        <v>7</v>
      </c>
      <c r="P298" s="5" t="b">
        <v>1</v>
      </c>
      <c r="Q298" s="3">
        <v>4</v>
      </c>
      <c r="R298" s="3">
        <v>5</v>
      </c>
      <c r="T298">
        <f t="shared" si="4"/>
        <v>1</v>
      </c>
    </row>
    <row r="299" spans="1:20">
      <c r="A299" s="5" t="s">
        <v>909</v>
      </c>
      <c r="B299" s="5" t="s">
        <v>910</v>
      </c>
      <c r="C299" s="6">
        <v>45069</v>
      </c>
      <c r="D299" s="5">
        <v>38</v>
      </c>
      <c r="E299" s="5" t="s">
        <v>36</v>
      </c>
      <c r="F299" s="5" t="s">
        <v>88</v>
      </c>
      <c r="G299" s="5" t="s">
        <v>22</v>
      </c>
      <c r="H299" s="7">
        <v>718.22</v>
      </c>
      <c r="I299" s="3">
        <v>2</v>
      </c>
      <c r="J299" s="4">
        <v>0</v>
      </c>
      <c r="K299" s="7">
        <v>1436.44</v>
      </c>
      <c r="L299" s="5" t="s">
        <v>692</v>
      </c>
      <c r="M299" s="5" t="s">
        <v>33</v>
      </c>
      <c r="N299" s="3">
        <v>23</v>
      </c>
      <c r="O299" s="3">
        <v>17</v>
      </c>
      <c r="P299" s="5" t="b">
        <v>0</v>
      </c>
      <c r="Q299" s="3">
        <v>7</v>
      </c>
      <c r="R299" s="3">
        <v>5</v>
      </c>
      <c r="T299">
        <f t="shared" si="4"/>
        <v>1</v>
      </c>
    </row>
    <row r="300" spans="1:20">
      <c r="A300" s="5" t="s">
        <v>1357</v>
      </c>
      <c r="B300" s="5" t="s">
        <v>1358</v>
      </c>
      <c r="C300" s="6">
        <v>45269</v>
      </c>
      <c r="D300" s="5">
        <v>44</v>
      </c>
      <c r="E300" s="5" t="s">
        <v>36</v>
      </c>
      <c r="F300" s="5" t="s">
        <v>52</v>
      </c>
      <c r="G300" s="5" t="s">
        <v>115</v>
      </c>
      <c r="H300" s="7">
        <v>55.19</v>
      </c>
      <c r="I300" s="3">
        <v>1</v>
      </c>
      <c r="J300" s="4">
        <v>3.94</v>
      </c>
      <c r="K300" s="7">
        <v>51.25</v>
      </c>
      <c r="L300" s="5" t="s">
        <v>1298</v>
      </c>
      <c r="M300" s="5" t="s">
        <v>24</v>
      </c>
      <c r="N300" s="3">
        <v>20</v>
      </c>
      <c r="O300" s="3">
        <v>4</v>
      </c>
      <c r="P300" s="5" t="b">
        <v>1</v>
      </c>
      <c r="Q300" s="3">
        <v>6</v>
      </c>
      <c r="R300" s="3">
        <v>4</v>
      </c>
      <c r="T300">
        <f t="shared" si="4"/>
        <v>1</v>
      </c>
    </row>
    <row r="301" spans="1:20">
      <c r="A301" s="5" t="s">
        <v>177</v>
      </c>
      <c r="B301" s="5" t="s">
        <v>178</v>
      </c>
      <c r="C301" s="6">
        <v>45175</v>
      </c>
      <c r="D301" s="5">
        <v>42</v>
      </c>
      <c r="E301" s="5" t="s">
        <v>20</v>
      </c>
      <c r="F301" s="5" t="s">
        <v>52</v>
      </c>
      <c r="G301" s="5" t="s">
        <v>56</v>
      </c>
      <c r="H301" s="7">
        <v>585.42999999999995</v>
      </c>
      <c r="I301" s="3">
        <v>1</v>
      </c>
      <c r="J301" s="4">
        <v>83.78</v>
      </c>
      <c r="K301" s="7">
        <v>501.65</v>
      </c>
      <c r="L301" s="5" t="s">
        <v>23</v>
      </c>
      <c r="M301" s="5" t="s">
        <v>24</v>
      </c>
      <c r="N301" s="3">
        <v>6</v>
      </c>
      <c r="O301" s="3">
        <v>7</v>
      </c>
      <c r="P301" s="5" t="b">
        <v>1</v>
      </c>
      <c r="Q301" s="3">
        <v>5</v>
      </c>
      <c r="R301" s="3">
        <v>5</v>
      </c>
      <c r="T301">
        <f t="shared" si="4"/>
        <v>1</v>
      </c>
    </row>
    <row r="302" spans="1:20">
      <c r="A302" s="5" t="s">
        <v>476</v>
      </c>
      <c r="B302" s="5" t="s">
        <v>477</v>
      </c>
      <c r="C302" s="6">
        <v>45036</v>
      </c>
      <c r="D302" s="5">
        <v>25</v>
      </c>
      <c r="E302" s="5" t="s">
        <v>36</v>
      </c>
      <c r="F302" s="5" t="s">
        <v>73</v>
      </c>
      <c r="G302" s="5" t="s">
        <v>22</v>
      </c>
      <c r="H302" s="7">
        <v>235.34</v>
      </c>
      <c r="I302" s="3">
        <v>5</v>
      </c>
      <c r="J302" s="4">
        <v>0</v>
      </c>
      <c r="K302" s="7">
        <v>1176.7</v>
      </c>
      <c r="L302" s="5" t="s">
        <v>327</v>
      </c>
      <c r="M302" s="5" t="s">
        <v>33</v>
      </c>
      <c r="N302" s="3">
        <v>8</v>
      </c>
      <c r="O302" s="3">
        <v>10</v>
      </c>
      <c r="P302" s="5" t="b">
        <v>0</v>
      </c>
      <c r="Q302" s="3">
        <v>5</v>
      </c>
      <c r="R302" s="3">
        <v>4</v>
      </c>
      <c r="T302">
        <f t="shared" si="4"/>
        <v>1</v>
      </c>
    </row>
    <row r="303" spans="1:20">
      <c r="A303" s="5" t="s">
        <v>478</v>
      </c>
      <c r="B303" s="5" t="s">
        <v>479</v>
      </c>
      <c r="C303" s="6">
        <v>45203</v>
      </c>
      <c r="D303" s="5">
        <v>28</v>
      </c>
      <c r="E303" s="5" t="s">
        <v>36</v>
      </c>
      <c r="F303" s="5" t="s">
        <v>49</v>
      </c>
      <c r="G303" s="5" t="s">
        <v>37</v>
      </c>
      <c r="H303" s="7">
        <v>151.13</v>
      </c>
      <c r="I303" s="3">
        <v>1</v>
      </c>
      <c r="J303" s="4">
        <v>0</v>
      </c>
      <c r="K303" s="7">
        <v>151.13</v>
      </c>
      <c r="L303" s="5" t="s">
        <v>327</v>
      </c>
      <c r="M303" s="5" t="s">
        <v>29</v>
      </c>
      <c r="N303" s="3">
        <v>4</v>
      </c>
      <c r="O303" s="3">
        <v>7</v>
      </c>
      <c r="P303" s="5" t="b">
        <v>1</v>
      </c>
      <c r="Q303" s="3">
        <v>3</v>
      </c>
      <c r="R303" s="3">
        <v>4</v>
      </c>
      <c r="T303">
        <f t="shared" si="4"/>
        <v>1</v>
      </c>
    </row>
    <row r="304" spans="1:20">
      <c r="A304" s="5" t="s">
        <v>480</v>
      </c>
      <c r="B304" s="5" t="s">
        <v>481</v>
      </c>
      <c r="C304" s="6">
        <v>44994</v>
      </c>
      <c r="D304" s="5">
        <v>43</v>
      </c>
      <c r="E304" s="5" t="s">
        <v>20</v>
      </c>
      <c r="F304" s="5" t="s">
        <v>21</v>
      </c>
      <c r="G304" s="5" t="s">
        <v>46</v>
      </c>
      <c r="H304" s="7">
        <v>228.88</v>
      </c>
      <c r="I304" s="3">
        <v>1</v>
      </c>
      <c r="J304" s="4">
        <v>0</v>
      </c>
      <c r="K304" s="7">
        <v>228.88</v>
      </c>
      <c r="L304" s="5" t="s">
        <v>327</v>
      </c>
      <c r="M304" s="5" t="s">
        <v>24</v>
      </c>
      <c r="N304" s="3">
        <v>5</v>
      </c>
      <c r="O304" s="3">
        <v>6</v>
      </c>
      <c r="P304" s="5" t="b">
        <v>1</v>
      </c>
      <c r="Q304" s="3">
        <v>6</v>
      </c>
      <c r="R304" s="3">
        <v>4</v>
      </c>
      <c r="T304">
        <f t="shared" si="4"/>
        <v>1</v>
      </c>
    </row>
    <row r="305" spans="1:20">
      <c r="A305" s="5" t="s">
        <v>179</v>
      </c>
      <c r="B305" s="5" t="s">
        <v>180</v>
      </c>
      <c r="C305" s="6">
        <v>45297</v>
      </c>
      <c r="D305" s="5">
        <v>42</v>
      </c>
      <c r="E305" s="5" t="s">
        <v>20</v>
      </c>
      <c r="F305" s="5" t="s">
        <v>21</v>
      </c>
      <c r="G305" s="5" t="s">
        <v>56</v>
      </c>
      <c r="H305" s="7">
        <v>1271.81</v>
      </c>
      <c r="I305" s="3">
        <v>5</v>
      </c>
      <c r="J305" s="4">
        <v>0</v>
      </c>
      <c r="K305" s="7">
        <v>6359.05</v>
      </c>
      <c r="L305" s="5" t="s">
        <v>23</v>
      </c>
      <c r="M305" s="5" t="s">
        <v>24</v>
      </c>
      <c r="N305" s="3">
        <v>11</v>
      </c>
      <c r="O305" s="3">
        <v>8</v>
      </c>
      <c r="P305" s="5" t="b">
        <v>1</v>
      </c>
      <c r="Q305" s="3">
        <v>4</v>
      </c>
      <c r="R305" s="3">
        <v>4</v>
      </c>
      <c r="T305">
        <f t="shared" si="4"/>
        <v>1</v>
      </c>
    </row>
    <row r="306" spans="1:20">
      <c r="A306" s="5" t="s">
        <v>181</v>
      </c>
      <c r="B306" s="5" t="s">
        <v>182</v>
      </c>
      <c r="C306" s="6">
        <v>45219</v>
      </c>
      <c r="D306" s="5">
        <v>34</v>
      </c>
      <c r="E306" s="5" t="s">
        <v>36</v>
      </c>
      <c r="F306" s="5" t="s">
        <v>83</v>
      </c>
      <c r="G306" s="5" t="s">
        <v>46</v>
      </c>
      <c r="H306" s="7">
        <v>342.67</v>
      </c>
      <c r="I306" s="3">
        <v>5</v>
      </c>
      <c r="J306" s="4">
        <v>90.04</v>
      </c>
      <c r="K306" s="7">
        <v>1623.31</v>
      </c>
      <c r="L306" s="5" t="s">
        <v>23</v>
      </c>
      <c r="M306" s="5" t="s">
        <v>24</v>
      </c>
      <c r="N306" s="3">
        <v>9</v>
      </c>
      <c r="O306" s="3">
        <v>9</v>
      </c>
      <c r="P306" s="5" t="b">
        <v>1</v>
      </c>
      <c r="Q306" s="3">
        <v>5</v>
      </c>
      <c r="R306" s="3">
        <v>5</v>
      </c>
      <c r="T306">
        <f t="shared" si="4"/>
        <v>1</v>
      </c>
    </row>
    <row r="307" spans="1:20">
      <c r="A307" s="5" t="s">
        <v>1359</v>
      </c>
      <c r="B307" s="5" t="s">
        <v>1360</v>
      </c>
      <c r="C307" s="6">
        <v>45222</v>
      </c>
      <c r="D307" s="5">
        <v>36</v>
      </c>
      <c r="E307" s="5" t="s">
        <v>36</v>
      </c>
      <c r="F307" s="5" t="s">
        <v>59</v>
      </c>
      <c r="G307" s="5" t="s">
        <v>46</v>
      </c>
      <c r="H307" s="7">
        <v>332.34</v>
      </c>
      <c r="I307" s="3">
        <v>1</v>
      </c>
      <c r="J307" s="4">
        <v>0</v>
      </c>
      <c r="K307" s="7">
        <v>332.34</v>
      </c>
      <c r="L307" s="5" t="s">
        <v>1298</v>
      </c>
      <c r="M307" s="5" t="s">
        <v>29</v>
      </c>
      <c r="N307" s="3">
        <v>13</v>
      </c>
      <c r="O307" s="3">
        <v>5</v>
      </c>
      <c r="P307" s="5" t="b">
        <v>1</v>
      </c>
      <c r="Q307" s="3">
        <v>6</v>
      </c>
      <c r="R307" s="3">
        <v>4</v>
      </c>
      <c r="T307">
        <f t="shared" si="4"/>
        <v>1</v>
      </c>
    </row>
    <row r="308" spans="1:20">
      <c r="A308" s="5" t="s">
        <v>482</v>
      </c>
      <c r="B308" s="5" t="s">
        <v>483</v>
      </c>
      <c r="C308" s="6">
        <v>45169</v>
      </c>
      <c r="D308" s="5">
        <v>50</v>
      </c>
      <c r="E308" s="5" t="s">
        <v>36</v>
      </c>
      <c r="F308" s="5" t="s">
        <v>21</v>
      </c>
      <c r="G308" s="5" t="s">
        <v>56</v>
      </c>
      <c r="H308" s="7">
        <v>1406.24</v>
      </c>
      <c r="I308" s="3">
        <v>1</v>
      </c>
      <c r="J308" s="4">
        <v>0</v>
      </c>
      <c r="K308" s="7">
        <v>1406.24</v>
      </c>
      <c r="L308" s="5" t="s">
        <v>327</v>
      </c>
      <c r="M308" s="5" t="s">
        <v>24</v>
      </c>
      <c r="N308" s="3">
        <v>15</v>
      </c>
      <c r="O308" s="3">
        <v>8</v>
      </c>
      <c r="P308" s="5" t="b">
        <v>1</v>
      </c>
      <c r="Q308" s="3">
        <v>4</v>
      </c>
      <c r="R308" s="3">
        <v>3</v>
      </c>
      <c r="T308">
        <f t="shared" si="4"/>
        <v>1</v>
      </c>
    </row>
    <row r="309" spans="1:20">
      <c r="A309" s="5" t="s">
        <v>484</v>
      </c>
      <c r="B309" s="5" t="s">
        <v>485</v>
      </c>
      <c r="C309" s="6">
        <v>45051</v>
      </c>
      <c r="D309" s="5">
        <v>27</v>
      </c>
      <c r="E309" s="5" t="s">
        <v>36</v>
      </c>
      <c r="F309" s="5" t="s">
        <v>27</v>
      </c>
      <c r="G309" s="5" t="s">
        <v>28</v>
      </c>
      <c r="H309" s="7">
        <v>76.77</v>
      </c>
      <c r="I309" s="3">
        <v>1</v>
      </c>
      <c r="J309" s="4">
        <v>0</v>
      </c>
      <c r="K309" s="7">
        <v>76.77</v>
      </c>
      <c r="L309" s="5" t="s">
        <v>327</v>
      </c>
      <c r="M309" s="5" t="s">
        <v>24</v>
      </c>
      <c r="N309" s="3">
        <v>7</v>
      </c>
      <c r="O309" s="3">
        <v>7</v>
      </c>
      <c r="P309" s="5" t="b">
        <v>1</v>
      </c>
      <c r="Q309" s="3">
        <v>2</v>
      </c>
      <c r="R309" s="3">
        <v>5</v>
      </c>
      <c r="T309">
        <f t="shared" si="4"/>
        <v>1</v>
      </c>
    </row>
    <row r="310" spans="1:20">
      <c r="A310" s="5" t="s">
        <v>1361</v>
      </c>
      <c r="B310" s="5" t="s">
        <v>1362</v>
      </c>
      <c r="C310" s="6">
        <v>45328</v>
      </c>
      <c r="D310" s="5">
        <v>41</v>
      </c>
      <c r="E310" s="5" t="s">
        <v>20</v>
      </c>
      <c r="F310" s="5" t="s">
        <v>52</v>
      </c>
      <c r="G310" s="5" t="s">
        <v>53</v>
      </c>
      <c r="H310" s="7">
        <v>63</v>
      </c>
      <c r="I310" s="3">
        <v>1</v>
      </c>
      <c r="J310" s="4">
        <v>0</v>
      </c>
      <c r="K310" s="7">
        <v>63</v>
      </c>
      <c r="L310" s="5" t="s">
        <v>1298</v>
      </c>
      <c r="M310" s="5" t="s">
        <v>33</v>
      </c>
      <c r="N310" s="3">
        <v>16</v>
      </c>
      <c r="O310" s="3">
        <v>11</v>
      </c>
      <c r="P310" s="5" t="b">
        <v>1</v>
      </c>
      <c r="Q310" s="3">
        <v>12</v>
      </c>
      <c r="R310" s="3">
        <v>5</v>
      </c>
      <c r="T310">
        <f t="shared" si="4"/>
        <v>1</v>
      </c>
    </row>
    <row r="311" spans="1:20">
      <c r="A311" s="5" t="s">
        <v>911</v>
      </c>
      <c r="B311" s="5" t="s">
        <v>912</v>
      </c>
      <c r="C311" s="6">
        <v>45169</v>
      </c>
      <c r="D311" s="5">
        <v>32</v>
      </c>
      <c r="E311" s="5" t="s">
        <v>20</v>
      </c>
      <c r="F311" s="5" t="s">
        <v>32</v>
      </c>
      <c r="G311" s="5" t="s">
        <v>115</v>
      </c>
      <c r="H311" s="7">
        <v>58.5</v>
      </c>
      <c r="I311" s="3">
        <v>4</v>
      </c>
      <c r="J311" s="4">
        <v>0</v>
      </c>
      <c r="K311" s="7">
        <v>234</v>
      </c>
      <c r="L311" s="5" t="s">
        <v>692</v>
      </c>
      <c r="M311" s="5" t="s">
        <v>33</v>
      </c>
      <c r="N311" s="3">
        <v>14</v>
      </c>
      <c r="O311" s="3">
        <v>9</v>
      </c>
      <c r="P311" s="5" t="b">
        <v>1</v>
      </c>
      <c r="Q311" s="3">
        <v>3</v>
      </c>
      <c r="R311" s="3">
        <v>5</v>
      </c>
      <c r="T311">
        <f t="shared" si="4"/>
        <v>1</v>
      </c>
    </row>
    <row r="312" spans="1:20">
      <c r="A312" s="5" t="s">
        <v>486</v>
      </c>
      <c r="B312" s="5" t="s">
        <v>487</v>
      </c>
      <c r="C312" s="6">
        <v>45340</v>
      </c>
      <c r="D312" s="5">
        <v>32</v>
      </c>
      <c r="E312" s="5" t="s">
        <v>36</v>
      </c>
      <c r="F312" s="5" t="s">
        <v>52</v>
      </c>
      <c r="G312" s="5" t="s">
        <v>28</v>
      </c>
      <c r="H312" s="7">
        <v>88.12</v>
      </c>
      <c r="I312" s="3">
        <v>4</v>
      </c>
      <c r="J312" s="4">
        <v>0</v>
      </c>
      <c r="K312" s="7">
        <v>352.48</v>
      </c>
      <c r="L312" s="5" t="s">
        <v>327</v>
      </c>
      <c r="M312" s="5" t="s">
        <v>33</v>
      </c>
      <c r="N312" s="3">
        <v>8</v>
      </c>
      <c r="O312" s="3">
        <v>5</v>
      </c>
      <c r="P312" s="5" t="b">
        <v>0</v>
      </c>
      <c r="Q312" s="3">
        <v>6</v>
      </c>
      <c r="R312" s="3">
        <v>3</v>
      </c>
      <c r="T312">
        <f t="shared" si="4"/>
        <v>1</v>
      </c>
    </row>
    <row r="313" spans="1:20">
      <c r="A313" s="5" t="s">
        <v>488</v>
      </c>
      <c r="B313" s="5" t="s">
        <v>489</v>
      </c>
      <c r="C313" s="6">
        <v>45135</v>
      </c>
      <c r="D313" s="5">
        <v>48</v>
      </c>
      <c r="E313" s="5" t="s">
        <v>36</v>
      </c>
      <c r="F313" s="5" t="s">
        <v>21</v>
      </c>
      <c r="G313" s="5" t="s">
        <v>22</v>
      </c>
      <c r="H313" s="7">
        <v>350.76</v>
      </c>
      <c r="I313" s="3">
        <v>4</v>
      </c>
      <c r="J313" s="4">
        <v>51.81</v>
      </c>
      <c r="K313" s="7">
        <v>1351.23</v>
      </c>
      <c r="L313" s="5" t="s">
        <v>327</v>
      </c>
      <c r="M313" s="5" t="s">
        <v>33</v>
      </c>
      <c r="N313" s="3">
        <v>22</v>
      </c>
      <c r="O313" s="3">
        <v>10</v>
      </c>
      <c r="P313" s="5" t="b">
        <v>0</v>
      </c>
      <c r="Q313" s="3">
        <v>7</v>
      </c>
      <c r="R313" s="3">
        <v>3</v>
      </c>
      <c r="T313">
        <f t="shared" si="4"/>
        <v>1</v>
      </c>
    </row>
    <row r="314" spans="1:20">
      <c r="A314" s="5" t="s">
        <v>1363</v>
      </c>
      <c r="B314" s="5" t="s">
        <v>1364</v>
      </c>
      <c r="C314" s="6">
        <v>45024</v>
      </c>
      <c r="D314" s="5">
        <v>44</v>
      </c>
      <c r="E314" s="5" t="s">
        <v>36</v>
      </c>
      <c r="F314" s="5" t="s">
        <v>32</v>
      </c>
      <c r="G314" s="5" t="s">
        <v>64</v>
      </c>
      <c r="H314" s="7">
        <v>504.27</v>
      </c>
      <c r="I314" s="3">
        <v>1</v>
      </c>
      <c r="J314" s="4">
        <v>80.12</v>
      </c>
      <c r="K314" s="7">
        <v>424.15</v>
      </c>
      <c r="L314" s="5" t="s">
        <v>1298</v>
      </c>
      <c r="M314" s="5" t="s">
        <v>33</v>
      </c>
      <c r="N314" s="3">
        <v>12</v>
      </c>
      <c r="O314" s="3">
        <v>10</v>
      </c>
      <c r="P314" s="5" t="b">
        <v>1</v>
      </c>
      <c r="Q314" s="3">
        <v>9</v>
      </c>
      <c r="R314" s="3">
        <v>2</v>
      </c>
      <c r="T314">
        <f t="shared" si="4"/>
        <v>1</v>
      </c>
    </row>
    <row r="315" spans="1:20">
      <c r="A315" s="5" t="s">
        <v>913</v>
      </c>
      <c r="B315" s="5" t="s">
        <v>914</v>
      </c>
      <c r="C315" s="6">
        <v>44975</v>
      </c>
      <c r="D315" s="5">
        <v>44</v>
      </c>
      <c r="E315" s="5" t="s">
        <v>36</v>
      </c>
      <c r="F315" s="5" t="s">
        <v>59</v>
      </c>
      <c r="G315" s="5" t="s">
        <v>115</v>
      </c>
      <c r="H315" s="7">
        <v>35.85</v>
      </c>
      <c r="I315" s="3">
        <v>4</v>
      </c>
      <c r="J315" s="4">
        <v>0</v>
      </c>
      <c r="K315" s="7">
        <v>143.4</v>
      </c>
      <c r="L315" s="5" t="s">
        <v>692</v>
      </c>
      <c r="M315" s="5" t="s">
        <v>33</v>
      </c>
      <c r="N315" s="3">
        <v>5</v>
      </c>
      <c r="O315" s="3">
        <v>7</v>
      </c>
      <c r="P315" s="5" t="b">
        <v>0</v>
      </c>
      <c r="Q315" s="3">
        <v>2</v>
      </c>
      <c r="R315" s="3">
        <v>2</v>
      </c>
      <c r="T315">
        <f t="shared" si="4"/>
        <v>1</v>
      </c>
    </row>
    <row r="316" spans="1:20">
      <c r="A316" s="5" t="s">
        <v>915</v>
      </c>
      <c r="B316" s="5" t="s">
        <v>916</v>
      </c>
      <c r="C316" s="6">
        <v>44976</v>
      </c>
      <c r="D316" s="5">
        <v>50</v>
      </c>
      <c r="E316" s="5" t="s">
        <v>20</v>
      </c>
      <c r="F316" s="5" t="s">
        <v>52</v>
      </c>
      <c r="G316" s="5" t="s">
        <v>28</v>
      </c>
      <c r="H316" s="7">
        <v>157.02000000000001</v>
      </c>
      <c r="I316" s="3">
        <v>3</v>
      </c>
      <c r="J316" s="4">
        <v>0</v>
      </c>
      <c r="K316" s="7">
        <v>471.06</v>
      </c>
      <c r="L316" s="5" t="s">
        <v>692</v>
      </c>
      <c r="M316" s="5" t="s">
        <v>33</v>
      </c>
      <c r="N316" s="3">
        <v>5</v>
      </c>
      <c r="O316" s="3">
        <v>8</v>
      </c>
      <c r="P316" s="5" t="b">
        <v>1</v>
      </c>
      <c r="Q316" s="3">
        <v>5</v>
      </c>
      <c r="R316" s="3">
        <v>5</v>
      </c>
      <c r="T316">
        <f t="shared" si="4"/>
        <v>1</v>
      </c>
    </row>
    <row r="317" spans="1:20">
      <c r="A317" s="5" t="s">
        <v>917</v>
      </c>
      <c r="B317" s="5" t="s">
        <v>918</v>
      </c>
      <c r="C317" s="6">
        <v>45264</v>
      </c>
      <c r="D317" s="5">
        <v>35</v>
      </c>
      <c r="E317" s="5" t="s">
        <v>36</v>
      </c>
      <c r="F317" s="5" t="s">
        <v>73</v>
      </c>
      <c r="G317" s="5" t="s">
        <v>64</v>
      </c>
      <c r="H317" s="7">
        <v>4047.49</v>
      </c>
      <c r="I317" s="3">
        <v>4</v>
      </c>
      <c r="J317" s="4">
        <v>735.59</v>
      </c>
      <c r="K317" s="7">
        <v>15454.37</v>
      </c>
      <c r="L317" s="5" t="s">
        <v>692</v>
      </c>
      <c r="M317" s="5" t="s">
        <v>29</v>
      </c>
      <c r="N317" s="3">
        <v>20</v>
      </c>
      <c r="O317" s="3">
        <v>7</v>
      </c>
      <c r="P317" s="5" t="b">
        <v>1</v>
      </c>
      <c r="Q317" s="3">
        <v>11</v>
      </c>
      <c r="R317" s="3">
        <v>2</v>
      </c>
      <c r="T317">
        <f t="shared" si="4"/>
        <v>1</v>
      </c>
    </row>
    <row r="318" spans="1:20">
      <c r="A318" s="5" t="s">
        <v>919</v>
      </c>
      <c r="B318" s="5" t="s">
        <v>920</v>
      </c>
      <c r="C318" s="6">
        <v>45147</v>
      </c>
      <c r="D318" s="5">
        <v>43</v>
      </c>
      <c r="E318" s="5" t="s">
        <v>20</v>
      </c>
      <c r="F318" s="5" t="s">
        <v>32</v>
      </c>
      <c r="G318" s="5" t="s">
        <v>64</v>
      </c>
      <c r="H318" s="7">
        <v>3802.5</v>
      </c>
      <c r="I318" s="3">
        <v>1</v>
      </c>
      <c r="J318" s="4">
        <v>0</v>
      </c>
      <c r="K318" s="7">
        <v>3802.5</v>
      </c>
      <c r="L318" s="5" t="s">
        <v>692</v>
      </c>
      <c r="M318" s="5" t="s">
        <v>24</v>
      </c>
      <c r="N318" s="3">
        <v>14</v>
      </c>
      <c r="O318" s="3">
        <v>7</v>
      </c>
      <c r="P318" s="5" t="b">
        <v>1</v>
      </c>
      <c r="Q318" s="3">
        <v>14</v>
      </c>
      <c r="R318" s="3">
        <v>4</v>
      </c>
      <c r="T318">
        <f t="shared" si="4"/>
        <v>1</v>
      </c>
    </row>
    <row r="319" spans="1:20">
      <c r="A319" s="5" t="s">
        <v>921</v>
      </c>
      <c r="B319" s="5" t="s">
        <v>922</v>
      </c>
      <c r="C319" s="6">
        <v>45108</v>
      </c>
      <c r="D319" s="5">
        <v>31</v>
      </c>
      <c r="E319" s="5" t="s">
        <v>20</v>
      </c>
      <c r="F319" s="5" t="s">
        <v>32</v>
      </c>
      <c r="G319" s="5" t="s">
        <v>22</v>
      </c>
      <c r="H319" s="7">
        <v>318.60000000000002</v>
      </c>
      <c r="I319" s="3">
        <v>1</v>
      </c>
      <c r="J319" s="4">
        <v>0</v>
      </c>
      <c r="K319" s="7">
        <v>318.60000000000002</v>
      </c>
      <c r="L319" s="5" t="s">
        <v>692</v>
      </c>
      <c r="M319" s="5" t="s">
        <v>33</v>
      </c>
      <c r="N319" s="3">
        <v>12</v>
      </c>
      <c r="O319" s="3">
        <v>8</v>
      </c>
      <c r="P319" s="5" t="b">
        <v>0</v>
      </c>
      <c r="Q319" s="3">
        <v>5</v>
      </c>
      <c r="R319" s="3">
        <v>5</v>
      </c>
      <c r="T319">
        <f t="shared" si="4"/>
        <v>1</v>
      </c>
    </row>
    <row r="320" spans="1:20">
      <c r="A320" s="5" t="s">
        <v>490</v>
      </c>
      <c r="B320" s="5" t="s">
        <v>491</v>
      </c>
      <c r="C320" s="6">
        <v>45143</v>
      </c>
      <c r="D320" s="5">
        <v>38</v>
      </c>
      <c r="E320" s="5" t="s">
        <v>20</v>
      </c>
      <c r="F320" s="5" t="s">
        <v>88</v>
      </c>
      <c r="G320" s="5" t="s">
        <v>53</v>
      </c>
      <c r="H320" s="7">
        <v>40.72</v>
      </c>
      <c r="I320" s="3">
        <v>2</v>
      </c>
      <c r="J320" s="4">
        <v>0</v>
      </c>
      <c r="K320" s="7">
        <v>81.44</v>
      </c>
      <c r="L320" s="5" t="s">
        <v>327</v>
      </c>
      <c r="M320" s="5" t="s">
        <v>33</v>
      </c>
      <c r="N320" s="3">
        <v>12</v>
      </c>
      <c r="O320" s="3">
        <v>7</v>
      </c>
      <c r="P320" s="5" t="b">
        <v>1</v>
      </c>
      <c r="Q320" s="3">
        <v>7</v>
      </c>
      <c r="R320" s="3">
        <v>5</v>
      </c>
      <c r="T320">
        <f t="shared" si="4"/>
        <v>1</v>
      </c>
    </row>
    <row r="321" spans="1:20">
      <c r="A321" s="5" t="s">
        <v>1365</v>
      </c>
      <c r="B321" s="5" t="s">
        <v>1366</v>
      </c>
      <c r="C321" s="6">
        <v>45137</v>
      </c>
      <c r="D321" s="5">
        <v>33</v>
      </c>
      <c r="E321" s="5" t="s">
        <v>20</v>
      </c>
      <c r="F321" s="5" t="s">
        <v>73</v>
      </c>
      <c r="G321" s="5" t="s">
        <v>46</v>
      </c>
      <c r="H321" s="7">
        <v>72.16</v>
      </c>
      <c r="I321" s="3">
        <v>1</v>
      </c>
      <c r="J321" s="4">
        <v>0</v>
      </c>
      <c r="K321" s="7">
        <v>72.16</v>
      </c>
      <c r="L321" s="5" t="s">
        <v>1298</v>
      </c>
      <c r="M321" s="5" t="s">
        <v>24</v>
      </c>
      <c r="N321" s="3">
        <v>7</v>
      </c>
      <c r="O321" s="3">
        <v>14</v>
      </c>
      <c r="P321" s="5" t="b">
        <v>1</v>
      </c>
      <c r="Q321" s="3">
        <v>4</v>
      </c>
      <c r="R321" s="3">
        <v>3</v>
      </c>
      <c r="T321">
        <f t="shared" si="4"/>
        <v>1</v>
      </c>
    </row>
    <row r="322" spans="1:20">
      <c r="A322" s="5" t="s">
        <v>492</v>
      </c>
      <c r="B322" s="5" t="s">
        <v>493</v>
      </c>
      <c r="C322" s="6">
        <v>45166</v>
      </c>
      <c r="D322" s="5">
        <v>36</v>
      </c>
      <c r="E322" s="5" t="s">
        <v>20</v>
      </c>
      <c r="F322" s="5" t="s">
        <v>76</v>
      </c>
      <c r="G322" s="5" t="s">
        <v>56</v>
      </c>
      <c r="H322" s="7">
        <v>1077.56</v>
      </c>
      <c r="I322" s="3">
        <v>1</v>
      </c>
      <c r="J322" s="4">
        <v>0</v>
      </c>
      <c r="K322" s="7">
        <v>1077.56</v>
      </c>
      <c r="L322" s="5" t="s">
        <v>327</v>
      </c>
      <c r="M322" s="5" t="s">
        <v>24</v>
      </c>
      <c r="N322" s="3">
        <v>12</v>
      </c>
      <c r="O322" s="3">
        <v>16</v>
      </c>
      <c r="P322" s="5" t="b">
        <v>0</v>
      </c>
      <c r="Q322" s="3">
        <v>6</v>
      </c>
      <c r="R322" s="3">
        <v>4</v>
      </c>
      <c r="T322">
        <f t="shared" si="4"/>
        <v>1</v>
      </c>
    </row>
    <row r="323" spans="1:20">
      <c r="A323" s="5" t="s">
        <v>923</v>
      </c>
      <c r="B323" s="5" t="s">
        <v>924</v>
      </c>
      <c r="C323" s="6">
        <v>45369</v>
      </c>
      <c r="D323" s="5">
        <v>42</v>
      </c>
      <c r="E323" s="5" t="s">
        <v>20</v>
      </c>
      <c r="F323" s="5" t="s">
        <v>83</v>
      </c>
      <c r="G323" s="5" t="s">
        <v>53</v>
      </c>
      <c r="H323" s="7">
        <v>92.08</v>
      </c>
      <c r="I323" s="3">
        <v>5</v>
      </c>
      <c r="J323" s="4">
        <v>0</v>
      </c>
      <c r="K323" s="7">
        <v>460.4</v>
      </c>
      <c r="L323" s="5" t="s">
        <v>692</v>
      </c>
      <c r="M323" s="5" t="s">
        <v>24</v>
      </c>
      <c r="N323" s="3">
        <v>7</v>
      </c>
      <c r="O323" s="3">
        <v>10</v>
      </c>
      <c r="P323" s="5" t="b">
        <v>0</v>
      </c>
      <c r="Q323" s="3">
        <v>9</v>
      </c>
      <c r="R323" s="3">
        <v>3</v>
      </c>
      <c r="T323">
        <f t="shared" ref="T323:T386" si="5">COUNTIF(A323:A1021,A323)</f>
        <v>1</v>
      </c>
    </row>
    <row r="324" spans="1:20">
      <c r="A324" s="5" t="s">
        <v>1367</v>
      </c>
      <c r="B324" s="5" t="s">
        <v>1368</v>
      </c>
      <c r="C324" s="6">
        <v>45300</v>
      </c>
      <c r="D324" s="5">
        <v>25</v>
      </c>
      <c r="E324" s="5" t="s">
        <v>20</v>
      </c>
      <c r="F324" s="5" t="s">
        <v>52</v>
      </c>
      <c r="G324" s="5" t="s">
        <v>64</v>
      </c>
      <c r="H324" s="7">
        <v>1925.4</v>
      </c>
      <c r="I324" s="3">
        <v>3</v>
      </c>
      <c r="J324" s="4">
        <v>247.59</v>
      </c>
      <c r="K324" s="7">
        <v>5528.61</v>
      </c>
      <c r="L324" s="5" t="s">
        <v>1298</v>
      </c>
      <c r="M324" s="5" t="s">
        <v>24</v>
      </c>
      <c r="N324" s="3">
        <v>13</v>
      </c>
      <c r="O324" s="3">
        <v>16</v>
      </c>
      <c r="P324" s="5" t="b">
        <v>1</v>
      </c>
      <c r="Q324" s="3">
        <v>4</v>
      </c>
      <c r="R324" s="3">
        <v>3</v>
      </c>
      <c r="T324">
        <f t="shared" si="5"/>
        <v>1</v>
      </c>
    </row>
    <row r="325" spans="1:20">
      <c r="A325" s="5" t="s">
        <v>494</v>
      </c>
      <c r="B325" s="5" t="s">
        <v>495</v>
      </c>
      <c r="C325" s="6">
        <v>44954</v>
      </c>
      <c r="D325" s="5">
        <v>60</v>
      </c>
      <c r="E325" s="5" t="s">
        <v>20</v>
      </c>
      <c r="F325" s="5" t="s">
        <v>52</v>
      </c>
      <c r="G325" s="5" t="s">
        <v>115</v>
      </c>
      <c r="H325" s="7">
        <v>49.39</v>
      </c>
      <c r="I325" s="3">
        <v>1</v>
      </c>
      <c r="J325" s="4">
        <v>0</v>
      </c>
      <c r="K325" s="7">
        <v>49.39</v>
      </c>
      <c r="L325" s="5" t="s">
        <v>327</v>
      </c>
      <c r="M325" s="5" t="s">
        <v>29</v>
      </c>
      <c r="N325" s="3">
        <v>14</v>
      </c>
      <c r="O325" s="3">
        <v>12</v>
      </c>
      <c r="P325" s="5" t="b">
        <v>1</v>
      </c>
      <c r="Q325" s="3">
        <v>6</v>
      </c>
      <c r="R325" s="3">
        <v>4</v>
      </c>
      <c r="T325">
        <f t="shared" si="5"/>
        <v>1</v>
      </c>
    </row>
    <row r="326" spans="1:20">
      <c r="A326" s="5" t="s">
        <v>925</v>
      </c>
      <c r="B326" s="5" t="s">
        <v>926</v>
      </c>
      <c r="C326" s="6">
        <v>45271</v>
      </c>
      <c r="D326" s="5">
        <v>22</v>
      </c>
      <c r="E326" s="5" t="s">
        <v>36</v>
      </c>
      <c r="F326" s="5" t="s">
        <v>88</v>
      </c>
      <c r="G326" s="5" t="s">
        <v>37</v>
      </c>
      <c r="H326" s="7">
        <v>157.19999999999999</v>
      </c>
      <c r="I326" s="3">
        <v>2</v>
      </c>
      <c r="J326" s="4">
        <v>0</v>
      </c>
      <c r="K326" s="7">
        <v>314.39999999999998</v>
      </c>
      <c r="L326" s="5" t="s">
        <v>692</v>
      </c>
      <c r="M326" s="5" t="s">
        <v>33</v>
      </c>
      <c r="N326" s="3">
        <v>6</v>
      </c>
      <c r="O326" s="3">
        <v>8</v>
      </c>
      <c r="P326" s="5" t="b">
        <v>1</v>
      </c>
      <c r="Q326" s="3">
        <v>8</v>
      </c>
      <c r="R326" s="3">
        <v>4</v>
      </c>
      <c r="T326">
        <f t="shared" si="5"/>
        <v>1</v>
      </c>
    </row>
    <row r="327" spans="1:20">
      <c r="A327" s="5" t="s">
        <v>927</v>
      </c>
      <c r="B327" s="5" t="s">
        <v>928</v>
      </c>
      <c r="C327" s="6">
        <v>45261</v>
      </c>
      <c r="D327" s="5">
        <v>20</v>
      </c>
      <c r="E327" s="5" t="s">
        <v>20</v>
      </c>
      <c r="F327" s="5" t="s">
        <v>83</v>
      </c>
      <c r="G327" s="5" t="s">
        <v>22</v>
      </c>
      <c r="H327" s="7">
        <v>229.26</v>
      </c>
      <c r="I327" s="3">
        <v>2</v>
      </c>
      <c r="J327" s="4">
        <v>0</v>
      </c>
      <c r="K327" s="7">
        <v>458.52</v>
      </c>
      <c r="L327" s="5" t="s">
        <v>692</v>
      </c>
      <c r="M327" s="5" t="s">
        <v>24</v>
      </c>
      <c r="N327" s="3">
        <v>8</v>
      </c>
      <c r="O327" s="3">
        <v>6</v>
      </c>
      <c r="P327" s="5" t="b">
        <v>1</v>
      </c>
      <c r="Q327" s="3">
        <v>7</v>
      </c>
      <c r="R327" s="3">
        <v>1</v>
      </c>
      <c r="T327">
        <f t="shared" si="5"/>
        <v>1</v>
      </c>
    </row>
    <row r="328" spans="1:20">
      <c r="A328" s="5" t="s">
        <v>183</v>
      </c>
      <c r="B328" s="5" t="s">
        <v>184</v>
      </c>
      <c r="C328" s="6">
        <v>45257</v>
      </c>
      <c r="D328" s="5">
        <v>48</v>
      </c>
      <c r="E328" s="5" t="s">
        <v>20</v>
      </c>
      <c r="F328" s="5" t="s">
        <v>49</v>
      </c>
      <c r="G328" s="5" t="s">
        <v>28</v>
      </c>
      <c r="H328" s="7">
        <v>129.38999999999999</v>
      </c>
      <c r="I328" s="3">
        <v>1</v>
      </c>
      <c r="J328" s="4">
        <v>0</v>
      </c>
      <c r="K328" s="7">
        <v>129.38999999999999</v>
      </c>
      <c r="L328" s="5" t="s">
        <v>23</v>
      </c>
      <c r="M328" s="5" t="s">
        <v>33</v>
      </c>
      <c r="N328" s="3">
        <v>17</v>
      </c>
      <c r="O328" s="3">
        <v>11</v>
      </c>
      <c r="P328" s="5" t="b">
        <v>1</v>
      </c>
      <c r="Q328" s="3">
        <v>2</v>
      </c>
      <c r="R328" s="3">
        <v>4</v>
      </c>
      <c r="T328">
        <f t="shared" si="5"/>
        <v>1</v>
      </c>
    </row>
    <row r="329" spans="1:20">
      <c r="A329" s="5" t="s">
        <v>185</v>
      </c>
      <c r="B329" s="5" t="s">
        <v>186</v>
      </c>
      <c r="C329" s="6">
        <v>44977</v>
      </c>
      <c r="D329" s="5">
        <v>44</v>
      </c>
      <c r="E329" s="5" t="s">
        <v>36</v>
      </c>
      <c r="F329" s="5" t="s">
        <v>59</v>
      </c>
      <c r="G329" s="5" t="s">
        <v>115</v>
      </c>
      <c r="H329" s="7">
        <v>16.71</v>
      </c>
      <c r="I329" s="3">
        <v>2</v>
      </c>
      <c r="J329" s="4">
        <v>0</v>
      </c>
      <c r="K329" s="7">
        <v>33.42</v>
      </c>
      <c r="L329" s="5" t="s">
        <v>23</v>
      </c>
      <c r="M329" s="5" t="s">
        <v>24</v>
      </c>
      <c r="N329" s="3">
        <v>21</v>
      </c>
      <c r="O329" s="3">
        <v>9</v>
      </c>
      <c r="P329" s="5" t="b">
        <v>0</v>
      </c>
      <c r="Q329" s="3">
        <v>7</v>
      </c>
      <c r="R329" s="3">
        <v>3</v>
      </c>
      <c r="T329">
        <f t="shared" si="5"/>
        <v>1</v>
      </c>
    </row>
    <row r="330" spans="1:20">
      <c r="A330" s="5" t="s">
        <v>496</v>
      </c>
      <c r="B330" s="5" t="s">
        <v>497</v>
      </c>
      <c r="C330" s="6">
        <v>44958</v>
      </c>
      <c r="D330" s="5">
        <v>42</v>
      </c>
      <c r="E330" s="5" t="s">
        <v>36</v>
      </c>
      <c r="F330" s="5" t="s">
        <v>59</v>
      </c>
      <c r="G330" s="5" t="s">
        <v>22</v>
      </c>
      <c r="H330" s="7">
        <v>394.76</v>
      </c>
      <c r="I330" s="3">
        <v>1</v>
      </c>
      <c r="J330" s="4">
        <v>0</v>
      </c>
      <c r="K330" s="7">
        <v>394.76</v>
      </c>
      <c r="L330" s="5" t="s">
        <v>327</v>
      </c>
      <c r="M330" s="5" t="s">
        <v>33</v>
      </c>
      <c r="N330" s="3">
        <v>21</v>
      </c>
      <c r="O330" s="3">
        <v>13</v>
      </c>
      <c r="P330" s="5" t="b">
        <v>1</v>
      </c>
      <c r="Q330" s="3">
        <v>3</v>
      </c>
      <c r="R330" s="3">
        <v>5</v>
      </c>
      <c r="T330">
        <f t="shared" si="5"/>
        <v>1</v>
      </c>
    </row>
    <row r="331" spans="1:20">
      <c r="A331" s="5" t="s">
        <v>929</v>
      </c>
      <c r="B331" s="5" t="s">
        <v>930</v>
      </c>
      <c r="C331" s="6">
        <v>45133</v>
      </c>
      <c r="D331" s="5">
        <v>42</v>
      </c>
      <c r="E331" s="5" t="s">
        <v>36</v>
      </c>
      <c r="F331" s="5" t="s">
        <v>52</v>
      </c>
      <c r="G331" s="5" t="s">
        <v>28</v>
      </c>
      <c r="H331" s="7">
        <v>161.21</v>
      </c>
      <c r="I331" s="3">
        <v>4</v>
      </c>
      <c r="J331" s="4">
        <v>0</v>
      </c>
      <c r="K331" s="7">
        <v>644.84</v>
      </c>
      <c r="L331" s="5" t="s">
        <v>692</v>
      </c>
      <c r="M331" s="5" t="s">
        <v>33</v>
      </c>
      <c r="N331" s="3">
        <v>12</v>
      </c>
      <c r="O331" s="3">
        <v>5</v>
      </c>
      <c r="P331" s="5" t="b">
        <v>1</v>
      </c>
      <c r="Q331" s="3">
        <v>2</v>
      </c>
      <c r="R331" s="3">
        <v>4</v>
      </c>
      <c r="T331">
        <f t="shared" si="5"/>
        <v>1</v>
      </c>
    </row>
    <row r="332" spans="1:20">
      <c r="A332" s="5" t="s">
        <v>187</v>
      </c>
      <c r="B332" s="5" t="s">
        <v>188</v>
      </c>
      <c r="C332" s="6">
        <v>45299</v>
      </c>
      <c r="D332" s="5">
        <v>34</v>
      </c>
      <c r="E332" s="5" t="s">
        <v>20</v>
      </c>
      <c r="F332" s="5" t="s">
        <v>73</v>
      </c>
      <c r="G332" s="5" t="s">
        <v>56</v>
      </c>
      <c r="H332" s="7">
        <v>1518.15</v>
      </c>
      <c r="I332" s="3">
        <v>3</v>
      </c>
      <c r="J332" s="4">
        <v>0</v>
      </c>
      <c r="K332" s="7">
        <v>4554.45</v>
      </c>
      <c r="L332" s="5" t="s">
        <v>23</v>
      </c>
      <c r="M332" s="5" t="s">
        <v>24</v>
      </c>
      <c r="N332" s="3">
        <v>24</v>
      </c>
      <c r="O332" s="3">
        <v>10</v>
      </c>
      <c r="P332" s="5" t="b">
        <v>0</v>
      </c>
      <c r="Q332" s="3">
        <v>3</v>
      </c>
      <c r="R332" s="3">
        <v>5</v>
      </c>
      <c r="T332">
        <f t="shared" si="5"/>
        <v>1</v>
      </c>
    </row>
    <row r="333" spans="1:20">
      <c r="A333" s="5" t="s">
        <v>931</v>
      </c>
      <c r="B333" s="5" t="s">
        <v>932</v>
      </c>
      <c r="C333" s="6">
        <v>45100</v>
      </c>
      <c r="D333" s="5">
        <v>24</v>
      </c>
      <c r="E333" s="5" t="s">
        <v>36</v>
      </c>
      <c r="F333" s="5" t="s">
        <v>59</v>
      </c>
      <c r="G333" s="5" t="s">
        <v>37</v>
      </c>
      <c r="H333" s="7">
        <v>63.25</v>
      </c>
      <c r="I333" s="3">
        <v>2</v>
      </c>
      <c r="J333" s="4">
        <v>0</v>
      </c>
      <c r="K333" s="7">
        <v>126.5</v>
      </c>
      <c r="L333" s="5" t="s">
        <v>692</v>
      </c>
      <c r="M333" s="5" t="s">
        <v>24</v>
      </c>
      <c r="N333" s="3">
        <v>8</v>
      </c>
      <c r="O333" s="3">
        <v>12</v>
      </c>
      <c r="P333" s="5" t="b">
        <v>0</v>
      </c>
      <c r="Q333" s="3">
        <v>4</v>
      </c>
      <c r="R333" s="3">
        <v>3</v>
      </c>
      <c r="T333">
        <f t="shared" si="5"/>
        <v>1</v>
      </c>
    </row>
    <row r="334" spans="1:20">
      <c r="A334" s="5" t="s">
        <v>189</v>
      </c>
      <c r="B334" s="5" t="s">
        <v>190</v>
      </c>
      <c r="C334" s="6">
        <v>45336</v>
      </c>
      <c r="D334" s="5">
        <v>35</v>
      </c>
      <c r="E334" s="5" t="s">
        <v>20</v>
      </c>
      <c r="F334" s="5" t="s">
        <v>49</v>
      </c>
      <c r="G334" s="5" t="s">
        <v>46</v>
      </c>
      <c r="H334" s="7">
        <v>214.15</v>
      </c>
      <c r="I334" s="3">
        <v>2</v>
      </c>
      <c r="J334" s="4">
        <v>0</v>
      </c>
      <c r="K334" s="7">
        <v>428.3</v>
      </c>
      <c r="L334" s="5" t="s">
        <v>23</v>
      </c>
      <c r="M334" s="5" t="s">
        <v>24</v>
      </c>
      <c r="N334" s="3">
        <v>4</v>
      </c>
      <c r="O334" s="3">
        <v>4</v>
      </c>
      <c r="P334" s="5" t="b">
        <v>0</v>
      </c>
      <c r="Q334" s="3">
        <v>3</v>
      </c>
      <c r="R334" s="3">
        <v>5</v>
      </c>
      <c r="T334">
        <f t="shared" si="5"/>
        <v>1</v>
      </c>
    </row>
    <row r="335" spans="1:20">
      <c r="A335" s="5" t="s">
        <v>498</v>
      </c>
      <c r="B335" s="5" t="s">
        <v>499</v>
      </c>
      <c r="C335" s="6">
        <v>45368</v>
      </c>
      <c r="D335" s="5">
        <v>26</v>
      </c>
      <c r="E335" s="5" t="s">
        <v>20</v>
      </c>
      <c r="F335" s="5" t="s">
        <v>32</v>
      </c>
      <c r="G335" s="5" t="s">
        <v>53</v>
      </c>
      <c r="H335" s="7">
        <v>91.5</v>
      </c>
      <c r="I335" s="3">
        <v>5</v>
      </c>
      <c r="J335" s="4">
        <v>0</v>
      </c>
      <c r="K335" s="7">
        <v>457.5</v>
      </c>
      <c r="L335" s="5" t="s">
        <v>327</v>
      </c>
      <c r="M335" s="5" t="s">
        <v>33</v>
      </c>
      <c r="N335" s="3">
        <v>9</v>
      </c>
      <c r="O335" s="3">
        <v>9</v>
      </c>
      <c r="P335" s="5" t="b">
        <v>1</v>
      </c>
      <c r="Q335" s="3">
        <v>6</v>
      </c>
      <c r="R335" s="3">
        <v>4</v>
      </c>
      <c r="T335">
        <f t="shared" si="5"/>
        <v>1</v>
      </c>
    </row>
    <row r="336" spans="1:20">
      <c r="A336" s="5" t="s">
        <v>933</v>
      </c>
      <c r="B336" s="5" t="s">
        <v>934</v>
      </c>
      <c r="C336" s="6">
        <v>44982</v>
      </c>
      <c r="D336" s="5">
        <v>46</v>
      </c>
      <c r="E336" s="5" t="s">
        <v>20</v>
      </c>
      <c r="F336" s="5" t="s">
        <v>52</v>
      </c>
      <c r="G336" s="5" t="s">
        <v>37</v>
      </c>
      <c r="H336" s="7">
        <v>206.16</v>
      </c>
      <c r="I336" s="3">
        <v>5</v>
      </c>
      <c r="J336" s="4">
        <v>0</v>
      </c>
      <c r="K336" s="7">
        <v>1030.8</v>
      </c>
      <c r="L336" s="5" t="s">
        <v>692</v>
      </c>
      <c r="M336" s="5" t="s">
        <v>33</v>
      </c>
      <c r="N336" s="3">
        <v>9</v>
      </c>
      <c r="O336" s="3">
        <v>9</v>
      </c>
      <c r="P336" s="5" t="b">
        <v>0</v>
      </c>
      <c r="Q336" s="3">
        <v>15</v>
      </c>
      <c r="R336" s="3">
        <v>3</v>
      </c>
      <c r="T336">
        <f t="shared" si="5"/>
        <v>1</v>
      </c>
    </row>
    <row r="337" spans="1:20">
      <c r="A337" s="5" t="s">
        <v>935</v>
      </c>
      <c r="B337" s="5" t="s">
        <v>936</v>
      </c>
      <c r="C337" s="6">
        <v>45054</v>
      </c>
      <c r="D337" s="5">
        <v>33</v>
      </c>
      <c r="E337" s="5" t="s">
        <v>36</v>
      </c>
      <c r="F337" s="5" t="s">
        <v>32</v>
      </c>
      <c r="G337" s="5" t="s">
        <v>53</v>
      </c>
      <c r="H337" s="7">
        <v>49.39</v>
      </c>
      <c r="I337" s="3">
        <v>1</v>
      </c>
      <c r="J337" s="4">
        <v>0</v>
      </c>
      <c r="K337" s="7">
        <v>49.39</v>
      </c>
      <c r="L337" s="5" t="s">
        <v>692</v>
      </c>
      <c r="M337" s="5" t="s">
        <v>29</v>
      </c>
      <c r="N337" s="3">
        <v>8</v>
      </c>
      <c r="O337" s="3">
        <v>13</v>
      </c>
      <c r="P337" s="5" t="b">
        <v>0</v>
      </c>
      <c r="Q337" s="3">
        <v>5</v>
      </c>
      <c r="R337" s="3">
        <v>5</v>
      </c>
      <c r="T337">
        <f t="shared" si="5"/>
        <v>1</v>
      </c>
    </row>
    <row r="338" spans="1:20">
      <c r="A338" s="5" t="s">
        <v>937</v>
      </c>
      <c r="B338" s="5" t="s">
        <v>938</v>
      </c>
      <c r="C338" s="6">
        <v>45025</v>
      </c>
      <c r="D338" s="5">
        <v>25</v>
      </c>
      <c r="E338" s="5" t="s">
        <v>20</v>
      </c>
      <c r="F338" s="5" t="s">
        <v>32</v>
      </c>
      <c r="G338" s="5" t="s">
        <v>53</v>
      </c>
      <c r="H338" s="7">
        <v>82.06</v>
      </c>
      <c r="I338" s="3">
        <v>1</v>
      </c>
      <c r="J338" s="4">
        <v>5.79</v>
      </c>
      <c r="K338" s="7">
        <v>76.27</v>
      </c>
      <c r="L338" s="5" t="s">
        <v>692</v>
      </c>
      <c r="M338" s="5" t="s">
        <v>24</v>
      </c>
      <c r="N338" s="3">
        <v>19</v>
      </c>
      <c r="O338" s="3">
        <v>12</v>
      </c>
      <c r="P338" s="5" t="b">
        <v>0</v>
      </c>
      <c r="Q338" s="3">
        <v>7</v>
      </c>
      <c r="R338" s="3">
        <v>5</v>
      </c>
      <c r="T338">
        <f t="shared" si="5"/>
        <v>1</v>
      </c>
    </row>
    <row r="339" spans="1:20">
      <c r="A339" s="5" t="s">
        <v>939</v>
      </c>
      <c r="B339" s="5" t="s">
        <v>940</v>
      </c>
      <c r="C339" s="6">
        <v>45024</v>
      </c>
      <c r="D339" s="5">
        <v>31</v>
      </c>
      <c r="E339" s="5" t="s">
        <v>20</v>
      </c>
      <c r="F339" s="5" t="s">
        <v>88</v>
      </c>
      <c r="G339" s="5" t="s">
        <v>46</v>
      </c>
      <c r="H339" s="7">
        <v>341.81</v>
      </c>
      <c r="I339" s="3">
        <v>3</v>
      </c>
      <c r="J339" s="4">
        <v>0</v>
      </c>
      <c r="K339" s="7">
        <v>1025.43</v>
      </c>
      <c r="L339" s="5" t="s">
        <v>692</v>
      </c>
      <c r="M339" s="5" t="s">
        <v>33</v>
      </c>
      <c r="N339" s="3">
        <v>13</v>
      </c>
      <c r="O339" s="3">
        <v>6</v>
      </c>
      <c r="P339" s="5" t="b">
        <v>0</v>
      </c>
      <c r="Q339" s="3">
        <v>9</v>
      </c>
      <c r="R339" s="3">
        <v>5</v>
      </c>
      <c r="T339">
        <f t="shared" si="5"/>
        <v>1</v>
      </c>
    </row>
    <row r="340" spans="1:20">
      <c r="A340" s="5" t="s">
        <v>941</v>
      </c>
      <c r="B340" s="5" t="s">
        <v>942</v>
      </c>
      <c r="C340" s="6">
        <v>45201</v>
      </c>
      <c r="D340" s="5">
        <v>39</v>
      </c>
      <c r="E340" s="5" t="s">
        <v>20</v>
      </c>
      <c r="F340" s="5" t="s">
        <v>32</v>
      </c>
      <c r="G340" s="5" t="s">
        <v>46</v>
      </c>
      <c r="H340" s="7">
        <v>355.96</v>
      </c>
      <c r="I340" s="3">
        <v>5</v>
      </c>
      <c r="J340" s="4">
        <v>0</v>
      </c>
      <c r="K340" s="7">
        <v>1779.8</v>
      </c>
      <c r="L340" s="5" t="s">
        <v>692</v>
      </c>
      <c r="M340" s="5" t="s">
        <v>24</v>
      </c>
      <c r="N340" s="3">
        <v>24</v>
      </c>
      <c r="O340" s="3">
        <v>7</v>
      </c>
      <c r="P340" s="5" t="b">
        <v>0</v>
      </c>
      <c r="Q340" s="3">
        <v>13</v>
      </c>
      <c r="R340" s="3">
        <v>5</v>
      </c>
      <c r="T340">
        <f t="shared" si="5"/>
        <v>1</v>
      </c>
    </row>
    <row r="341" spans="1:20">
      <c r="A341" s="5" t="s">
        <v>500</v>
      </c>
      <c r="B341" s="5" t="s">
        <v>501</v>
      </c>
      <c r="C341" s="6">
        <v>45156</v>
      </c>
      <c r="D341" s="5">
        <v>28</v>
      </c>
      <c r="E341" s="5" t="s">
        <v>36</v>
      </c>
      <c r="F341" s="5" t="s">
        <v>32</v>
      </c>
      <c r="G341" s="5" t="s">
        <v>28</v>
      </c>
      <c r="H341" s="7">
        <v>196.38</v>
      </c>
      <c r="I341" s="3">
        <v>2</v>
      </c>
      <c r="J341" s="4">
        <v>0</v>
      </c>
      <c r="K341" s="7">
        <v>392.76</v>
      </c>
      <c r="L341" s="5" t="s">
        <v>327</v>
      </c>
      <c r="M341" s="5" t="s">
        <v>33</v>
      </c>
      <c r="N341" s="3">
        <v>9</v>
      </c>
      <c r="O341" s="3">
        <v>10</v>
      </c>
      <c r="P341" s="5" t="b">
        <v>0</v>
      </c>
      <c r="Q341" s="3">
        <v>6</v>
      </c>
      <c r="R341" s="3">
        <v>3</v>
      </c>
      <c r="T341">
        <f t="shared" si="5"/>
        <v>1</v>
      </c>
    </row>
    <row r="342" spans="1:20">
      <c r="A342" s="5" t="s">
        <v>502</v>
      </c>
      <c r="B342" s="5" t="s">
        <v>503</v>
      </c>
      <c r="C342" s="6">
        <v>44998</v>
      </c>
      <c r="D342" s="5">
        <v>25</v>
      </c>
      <c r="E342" s="5" t="s">
        <v>36</v>
      </c>
      <c r="F342" s="5" t="s">
        <v>52</v>
      </c>
      <c r="G342" s="5" t="s">
        <v>46</v>
      </c>
      <c r="H342" s="7">
        <v>352.49</v>
      </c>
      <c r="I342" s="3">
        <v>1</v>
      </c>
      <c r="J342" s="4">
        <v>0</v>
      </c>
      <c r="K342" s="7">
        <v>352.49</v>
      </c>
      <c r="L342" s="5" t="s">
        <v>327</v>
      </c>
      <c r="M342" s="5" t="s">
        <v>33</v>
      </c>
      <c r="N342" s="3">
        <v>11</v>
      </c>
      <c r="O342" s="3">
        <v>7</v>
      </c>
      <c r="P342" s="5" t="b">
        <v>0</v>
      </c>
      <c r="Q342" s="3">
        <v>3</v>
      </c>
      <c r="R342" s="3">
        <v>4</v>
      </c>
      <c r="T342">
        <f t="shared" si="5"/>
        <v>1</v>
      </c>
    </row>
    <row r="343" spans="1:20">
      <c r="A343" s="5" t="s">
        <v>504</v>
      </c>
      <c r="B343" s="5" t="s">
        <v>505</v>
      </c>
      <c r="C343" s="6">
        <v>45143</v>
      </c>
      <c r="D343" s="5">
        <v>37</v>
      </c>
      <c r="E343" s="5" t="s">
        <v>20</v>
      </c>
      <c r="F343" s="5" t="s">
        <v>73</v>
      </c>
      <c r="G343" s="5" t="s">
        <v>56</v>
      </c>
      <c r="H343" s="7">
        <v>697.98</v>
      </c>
      <c r="I343" s="3">
        <v>3</v>
      </c>
      <c r="J343" s="4">
        <v>167.79</v>
      </c>
      <c r="K343" s="7">
        <v>1926.15</v>
      </c>
      <c r="L343" s="5" t="s">
        <v>327</v>
      </c>
      <c r="M343" s="5" t="s">
        <v>29</v>
      </c>
      <c r="N343" s="3">
        <v>17</v>
      </c>
      <c r="O343" s="3">
        <v>14</v>
      </c>
      <c r="P343" s="5" t="b">
        <v>1</v>
      </c>
      <c r="Q343" s="3">
        <v>12</v>
      </c>
      <c r="R343" s="3">
        <v>4</v>
      </c>
      <c r="T343">
        <f t="shared" si="5"/>
        <v>1</v>
      </c>
    </row>
    <row r="344" spans="1:20">
      <c r="A344" s="5" t="s">
        <v>506</v>
      </c>
      <c r="B344" s="5" t="s">
        <v>507</v>
      </c>
      <c r="C344" s="6">
        <v>45020</v>
      </c>
      <c r="D344" s="5">
        <v>37</v>
      </c>
      <c r="E344" s="5" t="s">
        <v>36</v>
      </c>
      <c r="F344" s="5" t="s">
        <v>73</v>
      </c>
      <c r="G344" s="5" t="s">
        <v>22</v>
      </c>
      <c r="H344" s="7">
        <v>255.96</v>
      </c>
      <c r="I344" s="3">
        <v>1</v>
      </c>
      <c r="J344" s="4">
        <v>0</v>
      </c>
      <c r="K344" s="7">
        <v>255.96</v>
      </c>
      <c r="L344" s="5" t="s">
        <v>327</v>
      </c>
      <c r="M344" s="5" t="s">
        <v>33</v>
      </c>
      <c r="N344" s="3">
        <v>21</v>
      </c>
      <c r="O344" s="3">
        <v>9</v>
      </c>
      <c r="P344" s="5" t="b">
        <v>1</v>
      </c>
      <c r="Q344" s="3">
        <v>5</v>
      </c>
      <c r="R344" s="3">
        <v>2</v>
      </c>
      <c r="T344">
        <f t="shared" si="5"/>
        <v>1</v>
      </c>
    </row>
    <row r="345" spans="1:20">
      <c r="A345" s="5" t="s">
        <v>191</v>
      </c>
      <c r="B345" s="5" t="s">
        <v>192</v>
      </c>
      <c r="C345" s="6">
        <v>45069</v>
      </c>
      <c r="D345" s="5">
        <v>28</v>
      </c>
      <c r="E345" s="5" t="s">
        <v>36</v>
      </c>
      <c r="F345" s="5" t="s">
        <v>32</v>
      </c>
      <c r="G345" s="5" t="s">
        <v>64</v>
      </c>
      <c r="H345" s="7">
        <v>555.79999999999995</v>
      </c>
      <c r="I345" s="3">
        <v>2</v>
      </c>
      <c r="J345" s="4">
        <v>0</v>
      </c>
      <c r="K345" s="7">
        <v>1111.5999999999999</v>
      </c>
      <c r="L345" s="5" t="s">
        <v>23</v>
      </c>
      <c r="M345" s="5" t="s">
        <v>29</v>
      </c>
      <c r="N345" s="3">
        <v>31</v>
      </c>
      <c r="O345" s="3">
        <v>12</v>
      </c>
      <c r="P345" s="5" t="b">
        <v>1</v>
      </c>
      <c r="Q345" s="3">
        <v>11</v>
      </c>
      <c r="R345" s="3">
        <v>5</v>
      </c>
      <c r="T345">
        <f t="shared" si="5"/>
        <v>1</v>
      </c>
    </row>
    <row r="346" spans="1:20">
      <c r="A346" s="5" t="s">
        <v>1369</v>
      </c>
      <c r="B346" s="5" t="s">
        <v>1370</v>
      </c>
      <c r="C346" s="6">
        <v>45163</v>
      </c>
      <c r="D346" s="5">
        <v>29</v>
      </c>
      <c r="E346" s="5" t="s">
        <v>36</v>
      </c>
      <c r="F346" s="5" t="s">
        <v>32</v>
      </c>
      <c r="G346" s="5" t="s">
        <v>46</v>
      </c>
      <c r="H346" s="7">
        <v>523.16</v>
      </c>
      <c r="I346" s="3">
        <v>5</v>
      </c>
      <c r="J346" s="4">
        <v>0</v>
      </c>
      <c r="K346" s="7">
        <v>2615.8000000000002</v>
      </c>
      <c r="L346" s="5" t="s">
        <v>1298</v>
      </c>
      <c r="M346" s="5" t="s">
        <v>33</v>
      </c>
      <c r="N346" s="3">
        <v>11</v>
      </c>
      <c r="O346" s="3">
        <v>6</v>
      </c>
      <c r="P346" s="5" t="b">
        <v>1</v>
      </c>
      <c r="Q346" s="3">
        <v>8</v>
      </c>
      <c r="R346" s="3">
        <v>4</v>
      </c>
      <c r="T346">
        <f t="shared" si="5"/>
        <v>1</v>
      </c>
    </row>
    <row r="347" spans="1:20">
      <c r="A347" s="5" t="s">
        <v>943</v>
      </c>
      <c r="B347" s="5" t="s">
        <v>944</v>
      </c>
      <c r="C347" s="6">
        <v>45054</v>
      </c>
      <c r="D347" s="5">
        <v>37</v>
      </c>
      <c r="E347" s="5" t="s">
        <v>20</v>
      </c>
      <c r="F347" s="5" t="s">
        <v>32</v>
      </c>
      <c r="G347" s="5" t="s">
        <v>22</v>
      </c>
      <c r="H347" s="7">
        <v>102.11</v>
      </c>
      <c r="I347" s="3">
        <v>5</v>
      </c>
      <c r="J347" s="4">
        <v>0</v>
      </c>
      <c r="K347" s="7">
        <v>510.55</v>
      </c>
      <c r="L347" s="5" t="s">
        <v>692</v>
      </c>
      <c r="M347" s="5" t="s">
        <v>24</v>
      </c>
      <c r="N347" s="3">
        <v>2</v>
      </c>
      <c r="O347" s="3">
        <v>9</v>
      </c>
      <c r="P347" s="5" t="b">
        <v>0</v>
      </c>
      <c r="Q347" s="3">
        <v>9</v>
      </c>
      <c r="R347" s="3">
        <v>5</v>
      </c>
      <c r="T347">
        <f t="shared" si="5"/>
        <v>1</v>
      </c>
    </row>
    <row r="348" spans="1:20">
      <c r="A348" s="5" t="s">
        <v>508</v>
      </c>
      <c r="B348" s="5" t="s">
        <v>509</v>
      </c>
      <c r="C348" s="6">
        <v>45374</v>
      </c>
      <c r="D348" s="5">
        <v>18</v>
      </c>
      <c r="E348" s="5" t="s">
        <v>36</v>
      </c>
      <c r="F348" s="5" t="s">
        <v>21</v>
      </c>
      <c r="G348" s="5" t="s">
        <v>28</v>
      </c>
      <c r="H348" s="7">
        <v>248.3</v>
      </c>
      <c r="I348" s="3">
        <v>1</v>
      </c>
      <c r="J348" s="4">
        <v>0</v>
      </c>
      <c r="K348" s="7">
        <v>248.3</v>
      </c>
      <c r="L348" s="5" t="s">
        <v>327</v>
      </c>
      <c r="M348" s="5" t="s">
        <v>33</v>
      </c>
      <c r="N348" s="3">
        <v>1</v>
      </c>
      <c r="O348" s="3">
        <v>4</v>
      </c>
      <c r="P348" s="5" t="b">
        <v>0</v>
      </c>
      <c r="Q348" s="3">
        <v>10</v>
      </c>
      <c r="R348" s="3">
        <v>4</v>
      </c>
      <c r="T348">
        <f t="shared" si="5"/>
        <v>1</v>
      </c>
    </row>
    <row r="349" spans="1:20">
      <c r="A349" s="5" t="s">
        <v>945</v>
      </c>
      <c r="B349" s="5" t="s">
        <v>946</v>
      </c>
      <c r="C349" s="6">
        <v>44965</v>
      </c>
      <c r="D349" s="5">
        <v>18</v>
      </c>
      <c r="E349" s="5" t="s">
        <v>20</v>
      </c>
      <c r="F349" s="5" t="s">
        <v>52</v>
      </c>
      <c r="G349" s="5" t="s">
        <v>46</v>
      </c>
      <c r="H349" s="7">
        <v>893.98</v>
      </c>
      <c r="I349" s="3">
        <v>2</v>
      </c>
      <c r="J349" s="4">
        <v>98.59</v>
      </c>
      <c r="K349" s="7">
        <v>1689.37</v>
      </c>
      <c r="L349" s="5" t="s">
        <v>692</v>
      </c>
      <c r="M349" s="5" t="s">
        <v>33</v>
      </c>
      <c r="N349" s="3">
        <v>39</v>
      </c>
      <c r="O349" s="3">
        <v>12</v>
      </c>
      <c r="P349" s="5" t="b">
        <v>1</v>
      </c>
      <c r="Q349" s="3">
        <v>8</v>
      </c>
      <c r="R349" s="3">
        <v>4</v>
      </c>
      <c r="T349">
        <f t="shared" si="5"/>
        <v>1</v>
      </c>
    </row>
    <row r="350" spans="1:20">
      <c r="A350" s="5" t="s">
        <v>947</v>
      </c>
      <c r="B350" s="5" t="s">
        <v>948</v>
      </c>
      <c r="C350" s="6">
        <v>45153</v>
      </c>
      <c r="D350" s="5">
        <v>26</v>
      </c>
      <c r="E350" s="5" t="s">
        <v>36</v>
      </c>
      <c r="F350" s="5" t="s">
        <v>76</v>
      </c>
      <c r="G350" s="5" t="s">
        <v>64</v>
      </c>
      <c r="H350" s="7">
        <v>1265.69</v>
      </c>
      <c r="I350" s="3">
        <v>1</v>
      </c>
      <c r="J350" s="4">
        <v>0</v>
      </c>
      <c r="K350" s="7">
        <v>1265.69</v>
      </c>
      <c r="L350" s="5" t="s">
        <v>692</v>
      </c>
      <c r="M350" s="5" t="s">
        <v>33</v>
      </c>
      <c r="N350" s="3">
        <v>11</v>
      </c>
      <c r="O350" s="3">
        <v>7</v>
      </c>
      <c r="P350" s="5" t="b">
        <v>1</v>
      </c>
      <c r="Q350" s="3">
        <v>5</v>
      </c>
      <c r="R350" s="3">
        <v>2</v>
      </c>
      <c r="T350">
        <f t="shared" si="5"/>
        <v>1</v>
      </c>
    </row>
    <row r="351" spans="1:20">
      <c r="A351" s="5" t="s">
        <v>193</v>
      </c>
      <c r="B351" s="5" t="s">
        <v>194</v>
      </c>
      <c r="C351" s="6">
        <v>45340</v>
      </c>
      <c r="D351" s="5">
        <v>32</v>
      </c>
      <c r="E351" s="5" t="s">
        <v>20</v>
      </c>
      <c r="F351" s="5" t="s">
        <v>21</v>
      </c>
      <c r="G351" s="5" t="s">
        <v>37</v>
      </c>
      <c r="H351" s="7">
        <v>246.17</v>
      </c>
      <c r="I351" s="3">
        <v>5</v>
      </c>
      <c r="J351" s="4">
        <v>0</v>
      </c>
      <c r="K351" s="7">
        <v>1230.8499999999999</v>
      </c>
      <c r="L351" s="5" t="s">
        <v>23</v>
      </c>
      <c r="M351" s="5" t="s">
        <v>33</v>
      </c>
      <c r="N351" s="3">
        <v>31</v>
      </c>
      <c r="O351" s="3">
        <v>13</v>
      </c>
      <c r="P351" s="5" t="b">
        <v>1</v>
      </c>
      <c r="Q351" s="3">
        <v>9</v>
      </c>
      <c r="R351" s="3">
        <v>3</v>
      </c>
      <c r="T351">
        <f t="shared" si="5"/>
        <v>1</v>
      </c>
    </row>
    <row r="352" spans="1:20">
      <c r="A352" s="5" t="s">
        <v>510</v>
      </c>
      <c r="B352" s="5" t="s">
        <v>511</v>
      </c>
      <c r="C352" s="6">
        <v>45368</v>
      </c>
      <c r="D352" s="5">
        <v>38</v>
      </c>
      <c r="E352" s="5" t="s">
        <v>20</v>
      </c>
      <c r="F352" s="5" t="s">
        <v>32</v>
      </c>
      <c r="G352" s="5" t="s">
        <v>115</v>
      </c>
      <c r="H352" s="7">
        <v>134.15</v>
      </c>
      <c r="I352" s="3">
        <v>1</v>
      </c>
      <c r="J352" s="4">
        <v>0</v>
      </c>
      <c r="K352" s="7">
        <v>134.15</v>
      </c>
      <c r="L352" s="5" t="s">
        <v>327</v>
      </c>
      <c r="M352" s="5" t="s">
        <v>33</v>
      </c>
      <c r="N352" s="3">
        <v>14</v>
      </c>
      <c r="O352" s="3">
        <v>6</v>
      </c>
      <c r="P352" s="5" t="b">
        <v>1</v>
      </c>
      <c r="Q352" s="3">
        <v>3</v>
      </c>
      <c r="R352" s="3">
        <v>5</v>
      </c>
      <c r="T352">
        <f t="shared" si="5"/>
        <v>1</v>
      </c>
    </row>
    <row r="353" spans="1:20">
      <c r="A353" s="5" t="s">
        <v>195</v>
      </c>
      <c r="B353" s="5" t="s">
        <v>196</v>
      </c>
      <c r="C353" s="6">
        <v>45365</v>
      </c>
      <c r="D353" s="5">
        <v>52</v>
      </c>
      <c r="E353" s="5" t="s">
        <v>20</v>
      </c>
      <c r="F353" s="5" t="s">
        <v>27</v>
      </c>
      <c r="G353" s="5" t="s">
        <v>46</v>
      </c>
      <c r="H353" s="7">
        <v>529.26</v>
      </c>
      <c r="I353" s="3">
        <v>1</v>
      </c>
      <c r="J353" s="4">
        <v>45.68</v>
      </c>
      <c r="K353" s="7">
        <v>483.58</v>
      </c>
      <c r="L353" s="5" t="s">
        <v>23</v>
      </c>
      <c r="M353" s="5" t="s">
        <v>33</v>
      </c>
      <c r="N353" s="3">
        <v>26</v>
      </c>
      <c r="O353" s="3">
        <v>9</v>
      </c>
      <c r="P353" s="5" t="b">
        <v>1</v>
      </c>
      <c r="Q353" s="3">
        <v>10</v>
      </c>
      <c r="R353" s="3">
        <v>5</v>
      </c>
      <c r="T353">
        <f t="shared" si="5"/>
        <v>1</v>
      </c>
    </row>
    <row r="354" spans="1:20">
      <c r="A354" s="5" t="s">
        <v>512</v>
      </c>
      <c r="B354" s="5" t="s">
        <v>513</v>
      </c>
      <c r="C354" s="6">
        <v>45208</v>
      </c>
      <c r="D354" s="5">
        <v>45</v>
      </c>
      <c r="E354" s="5" t="s">
        <v>36</v>
      </c>
      <c r="F354" s="5" t="s">
        <v>52</v>
      </c>
      <c r="G354" s="5" t="s">
        <v>22</v>
      </c>
      <c r="H354" s="7">
        <v>195.94</v>
      </c>
      <c r="I354" s="3">
        <v>4</v>
      </c>
      <c r="J354" s="4">
        <v>14.08</v>
      </c>
      <c r="K354" s="7">
        <v>769.68</v>
      </c>
      <c r="L354" s="5" t="s">
        <v>327</v>
      </c>
      <c r="M354" s="5" t="s">
        <v>24</v>
      </c>
      <c r="N354" s="3">
        <v>21</v>
      </c>
      <c r="O354" s="3">
        <v>6</v>
      </c>
      <c r="P354" s="5" t="b">
        <v>0</v>
      </c>
      <c r="Q354" s="3">
        <v>15</v>
      </c>
      <c r="R354" s="3">
        <v>4</v>
      </c>
      <c r="T354">
        <f t="shared" si="5"/>
        <v>1</v>
      </c>
    </row>
    <row r="355" spans="1:20">
      <c r="A355" s="5" t="s">
        <v>949</v>
      </c>
      <c r="B355" s="5" t="s">
        <v>950</v>
      </c>
      <c r="C355" s="6">
        <v>44977</v>
      </c>
      <c r="D355" s="5">
        <v>33</v>
      </c>
      <c r="E355" s="5" t="s">
        <v>20</v>
      </c>
      <c r="F355" s="5" t="s">
        <v>49</v>
      </c>
      <c r="G355" s="5" t="s">
        <v>28</v>
      </c>
      <c r="H355" s="7">
        <v>281.58</v>
      </c>
      <c r="I355" s="3">
        <v>1</v>
      </c>
      <c r="J355" s="4">
        <v>0</v>
      </c>
      <c r="K355" s="7">
        <v>281.58</v>
      </c>
      <c r="L355" s="5" t="s">
        <v>692</v>
      </c>
      <c r="M355" s="5" t="s">
        <v>29</v>
      </c>
      <c r="N355" s="3">
        <v>6</v>
      </c>
      <c r="O355" s="3">
        <v>11</v>
      </c>
      <c r="P355" s="5" t="b">
        <v>1</v>
      </c>
      <c r="Q355" s="3">
        <v>3</v>
      </c>
      <c r="R355" s="3">
        <v>5</v>
      </c>
      <c r="T355">
        <f t="shared" si="5"/>
        <v>1</v>
      </c>
    </row>
    <row r="356" spans="1:20">
      <c r="A356" s="5" t="s">
        <v>1371</v>
      </c>
      <c r="B356" s="5" t="s">
        <v>1372</v>
      </c>
      <c r="C356" s="6">
        <v>44952</v>
      </c>
      <c r="D356" s="5">
        <v>34</v>
      </c>
      <c r="E356" s="5" t="s">
        <v>36</v>
      </c>
      <c r="F356" s="5" t="s">
        <v>52</v>
      </c>
      <c r="G356" s="5" t="s">
        <v>28</v>
      </c>
      <c r="H356" s="7">
        <v>412.45</v>
      </c>
      <c r="I356" s="3">
        <v>2</v>
      </c>
      <c r="J356" s="4">
        <v>0</v>
      </c>
      <c r="K356" s="7">
        <v>824.9</v>
      </c>
      <c r="L356" s="5" t="s">
        <v>1298</v>
      </c>
      <c r="M356" s="5" t="s">
        <v>33</v>
      </c>
      <c r="N356" s="3">
        <v>30</v>
      </c>
      <c r="O356" s="3">
        <v>10</v>
      </c>
      <c r="P356" s="5" t="b">
        <v>1</v>
      </c>
      <c r="Q356" s="3">
        <v>2</v>
      </c>
      <c r="R356" s="3">
        <v>4</v>
      </c>
      <c r="T356">
        <f t="shared" si="5"/>
        <v>1</v>
      </c>
    </row>
    <row r="357" spans="1:20">
      <c r="A357" s="5" t="s">
        <v>951</v>
      </c>
      <c r="B357" s="5" t="s">
        <v>952</v>
      </c>
      <c r="C357" s="6">
        <v>45260</v>
      </c>
      <c r="D357" s="5">
        <v>22</v>
      </c>
      <c r="E357" s="5" t="s">
        <v>20</v>
      </c>
      <c r="F357" s="5" t="s">
        <v>73</v>
      </c>
      <c r="G357" s="5" t="s">
        <v>115</v>
      </c>
      <c r="H357" s="7">
        <v>75.63</v>
      </c>
      <c r="I357" s="3">
        <v>2</v>
      </c>
      <c r="J357" s="4">
        <v>0</v>
      </c>
      <c r="K357" s="7">
        <v>151.26</v>
      </c>
      <c r="L357" s="5" t="s">
        <v>692</v>
      </c>
      <c r="M357" s="5" t="s">
        <v>33</v>
      </c>
      <c r="N357" s="3">
        <v>7</v>
      </c>
      <c r="O357" s="3">
        <v>9</v>
      </c>
      <c r="P357" s="5" t="b">
        <v>1</v>
      </c>
      <c r="Q357" s="3">
        <v>9</v>
      </c>
      <c r="R357" s="3">
        <v>5</v>
      </c>
      <c r="T357">
        <f t="shared" si="5"/>
        <v>1</v>
      </c>
    </row>
    <row r="358" spans="1:20">
      <c r="A358" s="5" t="s">
        <v>953</v>
      </c>
      <c r="B358" s="5" t="s">
        <v>954</v>
      </c>
      <c r="C358" s="6">
        <v>45203</v>
      </c>
      <c r="D358" s="5">
        <v>34</v>
      </c>
      <c r="E358" s="5" t="s">
        <v>36</v>
      </c>
      <c r="F358" s="5" t="s">
        <v>27</v>
      </c>
      <c r="G358" s="5" t="s">
        <v>56</v>
      </c>
      <c r="H358" s="7">
        <v>398.92</v>
      </c>
      <c r="I358" s="3">
        <v>1</v>
      </c>
      <c r="J358" s="4">
        <v>0</v>
      </c>
      <c r="K358" s="7">
        <v>398.92</v>
      </c>
      <c r="L358" s="5" t="s">
        <v>692</v>
      </c>
      <c r="M358" s="5" t="s">
        <v>24</v>
      </c>
      <c r="N358" s="3">
        <v>22</v>
      </c>
      <c r="O358" s="3">
        <v>14</v>
      </c>
      <c r="P358" s="5" t="b">
        <v>1</v>
      </c>
      <c r="Q358" s="3">
        <v>6</v>
      </c>
      <c r="R358" s="3">
        <v>3</v>
      </c>
      <c r="T358">
        <f t="shared" si="5"/>
        <v>1</v>
      </c>
    </row>
    <row r="359" spans="1:20">
      <c r="A359" s="5" t="s">
        <v>955</v>
      </c>
      <c r="B359" s="5" t="s">
        <v>956</v>
      </c>
      <c r="C359" s="6">
        <v>45355</v>
      </c>
      <c r="D359" s="5">
        <v>31</v>
      </c>
      <c r="E359" s="5" t="s">
        <v>36</v>
      </c>
      <c r="F359" s="5" t="s">
        <v>76</v>
      </c>
      <c r="G359" s="5" t="s">
        <v>28</v>
      </c>
      <c r="H359" s="7">
        <v>232.13</v>
      </c>
      <c r="I359" s="3">
        <v>3</v>
      </c>
      <c r="J359" s="4">
        <v>51.08</v>
      </c>
      <c r="K359" s="7">
        <v>645.30999999999995</v>
      </c>
      <c r="L359" s="5" t="s">
        <v>692</v>
      </c>
      <c r="M359" s="5" t="s">
        <v>24</v>
      </c>
      <c r="N359" s="3">
        <v>19</v>
      </c>
      <c r="O359" s="3">
        <v>13</v>
      </c>
      <c r="P359" s="5" t="b">
        <v>0</v>
      </c>
      <c r="Q359" s="3">
        <v>2</v>
      </c>
      <c r="R359" s="3">
        <v>4</v>
      </c>
      <c r="T359">
        <f t="shared" si="5"/>
        <v>1</v>
      </c>
    </row>
    <row r="360" spans="1:20">
      <c r="A360" s="5" t="s">
        <v>1262</v>
      </c>
      <c r="B360" s="5" t="s">
        <v>1263</v>
      </c>
      <c r="C360" s="6">
        <v>44934</v>
      </c>
      <c r="D360" s="5">
        <v>38</v>
      </c>
      <c r="E360" s="5" t="s">
        <v>36</v>
      </c>
      <c r="F360" s="5" t="s">
        <v>52</v>
      </c>
      <c r="G360" s="5" t="s">
        <v>37</v>
      </c>
      <c r="H360" s="7">
        <v>94.59</v>
      </c>
      <c r="I360" s="3">
        <v>3</v>
      </c>
      <c r="J360" s="4">
        <v>0</v>
      </c>
      <c r="K360" s="7">
        <v>283.77</v>
      </c>
      <c r="L360" s="5" t="s">
        <v>1231</v>
      </c>
      <c r="M360" s="5" t="s">
        <v>33</v>
      </c>
      <c r="N360" s="3">
        <v>24</v>
      </c>
      <c r="O360" s="3">
        <v>13</v>
      </c>
      <c r="P360" s="5" t="b">
        <v>1</v>
      </c>
      <c r="Q360" s="3">
        <v>2</v>
      </c>
      <c r="R360" s="3">
        <v>4</v>
      </c>
      <c r="T360">
        <f t="shared" si="5"/>
        <v>1</v>
      </c>
    </row>
    <row r="361" spans="1:20">
      <c r="A361" s="5" t="s">
        <v>514</v>
      </c>
      <c r="B361" s="5" t="s">
        <v>515</v>
      </c>
      <c r="C361" s="6">
        <v>44974</v>
      </c>
      <c r="D361" s="5">
        <v>25</v>
      </c>
      <c r="E361" s="5" t="s">
        <v>36</v>
      </c>
      <c r="F361" s="5" t="s">
        <v>52</v>
      </c>
      <c r="G361" s="5" t="s">
        <v>28</v>
      </c>
      <c r="H361" s="7">
        <v>70.12</v>
      </c>
      <c r="I361" s="3">
        <v>2</v>
      </c>
      <c r="J361" s="4">
        <v>0</v>
      </c>
      <c r="K361" s="7">
        <v>140.24</v>
      </c>
      <c r="L361" s="5" t="s">
        <v>327</v>
      </c>
      <c r="M361" s="5" t="s">
        <v>29</v>
      </c>
      <c r="N361" s="3">
        <v>13</v>
      </c>
      <c r="O361" s="3">
        <v>7</v>
      </c>
      <c r="P361" s="5" t="b">
        <v>1</v>
      </c>
      <c r="Q361" s="3">
        <v>8</v>
      </c>
      <c r="R361" s="3">
        <v>4</v>
      </c>
      <c r="T361">
        <f t="shared" si="5"/>
        <v>1</v>
      </c>
    </row>
    <row r="362" spans="1:20">
      <c r="A362" s="5" t="s">
        <v>516</v>
      </c>
      <c r="B362" s="5" t="s">
        <v>517</v>
      </c>
      <c r="C362" s="6">
        <v>45312</v>
      </c>
      <c r="D362" s="5">
        <v>41</v>
      </c>
      <c r="E362" s="5" t="s">
        <v>36</v>
      </c>
      <c r="F362" s="5" t="s">
        <v>21</v>
      </c>
      <c r="G362" s="5" t="s">
        <v>28</v>
      </c>
      <c r="H362" s="7">
        <v>108.97</v>
      </c>
      <c r="I362" s="3">
        <v>5</v>
      </c>
      <c r="J362" s="4">
        <v>5.92</v>
      </c>
      <c r="K362" s="7">
        <v>538.92999999999995</v>
      </c>
      <c r="L362" s="5" t="s">
        <v>327</v>
      </c>
      <c r="M362" s="5" t="s">
        <v>33</v>
      </c>
      <c r="N362" s="3">
        <v>22</v>
      </c>
      <c r="O362" s="3">
        <v>11</v>
      </c>
      <c r="P362" s="5" t="b">
        <v>1</v>
      </c>
      <c r="Q362" s="3">
        <v>7</v>
      </c>
      <c r="R362" s="3">
        <v>3</v>
      </c>
      <c r="T362">
        <f t="shared" si="5"/>
        <v>1</v>
      </c>
    </row>
    <row r="363" spans="1:20">
      <c r="A363" s="5" t="s">
        <v>197</v>
      </c>
      <c r="B363" s="5" t="s">
        <v>198</v>
      </c>
      <c r="C363" s="6">
        <v>45361</v>
      </c>
      <c r="D363" s="5">
        <v>53</v>
      </c>
      <c r="E363" s="5" t="s">
        <v>20</v>
      </c>
      <c r="F363" s="5" t="s">
        <v>76</v>
      </c>
      <c r="G363" s="5" t="s">
        <v>37</v>
      </c>
      <c r="H363" s="7">
        <v>182.33</v>
      </c>
      <c r="I363" s="3">
        <v>1</v>
      </c>
      <c r="J363" s="4">
        <v>0</v>
      </c>
      <c r="K363" s="7">
        <v>182.33</v>
      </c>
      <c r="L363" s="5" t="s">
        <v>23</v>
      </c>
      <c r="M363" s="5" t="s">
        <v>33</v>
      </c>
      <c r="N363" s="3">
        <v>7</v>
      </c>
      <c r="O363" s="3">
        <v>9</v>
      </c>
      <c r="P363" s="5" t="b">
        <v>1</v>
      </c>
      <c r="Q363" s="3">
        <v>2</v>
      </c>
      <c r="R363" s="3">
        <v>4</v>
      </c>
      <c r="T363">
        <f t="shared" si="5"/>
        <v>1</v>
      </c>
    </row>
    <row r="364" spans="1:20">
      <c r="A364" s="5" t="s">
        <v>518</v>
      </c>
      <c r="B364" s="5" t="s">
        <v>519</v>
      </c>
      <c r="C364" s="6">
        <v>45048</v>
      </c>
      <c r="D364" s="5">
        <v>33</v>
      </c>
      <c r="E364" s="5" t="s">
        <v>36</v>
      </c>
      <c r="F364" s="5" t="s">
        <v>88</v>
      </c>
      <c r="G364" s="5" t="s">
        <v>115</v>
      </c>
      <c r="H364" s="7">
        <v>54.95</v>
      </c>
      <c r="I364" s="3">
        <v>2</v>
      </c>
      <c r="J364" s="4">
        <v>0</v>
      </c>
      <c r="K364" s="7">
        <v>109.9</v>
      </c>
      <c r="L364" s="5" t="s">
        <v>327</v>
      </c>
      <c r="M364" s="5" t="s">
        <v>33</v>
      </c>
      <c r="N364" s="3">
        <v>12</v>
      </c>
      <c r="O364" s="3">
        <v>10</v>
      </c>
      <c r="P364" s="5" t="b">
        <v>1</v>
      </c>
      <c r="Q364" s="3">
        <v>12</v>
      </c>
      <c r="R364" s="3">
        <v>4</v>
      </c>
      <c r="T364">
        <f t="shared" si="5"/>
        <v>1</v>
      </c>
    </row>
    <row r="365" spans="1:20">
      <c r="A365" s="5" t="s">
        <v>199</v>
      </c>
      <c r="B365" s="5" t="s">
        <v>200</v>
      </c>
      <c r="C365" s="6">
        <v>45012</v>
      </c>
      <c r="D365" s="5">
        <v>39</v>
      </c>
      <c r="E365" s="5" t="s">
        <v>20</v>
      </c>
      <c r="F365" s="5" t="s">
        <v>32</v>
      </c>
      <c r="G365" s="5" t="s">
        <v>115</v>
      </c>
      <c r="H365" s="7">
        <v>40.18</v>
      </c>
      <c r="I365" s="3">
        <v>1</v>
      </c>
      <c r="J365" s="4">
        <v>0</v>
      </c>
      <c r="K365" s="7">
        <v>40.18</v>
      </c>
      <c r="L365" s="5" t="s">
        <v>23</v>
      </c>
      <c r="M365" s="5" t="s">
        <v>33</v>
      </c>
      <c r="N365" s="3">
        <v>21</v>
      </c>
      <c r="O365" s="3">
        <v>6</v>
      </c>
      <c r="P365" s="5" t="b">
        <v>0</v>
      </c>
      <c r="Q365" s="3">
        <v>9</v>
      </c>
      <c r="R365" s="3">
        <v>2</v>
      </c>
      <c r="T365">
        <f t="shared" si="5"/>
        <v>1</v>
      </c>
    </row>
    <row r="366" spans="1:20">
      <c r="A366" s="5" t="s">
        <v>520</v>
      </c>
      <c r="B366" s="5" t="s">
        <v>521</v>
      </c>
      <c r="C366" s="6">
        <v>45135</v>
      </c>
      <c r="D366" s="5">
        <v>43</v>
      </c>
      <c r="E366" s="5" t="s">
        <v>36</v>
      </c>
      <c r="F366" s="5" t="s">
        <v>32</v>
      </c>
      <c r="G366" s="5" t="s">
        <v>37</v>
      </c>
      <c r="H366" s="7">
        <v>210.09</v>
      </c>
      <c r="I366" s="3">
        <v>1</v>
      </c>
      <c r="J366" s="4">
        <v>41.67</v>
      </c>
      <c r="K366" s="7">
        <v>168.42</v>
      </c>
      <c r="L366" s="5" t="s">
        <v>327</v>
      </c>
      <c r="M366" s="5" t="s">
        <v>24</v>
      </c>
      <c r="N366" s="3">
        <v>25</v>
      </c>
      <c r="O366" s="3">
        <v>6</v>
      </c>
      <c r="P366" s="5" t="b">
        <v>1</v>
      </c>
      <c r="Q366" s="3">
        <v>5</v>
      </c>
      <c r="R366" s="3">
        <v>5</v>
      </c>
      <c r="T366">
        <f t="shared" si="5"/>
        <v>1</v>
      </c>
    </row>
    <row r="367" spans="1:20">
      <c r="A367" s="5" t="s">
        <v>1264</v>
      </c>
      <c r="B367" s="5" t="s">
        <v>1265</v>
      </c>
      <c r="C367" s="6">
        <v>45175</v>
      </c>
      <c r="D367" s="5">
        <v>30</v>
      </c>
      <c r="E367" s="5" t="s">
        <v>36</v>
      </c>
      <c r="F367" s="5" t="s">
        <v>21</v>
      </c>
      <c r="G367" s="5" t="s">
        <v>64</v>
      </c>
      <c r="H367" s="7">
        <v>2897.09</v>
      </c>
      <c r="I367" s="3">
        <v>5</v>
      </c>
      <c r="J367" s="4">
        <v>0</v>
      </c>
      <c r="K367" s="7">
        <v>14485.45</v>
      </c>
      <c r="L367" s="5" t="s">
        <v>1231</v>
      </c>
      <c r="M367" s="5" t="s">
        <v>33</v>
      </c>
      <c r="N367" s="3">
        <v>7</v>
      </c>
      <c r="O367" s="3">
        <v>5</v>
      </c>
      <c r="P367" s="5" t="b">
        <v>1</v>
      </c>
      <c r="Q367" s="3">
        <v>4</v>
      </c>
      <c r="R367" s="3">
        <v>5</v>
      </c>
      <c r="T367">
        <f t="shared" si="5"/>
        <v>1</v>
      </c>
    </row>
    <row r="368" spans="1:20">
      <c r="A368" s="5" t="s">
        <v>201</v>
      </c>
      <c r="B368" s="5" t="s">
        <v>202</v>
      </c>
      <c r="C368" s="6">
        <v>45173</v>
      </c>
      <c r="D368" s="5">
        <v>37</v>
      </c>
      <c r="E368" s="5" t="s">
        <v>20</v>
      </c>
      <c r="F368" s="5" t="s">
        <v>32</v>
      </c>
      <c r="G368" s="5" t="s">
        <v>22</v>
      </c>
      <c r="H368" s="7">
        <v>182.84</v>
      </c>
      <c r="I368" s="3">
        <v>3</v>
      </c>
      <c r="J368" s="4">
        <v>0</v>
      </c>
      <c r="K368" s="7">
        <v>548.52</v>
      </c>
      <c r="L368" s="5" t="s">
        <v>23</v>
      </c>
      <c r="M368" s="5" t="s">
        <v>24</v>
      </c>
      <c r="N368" s="3">
        <v>21</v>
      </c>
      <c r="O368" s="3">
        <v>7</v>
      </c>
      <c r="P368" s="5" t="b">
        <v>0</v>
      </c>
      <c r="Q368" s="3">
        <v>5</v>
      </c>
      <c r="R368" s="3">
        <v>5</v>
      </c>
      <c r="T368">
        <f t="shared" si="5"/>
        <v>1</v>
      </c>
    </row>
    <row r="369" spans="1:20">
      <c r="A369" s="5" t="s">
        <v>522</v>
      </c>
      <c r="B369" s="5" t="s">
        <v>523</v>
      </c>
      <c r="C369" s="6">
        <v>45036</v>
      </c>
      <c r="D369" s="5">
        <v>35</v>
      </c>
      <c r="E369" s="5" t="s">
        <v>20</v>
      </c>
      <c r="F369" s="5" t="s">
        <v>52</v>
      </c>
      <c r="G369" s="5" t="s">
        <v>53</v>
      </c>
      <c r="H369" s="7">
        <v>141.97999999999999</v>
      </c>
      <c r="I369" s="3">
        <v>1</v>
      </c>
      <c r="J369" s="4">
        <v>19.47</v>
      </c>
      <c r="K369" s="7">
        <v>122.51</v>
      </c>
      <c r="L369" s="5" t="s">
        <v>327</v>
      </c>
      <c r="M369" s="5" t="s">
        <v>33</v>
      </c>
      <c r="N369" s="3">
        <v>20</v>
      </c>
      <c r="O369" s="3">
        <v>8</v>
      </c>
      <c r="P369" s="5" t="b">
        <v>0</v>
      </c>
      <c r="Q369" s="3">
        <v>4</v>
      </c>
      <c r="R369" s="3">
        <v>4</v>
      </c>
      <c r="T369">
        <f t="shared" si="5"/>
        <v>1</v>
      </c>
    </row>
    <row r="370" spans="1:20">
      <c r="A370" s="5" t="s">
        <v>957</v>
      </c>
      <c r="B370" s="5" t="s">
        <v>958</v>
      </c>
      <c r="C370" s="6">
        <v>45369</v>
      </c>
      <c r="D370" s="5">
        <v>36</v>
      </c>
      <c r="E370" s="5" t="s">
        <v>20</v>
      </c>
      <c r="F370" s="5" t="s">
        <v>32</v>
      </c>
      <c r="G370" s="5" t="s">
        <v>28</v>
      </c>
      <c r="H370" s="7">
        <v>140.33000000000001</v>
      </c>
      <c r="I370" s="3">
        <v>4</v>
      </c>
      <c r="J370" s="4">
        <v>0</v>
      </c>
      <c r="K370" s="7">
        <v>561.32000000000005</v>
      </c>
      <c r="L370" s="5" t="s">
        <v>692</v>
      </c>
      <c r="M370" s="5" t="s">
        <v>33</v>
      </c>
      <c r="N370" s="3">
        <v>19</v>
      </c>
      <c r="O370" s="3">
        <v>7</v>
      </c>
      <c r="P370" s="5" t="b">
        <v>0</v>
      </c>
      <c r="Q370" s="3">
        <v>17</v>
      </c>
      <c r="R370" s="3">
        <v>2</v>
      </c>
      <c r="T370">
        <f t="shared" si="5"/>
        <v>1</v>
      </c>
    </row>
    <row r="371" spans="1:20">
      <c r="A371" s="5" t="s">
        <v>1373</v>
      </c>
      <c r="B371" s="5" t="s">
        <v>1374</v>
      </c>
      <c r="C371" s="6">
        <v>45132</v>
      </c>
      <c r="D371" s="5">
        <v>25</v>
      </c>
      <c r="E371" s="5" t="s">
        <v>36</v>
      </c>
      <c r="F371" s="5" t="s">
        <v>49</v>
      </c>
      <c r="G371" s="5" t="s">
        <v>115</v>
      </c>
      <c r="H371" s="7">
        <v>75.87</v>
      </c>
      <c r="I371" s="3">
        <v>1</v>
      </c>
      <c r="J371" s="4">
        <v>13.41</v>
      </c>
      <c r="K371" s="7">
        <v>62.46</v>
      </c>
      <c r="L371" s="5" t="s">
        <v>1298</v>
      </c>
      <c r="M371" s="5" t="s">
        <v>33</v>
      </c>
      <c r="N371" s="3">
        <v>11</v>
      </c>
      <c r="O371" s="3">
        <v>15</v>
      </c>
      <c r="P371" s="5" t="b">
        <v>1</v>
      </c>
      <c r="Q371" s="3">
        <v>5</v>
      </c>
      <c r="R371" s="3">
        <v>4</v>
      </c>
      <c r="T371">
        <f t="shared" si="5"/>
        <v>1</v>
      </c>
    </row>
    <row r="372" spans="1:20">
      <c r="A372" s="5" t="s">
        <v>203</v>
      </c>
      <c r="B372" s="5" t="s">
        <v>204</v>
      </c>
      <c r="C372" s="6">
        <v>44957</v>
      </c>
      <c r="D372" s="5">
        <v>35</v>
      </c>
      <c r="E372" s="5" t="s">
        <v>36</v>
      </c>
      <c r="F372" s="5" t="s">
        <v>76</v>
      </c>
      <c r="G372" s="5" t="s">
        <v>53</v>
      </c>
      <c r="H372" s="7">
        <v>51.94</v>
      </c>
      <c r="I372" s="3">
        <v>1</v>
      </c>
      <c r="J372" s="4">
        <v>14.38</v>
      </c>
      <c r="K372" s="7">
        <v>37.56</v>
      </c>
      <c r="L372" s="5" t="s">
        <v>23</v>
      </c>
      <c r="M372" s="5" t="s">
        <v>24</v>
      </c>
      <c r="N372" s="3">
        <v>1</v>
      </c>
      <c r="O372" s="3">
        <v>8</v>
      </c>
      <c r="P372" s="5" t="b">
        <v>0</v>
      </c>
      <c r="Q372" s="3">
        <v>7</v>
      </c>
      <c r="R372" s="3">
        <v>3</v>
      </c>
      <c r="T372">
        <f t="shared" si="5"/>
        <v>1</v>
      </c>
    </row>
    <row r="373" spans="1:20">
      <c r="A373" s="5" t="s">
        <v>524</v>
      </c>
      <c r="B373" s="5" t="s">
        <v>525</v>
      </c>
      <c r="C373" s="6">
        <v>45011</v>
      </c>
      <c r="D373" s="5">
        <v>40</v>
      </c>
      <c r="E373" s="5" t="s">
        <v>36</v>
      </c>
      <c r="F373" s="5" t="s">
        <v>83</v>
      </c>
      <c r="G373" s="5" t="s">
        <v>53</v>
      </c>
      <c r="H373" s="7">
        <v>29.66</v>
      </c>
      <c r="I373" s="3">
        <v>1</v>
      </c>
      <c r="J373" s="4">
        <v>0</v>
      </c>
      <c r="K373" s="7">
        <v>29.66</v>
      </c>
      <c r="L373" s="5" t="s">
        <v>327</v>
      </c>
      <c r="M373" s="5" t="s">
        <v>33</v>
      </c>
      <c r="N373" s="3">
        <v>20</v>
      </c>
      <c r="O373" s="3">
        <v>8</v>
      </c>
      <c r="P373" s="5" t="b">
        <v>0</v>
      </c>
      <c r="Q373" s="3">
        <v>3</v>
      </c>
      <c r="R373" s="3">
        <v>5</v>
      </c>
      <c r="T373">
        <f t="shared" si="5"/>
        <v>1</v>
      </c>
    </row>
    <row r="374" spans="1:20">
      <c r="A374" s="5" t="s">
        <v>205</v>
      </c>
      <c r="B374" s="5" t="s">
        <v>206</v>
      </c>
      <c r="C374" s="6">
        <v>45121</v>
      </c>
      <c r="D374" s="5">
        <v>52</v>
      </c>
      <c r="E374" s="5" t="s">
        <v>36</v>
      </c>
      <c r="F374" s="5" t="s">
        <v>52</v>
      </c>
      <c r="G374" s="5" t="s">
        <v>56</v>
      </c>
      <c r="H374" s="7">
        <v>522.49</v>
      </c>
      <c r="I374" s="3">
        <v>1</v>
      </c>
      <c r="J374" s="4">
        <v>0</v>
      </c>
      <c r="K374" s="7">
        <v>522.49</v>
      </c>
      <c r="L374" s="5" t="s">
        <v>23</v>
      </c>
      <c r="M374" s="5" t="s">
        <v>24</v>
      </c>
      <c r="N374" s="3">
        <v>25</v>
      </c>
      <c r="O374" s="3">
        <v>9</v>
      </c>
      <c r="P374" s="5" t="b">
        <v>0</v>
      </c>
      <c r="Q374" s="3">
        <v>5</v>
      </c>
      <c r="R374" s="3">
        <v>1</v>
      </c>
      <c r="T374">
        <f t="shared" si="5"/>
        <v>1</v>
      </c>
    </row>
    <row r="375" spans="1:20">
      <c r="A375" s="5" t="s">
        <v>526</v>
      </c>
      <c r="B375" s="5" t="s">
        <v>527</v>
      </c>
      <c r="C375" s="6">
        <v>44928</v>
      </c>
      <c r="D375" s="5">
        <v>46</v>
      </c>
      <c r="E375" s="5" t="s">
        <v>36</v>
      </c>
      <c r="F375" s="5" t="s">
        <v>73</v>
      </c>
      <c r="G375" s="5" t="s">
        <v>46</v>
      </c>
      <c r="H375" s="7">
        <v>431.85</v>
      </c>
      <c r="I375" s="3">
        <v>1</v>
      </c>
      <c r="J375" s="4">
        <v>0</v>
      </c>
      <c r="K375" s="7">
        <v>431.85</v>
      </c>
      <c r="L375" s="5" t="s">
        <v>327</v>
      </c>
      <c r="M375" s="5" t="s">
        <v>33</v>
      </c>
      <c r="N375" s="3">
        <v>27</v>
      </c>
      <c r="O375" s="3">
        <v>11</v>
      </c>
      <c r="P375" s="5" t="b">
        <v>1</v>
      </c>
      <c r="Q375" s="3">
        <v>6</v>
      </c>
      <c r="R375" s="3">
        <v>4</v>
      </c>
      <c r="T375">
        <f t="shared" si="5"/>
        <v>1</v>
      </c>
    </row>
    <row r="376" spans="1:20">
      <c r="A376" s="5" t="s">
        <v>959</v>
      </c>
      <c r="B376" s="5" t="s">
        <v>960</v>
      </c>
      <c r="C376" s="6">
        <v>45126</v>
      </c>
      <c r="D376" s="5">
        <v>60</v>
      </c>
      <c r="E376" s="5" t="s">
        <v>20</v>
      </c>
      <c r="F376" s="5" t="s">
        <v>88</v>
      </c>
      <c r="G376" s="5" t="s">
        <v>28</v>
      </c>
      <c r="H376" s="7">
        <v>32.18</v>
      </c>
      <c r="I376" s="3">
        <v>1</v>
      </c>
      <c r="J376" s="4">
        <v>0</v>
      </c>
      <c r="K376" s="7">
        <v>32.18</v>
      </c>
      <c r="L376" s="5" t="s">
        <v>692</v>
      </c>
      <c r="M376" s="5" t="s">
        <v>33</v>
      </c>
      <c r="N376" s="3">
        <v>5</v>
      </c>
      <c r="O376" s="3">
        <v>14</v>
      </c>
      <c r="P376" s="5" t="b">
        <v>0</v>
      </c>
      <c r="Q376" s="3">
        <v>6</v>
      </c>
      <c r="R376" s="3">
        <v>2</v>
      </c>
      <c r="T376">
        <f t="shared" si="5"/>
        <v>1</v>
      </c>
    </row>
    <row r="377" spans="1:20">
      <c r="A377" s="5" t="s">
        <v>961</v>
      </c>
      <c r="B377" s="5" t="s">
        <v>962</v>
      </c>
      <c r="C377" s="6">
        <v>45062</v>
      </c>
      <c r="D377" s="5">
        <v>25</v>
      </c>
      <c r="E377" s="5" t="s">
        <v>20</v>
      </c>
      <c r="F377" s="5" t="s">
        <v>32</v>
      </c>
      <c r="G377" s="5" t="s">
        <v>46</v>
      </c>
      <c r="H377" s="7">
        <v>541.58000000000004</v>
      </c>
      <c r="I377" s="3">
        <v>3</v>
      </c>
      <c r="J377" s="4">
        <v>0</v>
      </c>
      <c r="K377" s="7">
        <v>1624.74</v>
      </c>
      <c r="L377" s="5" t="s">
        <v>692</v>
      </c>
      <c r="M377" s="5" t="s">
        <v>24</v>
      </c>
      <c r="N377" s="3">
        <v>3</v>
      </c>
      <c r="O377" s="3">
        <v>7</v>
      </c>
      <c r="P377" s="5" t="b">
        <v>1</v>
      </c>
      <c r="Q377" s="3">
        <v>1</v>
      </c>
      <c r="R377" s="3">
        <v>1</v>
      </c>
      <c r="T377">
        <f t="shared" si="5"/>
        <v>1</v>
      </c>
    </row>
    <row r="378" spans="1:20">
      <c r="A378" s="5" t="s">
        <v>528</v>
      </c>
      <c r="B378" s="5" t="s">
        <v>529</v>
      </c>
      <c r="C378" s="6">
        <v>45328</v>
      </c>
      <c r="D378" s="5">
        <v>45</v>
      </c>
      <c r="E378" s="5" t="s">
        <v>36</v>
      </c>
      <c r="F378" s="5" t="s">
        <v>49</v>
      </c>
      <c r="G378" s="5" t="s">
        <v>46</v>
      </c>
      <c r="H378" s="7">
        <v>801.16</v>
      </c>
      <c r="I378" s="3">
        <v>1</v>
      </c>
      <c r="J378" s="4">
        <v>0</v>
      </c>
      <c r="K378" s="7">
        <v>801.16</v>
      </c>
      <c r="L378" s="5" t="s">
        <v>327</v>
      </c>
      <c r="M378" s="5" t="s">
        <v>33</v>
      </c>
      <c r="N378" s="3">
        <v>10</v>
      </c>
      <c r="O378" s="3">
        <v>12</v>
      </c>
      <c r="P378" s="5" t="b">
        <v>1</v>
      </c>
      <c r="Q378" s="3">
        <v>5</v>
      </c>
      <c r="R378" s="3">
        <v>5</v>
      </c>
      <c r="T378">
        <f t="shared" si="5"/>
        <v>1</v>
      </c>
    </row>
    <row r="379" spans="1:20">
      <c r="A379" s="5" t="s">
        <v>963</v>
      </c>
      <c r="B379" s="5" t="s">
        <v>964</v>
      </c>
      <c r="C379" s="6">
        <v>45328</v>
      </c>
      <c r="D379" s="5">
        <v>37</v>
      </c>
      <c r="E379" s="5" t="s">
        <v>36</v>
      </c>
      <c r="F379" s="5" t="s">
        <v>21</v>
      </c>
      <c r="G379" s="5" t="s">
        <v>56</v>
      </c>
      <c r="H379" s="7">
        <v>239.81</v>
      </c>
      <c r="I379" s="3">
        <v>5</v>
      </c>
      <c r="J379" s="4">
        <v>0</v>
      </c>
      <c r="K379" s="7">
        <v>1199.05</v>
      </c>
      <c r="L379" s="5" t="s">
        <v>692</v>
      </c>
      <c r="M379" s="5" t="s">
        <v>24</v>
      </c>
      <c r="N379" s="3">
        <v>18</v>
      </c>
      <c r="O379" s="3">
        <v>8</v>
      </c>
      <c r="P379" s="5" t="b">
        <v>1</v>
      </c>
      <c r="Q379" s="3">
        <v>10</v>
      </c>
      <c r="R379" s="3">
        <v>5</v>
      </c>
      <c r="T379">
        <f t="shared" si="5"/>
        <v>1</v>
      </c>
    </row>
    <row r="380" spans="1:20">
      <c r="A380" s="5" t="s">
        <v>530</v>
      </c>
      <c r="B380" s="5" t="s">
        <v>531</v>
      </c>
      <c r="C380" s="6">
        <v>45159</v>
      </c>
      <c r="D380" s="5">
        <v>61</v>
      </c>
      <c r="E380" s="5" t="s">
        <v>36</v>
      </c>
      <c r="F380" s="5" t="s">
        <v>32</v>
      </c>
      <c r="G380" s="5" t="s">
        <v>53</v>
      </c>
      <c r="H380" s="7">
        <v>74.709999999999994</v>
      </c>
      <c r="I380" s="3">
        <v>1</v>
      </c>
      <c r="J380" s="4">
        <v>3.75</v>
      </c>
      <c r="K380" s="7">
        <v>70.959999999999994</v>
      </c>
      <c r="L380" s="5" t="s">
        <v>327</v>
      </c>
      <c r="M380" s="5" t="s">
        <v>33</v>
      </c>
      <c r="N380" s="3">
        <v>20</v>
      </c>
      <c r="O380" s="3">
        <v>7</v>
      </c>
      <c r="P380" s="5" t="b">
        <v>1</v>
      </c>
      <c r="Q380" s="3">
        <v>2</v>
      </c>
      <c r="R380" s="3">
        <v>4</v>
      </c>
      <c r="T380">
        <f t="shared" si="5"/>
        <v>1</v>
      </c>
    </row>
    <row r="381" spans="1:20">
      <c r="A381" s="5" t="s">
        <v>207</v>
      </c>
      <c r="B381" s="5" t="s">
        <v>208</v>
      </c>
      <c r="C381" s="6">
        <v>45073</v>
      </c>
      <c r="D381" s="5">
        <v>25</v>
      </c>
      <c r="E381" s="5" t="s">
        <v>20</v>
      </c>
      <c r="F381" s="5" t="s">
        <v>21</v>
      </c>
      <c r="G381" s="5" t="s">
        <v>37</v>
      </c>
      <c r="H381" s="7">
        <v>188.29</v>
      </c>
      <c r="I381" s="3">
        <v>5</v>
      </c>
      <c r="J381" s="4">
        <v>0</v>
      </c>
      <c r="K381" s="7">
        <v>941.45</v>
      </c>
      <c r="L381" s="5" t="s">
        <v>23</v>
      </c>
      <c r="M381" s="5" t="s">
        <v>33</v>
      </c>
      <c r="N381" s="3">
        <v>10</v>
      </c>
      <c r="O381" s="3">
        <v>11</v>
      </c>
      <c r="P381" s="5" t="b">
        <v>0</v>
      </c>
      <c r="Q381" s="3">
        <v>18</v>
      </c>
      <c r="R381" s="3">
        <v>3</v>
      </c>
      <c r="T381">
        <f t="shared" si="5"/>
        <v>1</v>
      </c>
    </row>
    <row r="382" spans="1:20">
      <c r="A382" s="5" t="s">
        <v>965</v>
      </c>
      <c r="B382" s="5" t="s">
        <v>966</v>
      </c>
      <c r="C382" s="6">
        <v>45143</v>
      </c>
      <c r="D382" s="5">
        <v>24</v>
      </c>
      <c r="E382" s="5" t="s">
        <v>20</v>
      </c>
      <c r="F382" s="5" t="s">
        <v>32</v>
      </c>
      <c r="G382" s="5" t="s">
        <v>46</v>
      </c>
      <c r="H382" s="7">
        <v>398.34</v>
      </c>
      <c r="I382" s="3">
        <v>2</v>
      </c>
      <c r="J382" s="4">
        <v>0</v>
      </c>
      <c r="K382" s="7">
        <v>796.68</v>
      </c>
      <c r="L382" s="5" t="s">
        <v>692</v>
      </c>
      <c r="M382" s="5" t="s">
        <v>33</v>
      </c>
      <c r="N382" s="3">
        <v>12</v>
      </c>
      <c r="O382" s="3">
        <v>7</v>
      </c>
      <c r="P382" s="5" t="b">
        <v>0</v>
      </c>
      <c r="Q382" s="3">
        <v>7</v>
      </c>
      <c r="R382" s="3">
        <v>5</v>
      </c>
      <c r="T382">
        <f t="shared" si="5"/>
        <v>1</v>
      </c>
    </row>
    <row r="383" spans="1:20">
      <c r="A383" s="5" t="s">
        <v>967</v>
      </c>
      <c r="B383" s="5" t="s">
        <v>968</v>
      </c>
      <c r="C383" s="6">
        <v>45283</v>
      </c>
      <c r="D383" s="5">
        <v>27</v>
      </c>
      <c r="E383" s="5" t="s">
        <v>20</v>
      </c>
      <c r="F383" s="5" t="s">
        <v>49</v>
      </c>
      <c r="G383" s="5" t="s">
        <v>115</v>
      </c>
      <c r="H383" s="7">
        <v>186.71</v>
      </c>
      <c r="I383" s="3">
        <v>4</v>
      </c>
      <c r="J383" s="4">
        <v>0</v>
      </c>
      <c r="K383" s="7">
        <v>746.84</v>
      </c>
      <c r="L383" s="5" t="s">
        <v>692</v>
      </c>
      <c r="M383" s="5" t="s">
        <v>24</v>
      </c>
      <c r="N383" s="3">
        <v>12</v>
      </c>
      <c r="O383" s="3">
        <v>6</v>
      </c>
      <c r="P383" s="5" t="b">
        <v>1</v>
      </c>
      <c r="Q383" s="3">
        <v>7</v>
      </c>
      <c r="R383" s="3">
        <v>5</v>
      </c>
      <c r="T383">
        <f t="shared" si="5"/>
        <v>1</v>
      </c>
    </row>
    <row r="384" spans="1:20">
      <c r="A384" s="5" t="s">
        <v>209</v>
      </c>
      <c r="B384" s="5" t="s">
        <v>210</v>
      </c>
      <c r="C384" s="6">
        <v>45301</v>
      </c>
      <c r="D384" s="5">
        <v>18</v>
      </c>
      <c r="E384" s="5" t="s">
        <v>20</v>
      </c>
      <c r="F384" s="5" t="s">
        <v>52</v>
      </c>
      <c r="G384" s="5" t="s">
        <v>37</v>
      </c>
      <c r="H384" s="7">
        <v>113.03</v>
      </c>
      <c r="I384" s="3">
        <v>3</v>
      </c>
      <c r="J384" s="4">
        <v>0</v>
      </c>
      <c r="K384" s="7">
        <v>339.09</v>
      </c>
      <c r="L384" s="5" t="s">
        <v>23</v>
      </c>
      <c r="M384" s="5" t="s">
        <v>24</v>
      </c>
      <c r="N384" s="3">
        <v>6</v>
      </c>
      <c r="O384" s="3">
        <v>10</v>
      </c>
      <c r="P384" s="5" t="b">
        <v>0</v>
      </c>
      <c r="Q384" s="3">
        <v>2</v>
      </c>
      <c r="R384" s="3">
        <v>5</v>
      </c>
      <c r="T384">
        <f t="shared" si="5"/>
        <v>1</v>
      </c>
    </row>
    <row r="385" spans="1:20">
      <c r="A385" s="5" t="s">
        <v>532</v>
      </c>
      <c r="B385" s="5" t="s">
        <v>533</v>
      </c>
      <c r="C385" s="6">
        <v>45328</v>
      </c>
      <c r="D385" s="5">
        <v>28</v>
      </c>
      <c r="E385" s="5" t="s">
        <v>20</v>
      </c>
      <c r="F385" s="5" t="s">
        <v>52</v>
      </c>
      <c r="G385" s="5" t="s">
        <v>37</v>
      </c>
      <c r="H385" s="7">
        <v>27.22</v>
      </c>
      <c r="I385" s="3">
        <v>4</v>
      </c>
      <c r="J385" s="4">
        <v>5.68</v>
      </c>
      <c r="K385" s="7">
        <v>103.2</v>
      </c>
      <c r="L385" s="5" t="s">
        <v>327</v>
      </c>
      <c r="M385" s="5" t="s">
        <v>33</v>
      </c>
      <c r="N385" s="3">
        <v>17</v>
      </c>
      <c r="O385" s="3">
        <v>10</v>
      </c>
      <c r="P385" s="5" t="b">
        <v>1</v>
      </c>
      <c r="Q385" s="3">
        <v>7</v>
      </c>
      <c r="R385" s="3">
        <v>4</v>
      </c>
      <c r="T385">
        <f t="shared" si="5"/>
        <v>1</v>
      </c>
    </row>
    <row r="386" spans="1:20">
      <c r="A386" s="5" t="s">
        <v>969</v>
      </c>
      <c r="B386" s="5" t="s">
        <v>970</v>
      </c>
      <c r="C386" s="6">
        <v>45211</v>
      </c>
      <c r="D386" s="5">
        <v>25</v>
      </c>
      <c r="E386" s="5" t="s">
        <v>36</v>
      </c>
      <c r="F386" s="5" t="s">
        <v>32</v>
      </c>
      <c r="G386" s="5" t="s">
        <v>56</v>
      </c>
      <c r="H386" s="7">
        <v>204.07</v>
      </c>
      <c r="I386" s="3">
        <v>5</v>
      </c>
      <c r="J386" s="4">
        <v>0</v>
      </c>
      <c r="K386" s="7">
        <v>1020.35</v>
      </c>
      <c r="L386" s="5" t="s">
        <v>692</v>
      </c>
      <c r="M386" s="5" t="s">
        <v>33</v>
      </c>
      <c r="N386" s="3">
        <v>35</v>
      </c>
      <c r="O386" s="3">
        <v>9</v>
      </c>
      <c r="P386" s="5" t="b">
        <v>1</v>
      </c>
      <c r="Q386" s="3">
        <v>6</v>
      </c>
      <c r="R386" s="3">
        <v>2</v>
      </c>
      <c r="T386">
        <f t="shared" si="5"/>
        <v>1</v>
      </c>
    </row>
    <row r="387" spans="1:20">
      <c r="A387" s="5" t="s">
        <v>211</v>
      </c>
      <c r="B387" s="5" t="s">
        <v>212</v>
      </c>
      <c r="C387" s="6">
        <v>45265</v>
      </c>
      <c r="D387" s="5">
        <v>36</v>
      </c>
      <c r="E387" s="5" t="s">
        <v>20</v>
      </c>
      <c r="F387" s="5" t="s">
        <v>88</v>
      </c>
      <c r="G387" s="5" t="s">
        <v>115</v>
      </c>
      <c r="H387" s="7">
        <v>74.34</v>
      </c>
      <c r="I387" s="3">
        <v>4</v>
      </c>
      <c r="J387" s="4">
        <v>0</v>
      </c>
      <c r="K387" s="7">
        <v>297.36</v>
      </c>
      <c r="L387" s="5" t="s">
        <v>23</v>
      </c>
      <c r="M387" s="5" t="s">
        <v>33</v>
      </c>
      <c r="N387" s="3">
        <v>16</v>
      </c>
      <c r="O387" s="3">
        <v>13</v>
      </c>
      <c r="P387" s="5" t="b">
        <v>1</v>
      </c>
      <c r="Q387" s="3">
        <v>2</v>
      </c>
      <c r="R387" s="3">
        <v>2</v>
      </c>
      <c r="T387">
        <f t="shared" ref="T387:T450" si="6">COUNTIF(A387:A1085,A387)</f>
        <v>1</v>
      </c>
    </row>
    <row r="388" spans="1:20">
      <c r="A388" s="5" t="s">
        <v>213</v>
      </c>
      <c r="B388" s="5" t="s">
        <v>214</v>
      </c>
      <c r="C388" s="6">
        <v>45294</v>
      </c>
      <c r="D388" s="5">
        <v>39</v>
      </c>
      <c r="E388" s="5" t="s">
        <v>36</v>
      </c>
      <c r="F388" s="5" t="s">
        <v>21</v>
      </c>
      <c r="G388" s="5" t="s">
        <v>56</v>
      </c>
      <c r="H388" s="7">
        <v>907.02</v>
      </c>
      <c r="I388" s="3">
        <v>2</v>
      </c>
      <c r="J388" s="4">
        <v>248.01</v>
      </c>
      <c r="K388" s="7">
        <v>1566.03</v>
      </c>
      <c r="L388" s="5" t="s">
        <v>23</v>
      </c>
      <c r="M388" s="5" t="s">
        <v>33</v>
      </c>
      <c r="N388" s="3">
        <v>22</v>
      </c>
      <c r="O388" s="3">
        <v>9</v>
      </c>
      <c r="P388" s="5" t="b">
        <v>1</v>
      </c>
      <c r="Q388" s="3">
        <v>11</v>
      </c>
      <c r="R388" s="3">
        <v>5</v>
      </c>
      <c r="T388">
        <f t="shared" si="6"/>
        <v>1</v>
      </c>
    </row>
    <row r="389" spans="1:20">
      <c r="A389" s="5" t="s">
        <v>971</v>
      </c>
      <c r="B389" s="5" t="s">
        <v>972</v>
      </c>
      <c r="C389" s="6">
        <v>45176</v>
      </c>
      <c r="D389" s="5">
        <v>57</v>
      </c>
      <c r="E389" s="5" t="s">
        <v>20</v>
      </c>
      <c r="F389" s="5" t="s">
        <v>73</v>
      </c>
      <c r="G389" s="5" t="s">
        <v>22</v>
      </c>
      <c r="H389" s="7">
        <v>250.04</v>
      </c>
      <c r="I389" s="3">
        <v>4</v>
      </c>
      <c r="J389" s="4">
        <v>0</v>
      </c>
      <c r="K389" s="7">
        <v>1000.16</v>
      </c>
      <c r="L389" s="5" t="s">
        <v>692</v>
      </c>
      <c r="M389" s="5" t="s">
        <v>33</v>
      </c>
      <c r="N389" s="3">
        <v>9</v>
      </c>
      <c r="O389" s="3">
        <v>15</v>
      </c>
      <c r="P389" s="5" t="b">
        <v>1</v>
      </c>
      <c r="Q389" s="3">
        <v>4</v>
      </c>
      <c r="R389" s="3">
        <v>5</v>
      </c>
      <c r="T389">
        <f t="shared" si="6"/>
        <v>1</v>
      </c>
    </row>
    <row r="390" spans="1:20">
      <c r="A390" s="5" t="s">
        <v>973</v>
      </c>
      <c r="B390" s="5" t="s">
        <v>974</v>
      </c>
      <c r="C390" s="6">
        <v>45006</v>
      </c>
      <c r="D390" s="5">
        <v>46</v>
      </c>
      <c r="E390" s="5" t="s">
        <v>36</v>
      </c>
      <c r="F390" s="5" t="s">
        <v>73</v>
      </c>
      <c r="G390" s="5" t="s">
        <v>28</v>
      </c>
      <c r="H390" s="7">
        <v>176.72</v>
      </c>
      <c r="I390" s="3">
        <v>4</v>
      </c>
      <c r="J390" s="4">
        <v>0</v>
      </c>
      <c r="K390" s="7">
        <v>706.88</v>
      </c>
      <c r="L390" s="5" t="s">
        <v>692</v>
      </c>
      <c r="M390" s="5" t="s">
        <v>33</v>
      </c>
      <c r="N390" s="3">
        <v>10</v>
      </c>
      <c r="O390" s="3">
        <v>12</v>
      </c>
      <c r="P390" s="5" t="b">
        <v>1</v>
      </c>
      <c r="Q390" s="3">
        <v>5</v>
      </c>
      <c r="R390" s="3">
        <v>4</v>
      </c>
      <c r="T390">
        <f t="shared" si="6"/>
        <v>1</v>
      </c>
    </row>
    <row r="391" spans="1:20">
      <c r="A391" s="5" t="s">
        <v>975</v>
      </c>
      <c r="B391" s="5" t="s">
        <v>976</v>
      </c>
      <c r="C391" s="6">
        <v>45024</v>
      </c>
      <c r="D391" s="5">
        <v>28</v>
      </c>
      <c r="E391" s="5" t="s">
        <v>20</v>
      </c>
      <c r="F391" s="5" t="s">
        <v>21</v>
      </c>
      <c r="G391" s="5" t="s">
        <v>46</v>
      </c>
      <c r="H391" s="7">
        <v>469.83</v>
      </c>
      <c r="I391" s="3">
        <v>1</v>
      </c>
      <c r="J391" s="4">
        <v>0</v>
      </c>
      <c r="K391" s="7">
        <v>469.83</v>
      </c>
      <c r="L391" s="5" t="s">
        <v>692</v>
      </c>
      <c r="M391" s="5" t="s">
        <v>33</v>
      </c>
      <c r="N391" s="3">
        <v>13</v>
      </c>
      <c r="O391" s="3">
        <v>11</v>
      </c>
      <c r="P391" s="5" t="b">
        <v>1</v>
      </c>
      <c r="Q391" s="3">
        <v>11</v>
      </c>
      <c r="R391" s="3">
        <v>4</v>
      </c>
      <c r="T391">
        <f t="shared" si="6"/>
        <v>1</v>
      </c>
    </row>
    <row r="392" spans="1:20">
      <c r="A392" s="5" t="s">
        <v>215</v>
      </c>
      <c r="B392" s="5" t="s">
        <v>216</v>
      </c>
      <c r="C392" s="6">
        <v>45078</v>
      </c>
      <c r="D392" s="5">
        <v>24</v>
      </c>
      <c r="E392" s="5" t="s">
        <v>20</v>
      </c>
      <c r="F392" s="5" t="s">
        <v>32</v>
      </c>
      <c r="G392" s="5" t="s">
        <v>53</v>
      </c>
      <c r="H392" s="7">
        <v>33.29</v>
      </c>
      <c r="I392" s="3">
        <v>1</v>
      </c>
      <c r="J392" s="4">
        <v>0</v>
      </c>
      <c r="K392" s="7">
        <v>33.29</v>
      </c>
      <c r="L392" s="5" t="s">
        <v>23</v>
      </c>
      <c r="M392" s="5" t="s">
        <v>33</v>
      </c>
      <c r="N392" s="3">
        <v>10</v>
      </c>
      <c r="O392" s="3">
        <v>5</v>
      </c>
      <c r="P392" s="5" t="b">
        <v>1</v>
      </c>
      <c r="Q392" s="3">
        <v>3</v>
      </c>
      <c r="R392" s="3">
        <v>5</v>
      </c>
      <c r="T392">
        <f t="shared" si="6"/>
        <v>1</v>
      </c>
    </row>
    <row r="393" spans="1:20">
      <c r="A393" s="5" t="s">
        <v>534</v>
      </c>
      <c r="B393" s="5" t="s">
        <v>535</v>
      </c>
      <c r="C393" s="6">
        <v>45038</v>
      </c>
      <c r="D393" s="5">
        <v>40</v>
      </c>
      <c r="E393" s="5" t="s">
        <v>20</v>
      </c>
      <c r="F393" s="5" t="s">
        <v>27</v>
      </c>
      <c r="G393" s="5" t="s">
        <v>64</v>
      </c>
      <c r="H393" s="7">
        <v>1546.14</v>
      </c>
      <c r="I393" s="3">
        <v>1</v>
      </c>
      <c r="J393" s="4">
        <v>171.78</v>
      </c>
      <c r="K393" s="7">
        <v>1374.36</v>
      </c>
      <c r="L393" s="5" t="s">
        <v>327</v>
      </c>
      <c r="M393" s="5" t="s">
        <v>33</v>
      </c>
      <c r="N393" s="3">
        <v>7</v>
      </c>
      <c r="O393" s="3">
        <v>7</v>
      </c>
      <c r="P393" s="5" t="b">
        <v>1</v>
      </c>
      <c r="Q393" s="3">
        <v>3</v>
      </c>
      <c r="R393" s="3">
        <v>5</v>
      </c>
      <c r="T393">
        <f t="shared" si="6"/>
        <v>1</v>
      </c>
    </row>
    <row r="394" spans="1:20">
      <c r="A394" s="5" t="s">
        <v>536</v>
      </c>
      <c r="B394" s="5" t="s">
        <v>537</v>
      </c>
      <c r="C394" s="6">
        <v>44956</v>
      </c>
      <c r="D394" s="5">
        <v>19</v>
      </c>
      <c r="E394" s="5" t="s">
        <v>36</v>
      </c>
      <c r="F394" s="5" t="s">
        <v>32</v>
      </c>
      <c r="G394" s="5" t="s">
        <v>115</v>
      </c>
      <c r="H394" s="7">
        <v>17.809999999999999</v>
      </c>
      <c r="I394" s="3">
        <v>1</v>
      </c>
      <c r="J394" s="4">
        <v>1.41</v>
      </c>
      <c r="K394" s="7">
        <v>16.399999999999999</v>
      </c>
      <c r="L394" s="5" t="s">
        <v>327</v>
      </c>
      <c r="M394" s="5" t="s">
        <v>33</v>
      </c>
      <c r="N394" s="3">
        <v>17</v>
      </c>
      <c r="O394" s="3">
        <v>11</v>
      </c>
      <c r="P394" s="5" t="b">
        <v>1</v>
      </c>
      <c r="Q394" s="3">
        <v>6</v>
      </c>
      <c r="R394" s="3">
        <v>5</v>
      </c>
      <c r="T394">
        <f t="shared" si="6"/>
        <v>1</v>
      </c>
    </row>
    <row r="395" spans="1:20">
      <c r="A395" s="5" t="s">
        <v>1375</v>
      </c>
      <c r="B395" s="5" t="s">
        <v>1376</v>
      </c>
      <c r="C395" s="6">
        <v>45223</v>
      </c>
      <c r="D395" s="5">
        <v>56</v>
      </c>
      <c r="E395" s="5" t="s">
        <v>36</v>
      </c>
      <c r="F395" s="5" t="s">
        <v>32</v>
      </c>
      <c r="G395" s="5" t="s">
        <v>56</v>
      </c>
      <c r="H395" s="7">
        <v>457.14</v>
      </c>
      <c r="I395" s="3">
        <v>3</v>
      </c>
      <c r="J395" s="4">
        <v>0</v>
      </c>
      <c r="K395" s="7">
        <v>1371.42</v>
      </c>
      <c r="L395" s="5" t="s">
        <v>1298</v>
      </c>
      <c r="M395" s="5" t="s">
        <v>33</v>
      </c>
      <c r="N395" s="3">
        <v>7</v>
      </c>
      <c r="O395" s="3">
        <v>8</v>
      </c>
      <c r="P395" s="5" t="b">
        <v>1</v>
      </c>
      <c r="Q395" s="3">
        <v>6</v>
      </c>
      <c r="R395" s="3">
        <v>4</v>
      </c>
      <c r="T395">
        <f t="shared" si="6"/>
        <v>1</v>
      </c>
    </row>
    <row r="396" spans="1:20">
      <c r="A396" s="5" t="s">
        <v>977</v>
      </c>
      <c r="B396" s="5" t="s">
        <v>978</v>
      </c>
      <c r="C396" s="6">
        <v>45303</v>
      </c>
      <c r="D396" s="5">
        <v>49</v>
      </c>
      <c r="E396" s="5" t="s">
        <v>20</v>
      </c>
      <c r="F396" s="5" t="s">
        <v>27</v>
      </c>
      <c r="G396" s="5" t="s">
        <v>37</v>
      </c>
      <c r="H396" s="7">
        <v>135.71</v>
      </c>
      <c r="I396" s="3">
        <v>1</v>
      </c>
      <c r="J396" s="4">
        <v>0</v>
      </c>
      <c r="K396" s="7">
        <v>135.71</v>
      </c>
      <c r="L396" s="5" t="s">
        <v>692</v>
      </c>
      <c r="M396" s="5" t="s">
        <v>33</v>
      </c>
      <c r="N396" s="3">
        <v>8</v>
      </c>
      <c r="O396" s="3">
        <v>12</v>
      </c>
      <c r="P396" s="5" t="b">
        <v>0</v>
      </c>
      <c r="Q396" s="3">
        <v>8</v>
      </c>
      <c r="R396" s="3">
        <v>3</v>
      </c>
      <c r="T396">
        <f t="shared" si="6"/>
        <v>1</v>
      </c>
    </row>
    <row r="397" spans="1:20">
      <c r="A397" s="5" t="s">
        <v>979</v>
      </c>
      <c r="B397" s="5" t="s">
        <v>980</v>
      </c>
      <c r="C397" s="6">
        <v>45204</v>
      </c>
      <c r="D397" s="5">
        <v>29</v>
      </c>
      <c r="E397" s="5" t="s">
        <v>20</v>
      </c>
      <c r="F397" s="5" t="s">
        <v>32</v>
      </c>
      <c r="G397" s="5" t="s">
        <v>22</v>
      </c>
      <c r="H397" s="7">
        <v>123.69</v>
      </c>
      <c r="I397" s="3">
        <v>1</v>
      </c>
      <c r="J397" s="4">
        <v>0</v>
      </c>
      <c r="K397" s="7">
        <v>123.69</v>
      </c>
      <c r="L397" s="5" t="s">
        <v>692</v>
      </c>
      <c r="M397" s="5" t="s">
        <v>33</v>
      </c>
      <c r="N397" s="3">
        <v>21</v>
      </c>
      <c r="O397" s="3">
        <v>12</v>
      </c>
      <c r="P397" s="5" t="b">
        <v>0</v>
      </c>
      <c r="Q397" s="3">
        <v>15</v>
      </c>
      <c r="R397" s="3">
        <v>3</v>
      </c>
      <c r="T397">
        <f t="shared" si="6"/>
        <v>1</v>
      </c>
    </row>
    <row r="398" spans="1:20">
      <c r="A398" s="5" t="s">
        <v>981</v>
      </c>
      <c r="B398" s="5" t="s">
        <v>982</v>
      </c>
      <c r="C398" s="6">
        <v>44958</v>
      </c>
      <c r="D398" s="5">
        <v>18</v>
      </c>
      <c r="E398" s="5" t="s">
        <v>36</v>
      </c>
      <c r="F398" s="5" t="s">
        <v>52</v>
      </c>
      <c r="G398" s="5" t="s">
        <v>64</v>
      </c>
      <c r="H398" s="7">
        <v>1201.31</v>
      </c>
      <c r="I398" s="3">
        <v>1</v>
      </c>
      <c r="J398" s="4">
        <v>177.05</v>
      </c>
      <c r="K398" s="7">
        <v>1024.26</v>
      </c>
      <c r="L398" s="5" t="s">
        <v>692</v>
      </c>
      <c r="M398" s="5" t="s">
        <v>24</v>
      </c>
      <c r="N398" s="3">
        <v>20</v>
      </c>
      <c r="O398" s="3">
        <v>10</v>
      </c>
      <c r="P398" s="5" t="b">
        <v>1</v>
      </c>
      <c r="Q398" s="3">
        <v>12</v>
      </c>
      <c r="R398" s="3">
        <v>5</v>
      </c>
      <c r="T398">
        <f t="shared" si="6"/>
        <v>1</v>
      </c>
    </row>
    <row r="399" spans="1:20">
      <c r="A399" s="5" t="s">
        <v>983</v>
      </c>
      <c r="B399" s="5" t="s">
        <v>984</v>
      </c>
      <c r="C399" s="6">
        <v>45309</v>
      </c>
      <c r="D399" s="5">
        <v>51</v>
      </c>
      <c r="E399" s="5" t="s">
        <v>20</v>
      </c>
      <c r="F399" s="5" t="s">
        <v>21</v>
      </c>
      <c r="G399" s="5" t="s">
        <v>56</v>
      </c>
      <c r="H399" s="7">
        <v>656.9</v>
      </c>
      <c r="I399" s="3">
        <v>1</v>
      </c>
      <c r="J399" s="4">
        <v>0</v>
      </c>
      <c r="K399" s="7">
        <v>656.9</v>
      </c>
      <c r="L399" s="5" t="s">
        <v>692</v>
      </c>
      <c r="M399" s="5" t="s">
        <v>29</v>
      </c>
      <c r="N399" s="3">
        <v>1</v>
      </c>
      <c r="O399" s="3">
        <v>7</v>
      </c>
      <c r="P399" s="5" t="b">
        <v>0</v>
      </c>
      <c r="Q399" s="3">
        <v>9</v>
      </c>
      <c r="R399" s="3">
        <v>5</v>
      </c>
      <c r="T399">
        <f t="shared" si="6"/>
        <v>1</v>
      </c>
    </row>
    <row r="400" spans="1:20">
      <c r="A400" s="5" t="s">
        <v>217</v>
      </c>
      <c r="B400" s="5" t="s">
        <v>218</v>
      </c>
      <c r="C400" s="6">
        <v>45087</v>
      </c>
      <c r="D400" s="5">
        <v>33</v>
      </c>
      <c r="E400" s="5" t="s">
        <v>20</v>
      </c>
      <c r="F400" s="5" t="s">
        <v>21</v>
      </c>
      <c r="G400" s="5" t="s">
        <v>22</v>
      </c>
      <c r="H400" s="7">
        <v>718.68</v>
      </c>
      <c r="I400" s="3">
        <v>1</v>
      </c>
      <c r="J400" s="4">
        <v>0</v>
      </c>
      <c r="K400" s="7">
        <v>718.68</v>
      </c>
      <c r="L400" s="5" t="s">
        <v>23</v>
      </c>
      <c r="M400" s="5" t="s">
        <v>24</v>
      </c>
      <c r="N400" s="3">
        <v>10</v>
      </c>
      <c r="O400" s="3">
        <v>7</v>
      </c>
      <c r="P400" s="5" t="b">
        <v>1</v>
      </c>
      <c r="Q400" s="3">
        <v>8</v>
      </c>
      <c r="R400" s="3">
        <v>2</v>
      </c>
      <c r="T400">
        <f t="shared" si="6"/>
        <v>1</v>
      </c>
    </row>
    <row r="401" spans="1:20">
      <c r="A401" s="5" t="s">
        <v>538</v>
      </c>
      <c r="B401" s="5" t="s">
        <v>539</v>
      </c>
      <c r="C401" s="6">
        <v>44956</v>
      </c>
      <c r="D401" s="5">
        <v>49</v>
      </c>
      <c r="E401" s="5" t="s">
        <v>36</v>
      </c>
      <c r="F401" s="5" t="s">
        <v>27</v>
      </c>
      <c r="G401" s="5" t="s">
        <v>37</v>
      </c>
      <c r="H401" s="7">
        <v>178.19</v>
      </c>
      <c r="I401" s="3">
        <v>2</v>
      </c>
      <c r="J401" s="4">
        <v>0</v>
      </c>
      <c r="K401" s="7">
        <v>356.38</v>
      </c>
      <c r="L401" s="5" t="s">
        <v>327</v>
      </c>
      <c r="M401" s="5" t="s">
        <v>33</v>
      </c>
      <c r="N401" s="3">
        <v>16</v>
      </c>
      <c r="O401" s="3">
        <v>9</v>
      </c>
      <c r="P401" s="5" t="b">
        <v>1</v>
      </c>
      <c r="Q401" s="3">
        <v>4</v>
      </c>
      <c r="R401" s="3">
        <v>3</v>
      </c>
      <c r="T401">
        <f t="shared" si="6"/>
        <v>1</v>
      </c>
    </row>
    <row r="402" spans="1:20">
      <c r="A402" s="5" t="s">
        <v>985</v>
      </c>
      <c r="B402" s="5" t="s">
        <v>986</v>
      </c>
      <c r="C402" s="6">
        <v>44952</v>
      </c>
      <c r="D402" s="5">
        <v>18</v>
      </c>
      <c r="E402" s="5" t="s">
        <v>36</v>
      </c>
      <c r="F402" s="5" t="s">
        <v>49</v>
      </c>
      <c r="G402" s="5" t="s">
        <v>46</v>
      </c>
      <c r="H402" s="7">
        <v>118.11</v>
      </c>
      <c r="I402" s="3">
        <v>1</v>
      </c>
      <c r="J402" s="4">
        <v>0</v>
      </c>
      <c r="K402" s="7">
        <v>118.11</v>
      </c>
      <c r="L402" s="5" t="s">
        <v>692</v>
      </c>
      <c r="M402" s="5" t="s">
        <v>24</v>
      </c>
      <c r="N402" s="3">
        <v>45</v>
      </c>
      <c r="O402" s="3">
        <v>7</v>
      </c>
      <c r="P402" s="5" t="b">
        <v>1</v>
      </c>
      <c r="Q402" s="3">
        <v>2</v>
      </c>
      <c r="R402" s="3">
        <v>5</v>
      </c>
      <c r="T402">
        <f t="shared" si="6"/>
        <v>1</v>
      </c>
    </row>
    <row r="403" spans="1:20">
      <c r="A403" s="5" t="s">
        <v>987</v>
      </c>
      <c r="B403" s="5" t="s">
        <v>988</v>
      </c>
      <c r="C403" s="6">
        <v>45226</v>
      </c>
      <c r="D403" s="5">
        <v>27</v>
      </c>
      <c r="E403" s="5" t="s">
        <v>20</v>
      </c>
      <c r="F403" s="5" t="s">
        <v>49</v>
      </c>
      <c r="G403" s="5" t="s">
        <v>28</v>
      </c>
      <c r="H403" s="7">
        <v>520.04999999999995</v>
      </c>
      <c r="I403" s="3">
        <v>2</v>
      </c>
      <c r="J403" s="4">
        <v>0</v>
      </c>
      <c r="K403" s="7">
        <v>1040.0999999999999</v>
      </c>
      <c r="L403" s="5" t="s">
        <v>692</v>
      </c>
      <c r="M403" s="5" t="s">
        <v>33</v>
      </c>
      <c r="N403" s="3">
        <v>2</v>
      </c>
      <c r="O403" s="3">
        <v>10</v>
      </c>
      <c r="P403" s="5" t="b">
        <v>1</v>
      </c>
      <c r="Q403" s="3">
        <v>23</v>
      </c>
      <c r="R403" s="3">
        <v>4</v>
      </c>
      <c r="T403">
        <f t="shared" si="6"/>
        <v>1</v>
      </c>
    </row>
    <row r="404" spans="1:20">
      <c r="A404" s="5" t="s">
        <v>989</v>
      </c>
      <c r="B404" s="5" t="s">
        <v>990</v>
      </c>
      <c r="C404" s="6">
        <v>45171</v>
      </c>
      <c r="D404" s="5">
        <v>35</v>
      </c>
      <c r="E404" s="5" t="s">
        <v>20</v>
      </c>
      <c r="F404" s="5" t="s">
        <v>27</v>
      </c>
      <c r="G404" s="5" t="s">
        <v>28</v>
      </c>
      <c r="H404" s="7">
        <v>361.3</v>
      </c>
      <c r="I404" s="3">
        <v>1</v>
      </c>
      <c r="J404" s="4">
        <v>0</v>
      </c>
      <c r="K404" s="7">
        <v>361.3</v>
      </c>
      <c r="L404" s="5" t="s">
        <v>692</v>
      </c>
      <c r="M404" s="5" t="s">
        <v>33</v>
      </c>
      <c r="N404" s="3">
        <v>9</v>
      </c>
      <c r="O404" s="3">
        <v>8</v>
      </c>
      <c r="P404" s="5" t="b">
        <v>0</v>
      </c>
      <c r="Q404" s="3">
        <v>4</v>
      </c>
      <c r="R404" s="3">
        <v>4</v>
      </c>
      <c r="T404">
        <f t="shared" si="6"/>
        <v>1</v>
      </c>
    </row>
    <row r="405" spans="1:20">
      <c r="A405" s="5" t="s">
        <v>1266</v>
      </c>
      <c r="B405" s="5" t="s">
        <v>1267</v>
      </c>
      <c r="C405" s="6">
        <v>45184</v>
      </c>
      <c r="D405" s="5">
        <v>35</v>
      </c>
      <c r="E405" s="5" t="s">
        <v>36</v>
      </c>
      <c r="F405" s="5" t="s">
        <v>52</v>
      </c>
      <c r="G405" s="5" t="s">
        <v>22</v>
      </c>
      <c r="H405" s="7">
        <v>280.36</v>
      </c>
      <c r="I405" s="3">
        <v>5</v>
      </c>
      <c r="J405" s="4">
        <v>0</v>
      </c>
      <c r="K405" s="7">
        <v>1401.8</v>
      </c>
      <c r="L405" s="5" t="s">
        <v>1231</v>
      </c>
      <c r="M405" s="5" t="s">
        <v>33</v>
      </c>
      <c r="N405" s="3">
        <v>20</v>
      </c>
      <c r="O405" s="3">
        <v>5</v>
      </c>
      <c r="P405" s="5" t="b">
        <v>0</v>
      </c>
      <c r="Q405" s="3">
        <v>4</v>
      </c>
      <c r="R405" s="3">
        <v>4</v>
      </c>
      <c r="T405">
        <f t="shared" si="6"/>
        <v>1</v>
      </c>
    </row>
    <row r="406" spans="1:20">
      <c r="A406" s="5" t="s">
        <v>219</v>
      </c>
      <c r="B406" s="5" t="s">
        <v>220</v>
      </c>
      <c r="C406" s="6">
        <v>45363</v>
      </c>
      <c r="D406" s="5">
        <v>29</v>
      </c>
      <c r="E406" s="5" t="s">
        <v>20</v>
      </c>
      <c r="F406" s="5" t="s">
        <v>52</v>
      </c>
      <c r="G406" s="5" t="s">
        <v>56</v>
      </c>
      <c r="H406" s="7">
        <v>1030.8599999999999</v>
      </c>
      <c r="I406" s="3">
        <v>1</v>
      </c>
      <c r="J406" s="4">
        <v>296.67</v>
      </c>
      <c r="K406" s="7">
        <v>734.19</v>
      </c>
      <c r="L406" s="5" t="s">
        <v>23</v>
      </c>
      <c r="M406" s="5" t="s">
        <v>33</v>
      </c>
      <c r="N406" s="3">
        <v>8</v>
      </c>
      <c r="O406" s="3">
        <v>9</v>
      </c>
      <c r="P406" s="5" t="b">
        <v>0</v>
      </c>
      <c r="Q406" s="3">
        <v>3</v>
      </c>
      <c r="R406" s="3">
        <v>5</v>
      </c>
      <c r="T406">
        <f t="shared" si="6"/>
        <v>1</v>
      </c>
    </row>
    <row r="407" spans="1:20">
      <c r="A407" s="5" t="s">
        <v>540</v>
      </c>
      <c r="B407" s="5" t="s">
        <v>541</v>
      </c>
      <c r="C407" s="6">
        <v>45198</v>
      </c>
      <c r="D407" s="5">
        <v>42</v>
      </c>
      <c r="E407" s="5" t="s">
        <v>20</v>
      </c>
      <c r="F407" s="5" t="s">
        <v>21</v>
      </c>
      <c r="G407" s="5" t="s">
        <v>28</v>
      </c>
      <c r="H407" s="7">
        <v>83.61</v>
      </c>
      <c r="I407" s="3">
        <v>2</v>
      </c>
      <c r="J407" s="4">
        <v>0</v>
      </c>
      <c r="K407" s="7">
        <v>167.22</v>
      </c>
      <c r="L407" s="5" t="s">
        <v>327</v>
      </c>
      <c r="M407" s="5" t="s">
        <v>29</v>
      </c>
      <c r="N407" s="3">
        <v>9</v>
      </c>
      <c r="O407" s="3">
        <v>6</v>
      </c>
      <c r="P407" s="5" t="b">
        <v>0</v>
      </c>
      <c r="Q407" s="3">
        <v>8</v>
      </c>
      <c r="R407" s="3">
        <v>5</v>
      </c>
      <c r="T407">
        <f t="shared" si="6"/>
        <v>1</v>
      </c>
    </row>
    <row r="408" spans="1:20">
      <c r="A408" s="5" t="s">
        <v>991</v>
      </c>
      <c r="B408" s="5" t="s">
        <v>992</v>
      </c>
      <c r="C408" s="6">
        <v>45007</v>
      </c>
      <c r="D408" s="5">
        <v>22</v>
      </c>
      <c r="E408" s="5" t="s">
        <v>36</v>
      </c>
      <c r="F408" s="5" t="s">
        <v>52</v>
      </c>
      <c r="G408" s="5" t="s">
        <v>28</v>
      </c>
      <c r="H408" s="7">
        <v>145.63999999999999</v>
      </c>
      <c r="I408" s="3">
        <v>1</v>
      </c>
      <c r="J408" s="4">
        <v>0</v>
      </c>
      <c r="K408" s="7">
        <v>145.63999999999999</v>
      </c>
      <c r="L408" s="5" t="s">
        <v>692</v>
      </c>
      <c r="M408" s="5" t="s">
        <v>33</v>
      </c>
      <c r="N408" s="3">
        <v>4</v>
      </c>
      <c r="O408" s="3">
        <v>8</v>
      </c>
      <c r="P408" s="5" t="b">
        <v>1</v>
      </c>
      <c r="Q408" s="3">
        <v>5</v>
      </c>
      <c r="R408" s="3">
        <v>4</v>
      </c>
      <c r="T408">
        <f t="shared" si="6"/>
        <v>1</v>
      </c>
    </row>
    <row r="409" spans="1:20">
      <c r="A409" s="5" t="s">
        <v>542</v>
      </c>
      <c r="B409" s="5" t="s">
        <v>543</v>
      </c>
      <c r="C409" s="6">
        <v>44956</v>
      </c>
      <c r="D409" s="5">
        <v>33</v>
      </c>
      <c r="E409" s="5" t="s">
        <v>36</v>
      </c>
      <c r="F409" s="5" t="s">
        <v>83</v>
      </c>
      <c r="G409" s="5" t="s">
        <v>46</v>
      </c>
      <c r="H409" s="7">
        <v>235.02</v>
      </c>
      <c r="I409" s="3">
        <v>2</v>
      </c>
      <c r="J409" s="4">
        <v>0</v>
      </c>
      <c r="K409" s="7">
        <v>470.04</v>
      </c>
      <c r="L409" s="5" t="s">
        <v>327</v>
      </c>
      <c r="M409" s="5" t="s">
        <v>29</v>
      </c>
      <c r="N409" s="3">
        <v>11</v>
      </c>
      <c r="O409" s="3">
        <v>13</v>
      </c>
      <c r="P409" s="5" t="b">
        <v>1</v>
      </c>
      <c r="Q409" s="3">
        <v>12</v>
      </c>
      <c r="R409" s="3">
        <v>4</v>
      </c>
      <c r="T409">
        <f t="shared" si="6"/>
        <v>1</v>
      </c>
    </row>
    <row r="410" spans="1:20">
      <c r="A410" s="5" t="s">
        <v>993</v>
      </c>
      <c r="B410" s="5" t="s">
        <v>994</v>
      </c>
      <c r="C410" s="6">
        <v>45187</v>
      </c>
      <c r="D410" s="5">
        <v>36</v>
      </c>
      <c r="E410" s="5" t="s">
        <v>20</v>
      </c>
      <c r="F410" s="5" t="s">
        <v>59</v>
      </c>
      <c r="G410" s="5" t="s">
        <v>37</v>
      </c>
      <c r="H410" s="7">
        <v>140.94999999999999</v>
      </c>
      <c r="I410" s="3">
        <v>1</v>
      </c>
      <c r="J410" s="4">
        <v>0</v>
      </c>
      <c r="K410" s="7">
        <v>140.94999999999999</v>
      </c>
      <c r="L410" s="5" t="s">
        <v>692</v>
      </c>
      <c r="M410" s="5" t="s">
        <v>33</v>
      </c>
      <c r="N410" s="3">
        <v>8</v>
      </c>
      <c r="O410" s="3">
        <v>6</v>
      </c>
      <c r="P410" s="5" t="b">
        <v>1</v>
      </c>
      <c r="Q410" s="3">
        <v>13</v>
      </c>
      <c r="R410" s="3">
        <v>2</v>
      </c>
      <c r="T410">
        <f t="shared" si="6"/>
        <v>1</v>
      </c>
    </row>
    <row r="411" spans="1:20">
      <c r="A411" s="5" t="s">
        <v>1268</v>
      </c>
      <c r="B411" s="5" t="s">
        <v>1269</v>
      </c>
      <c r="C411" s="6">
        <v>44968</v>
      </c>
      <c r="D411" s="5">
        <v>41</v>
      </c>
      <c r="E411" s="5" t="s">
        <v>122</v>
      </c>
      <c r="F411" s="5" t="s">
        <v>32</v>
      </c>
      <c r="G411" s="5" t="s">
        <v>53</v>
      </c>
      <c r="H411" s="7">
        <v>185.48</v>
      </c>
      <c r="I411" s="3">
        <v>1</v>
      </c>
      <c r="J411" s="4">
        <v>36.340000000000003</v>
      </c>
      <c r="K411" s="7">
        <v>149.13999999999999</v>
      </c>
      <c r="L411" s="5" t="s">
        <v>1231</v>
      </c>
      <c r="M411" s="5" t="s">
        <v>29</v>
      </c>
      <c r="N411" s="3">
        <v>12</v>
      </c>
      <c r="O411" s="3">
        <v>12</v>
      </c>
      <c r="P411" s="5" t="b">
        <v>1</v>
      </c>
      <c r="Q411" s="3">
        <v>5</v>
      </c>
      <c r="R411" s="3">
        <v>5</v>
      </c>
      <c r="T411">
        <f t="shared" si="6"/>
        <v>1</v>
      </c>
    </row>
    <row r="412" spans="1:20">
      <c r="A412" s="5" t="s">
        <v>221</v>
      </c>
      <c r="B412" s="5" t="s">
        <v>222</v>
      </c>
      <c r="C412" s="6">
        <v>45362</v>
      </c>
      <c r="D412" s="5">
        <v>43</v>
      </c>
      <c r="E412" s="5" t="s">
        <v>36</v>
      </c>
      <c r="F412" s="5" t="s">
        <v>32</v>
      </c>
      <c r="G412" s="5" t="s">
        <v>28</v>
      </c>
      <c r="H412" s="7">
        <v>111.68</v>
      </c>
      <c r="I412" s="3">
        <v>3</v>
      </c>
      <c r="J412" s="4">
        <v>32.03</v>
      </c>
      <c r="K412" s="7">
        <v>303.01</v>
      </c>
      <c r="L412" s="5" t="s">
        <v>23</v>
      </c>
      <c r="M412" s="5" t="s">
        <v>24</v>
      </c>
      <c r="N412" s="3">
        <v>10</v>
      </c>
      <c r="O412" s="3">
        <v>16</v>
      </c>
      <c r="P412" s="5" t="b">
        <v>1</v>
      </c>
      <c r="Q412" s="3">
        <v>11</v>
      </c>
      <c r="R412" s="3">
        <v>5</v>
      </c>
      <c r="T412">
        <f t="shared" si="6"/>
        <v>1</v>
      </c>
    </row>
    <row r="413" spans="1:20">
      <c r="A413" s="5" t="s">
        <v>544</v>
      </c>
      <c r="B413" s="5" t="s">
        <v>545</v>
      </c>
      <c r="C413" s="6">
        <v>45022</v>
      </c>
      <c r="D413" s="5">
        <v>21</v>
      </c>
      <c r="E413" s="5" t="s">
        <v>20</v>
      </c>
      <c r="F413" s="5" t="s">
        <v>32</v>
      </c>
      <c r="G413" s="5" t="s">
        <v>22</v>
      </c>
      <c r="H413" s="7">
        <v>218.37</v>
      </c>
      <c r="I413" s="3">
        <v>1</v>
      </c>
      <c r="J413" s="4">
        <v>25.68</v>
      </c>
      <c r="K413" s="7">
        <v>192.69</v>
      </c>
      <c r="L413" s="5" t="s">
        <v>327</v>
      </c>
      <c r="M413" s="5" t="s">
        <v>33</v>
      </c>
      <c r="N413" s="3">
        <v>13</v>
      </c>
      <c r="O413" s="3">
        <v>10</v>
      </c>
      <c r="P413" s="5" t="b">
        <v>0</v>
      </c>
      <c r="Q413" s="3">
        <v>6</v>
      </c>
      <c r="R413" s="3">
        <v>4</v>
      </c>
      <c r="T413">
        <f t="shared" si="6"/>
        <v>1</v>
      </c>
    </row>
    <row r="414" spans="1:20">
      <c r="A414" s="5" t="s">
        <v>546</v>
      </c>
      <c r="B414" s="5" t="s">
        <v>547</v>
      </c>
      <c r="C414" s="6">
        <v>44962</v>
      </c>
      <c r="D414" s="5">
        <v>18</v>
      </c>
      <c r="E414" s="5" t="s">
        <v>122</v>
      </c>
      <c r="F414" s="5" t="s">
        <v>32</v>
      </c>
      <c r="G414" s="5" t="s">
        <v>64</v>
      </c>
      <c r="H414" s="7">
        <v>1456.73</v>
      </c>
      <c r="I414" s="3">
        <v>1</v>
      </c>
      <c r="J414" s="4">
        <v>0</v>
      </c>
      <c r="K414" s="7">
        <v>1456.73</v>
      </c>
      <c r="L414" s="5" t="s">
        <v>327</v>
      </c>
      <c r="M414" s="5" t="s">
        <v>24</v>
      </c>
      <c r="N414" s="3">
        <v>13</v>
      </c>
      <c r="O414" s="3">
        <v>8</v>
      </c>
      <c r="P414" s="5" t="b">
        <v>1</v>
      </c>
      <c r="Q414" s="3">
        <v>3</v>
      </c>
      <c r="R414" s="3">
        <v>3</v>
      </c>
      <c r="T414">
        <f t="shared" si="6"/>
        <v>1</v>
      </c>
    </row>
    <row r="415" spans="1:20">
      <c r="A415" s="5" t="s">
        <v>548</v>
      </c>
      <c r="B415" s="5" t="s">
        <v>549</v>
      </c>
      <c r="C415" s="6">
        <v>45231</v>
      </c>
      <c r="D415" s="5">
        <v>50</v>
      </c>
      <c r="E415" s="5" t="s">
        <v>20</v>
      </c>
      <c r="F415" s="5" t="s">
        <v>32</v>
      </c>
      <c r="G415" s="5" t="s">
        <v>115</v>
      </c>
      <c r="H415" s="7">
        <v>47.29</v>
      </c>
      <c r="I415" s="3">
        <v>3</v>
      </c>
      <c r="J415" s="4">
        <v>10.89</v>
      </c>
      <c r="K415" s="7">
        <v>130.97999999999999</v>
      </c>
      <c r="L415" s="5" t="s">
        <v>327</v>
      </c>
      <c r="M415" s="5" t="s">
        <v>33</v>
      </c>
      <c r="N415" s="3">
        <v>21</v>
      </c>
      <c r="O415" s="3">
        <v>7</v>
      </c>
      <c r="P415" s="5" t="b">
        <v>0</v>
      </c>
      <c r="Q415" s="3">
        <v>3</v>
      </c>
      <c r="R415" s="3">
        <v>2</v>
      </c>
      <c r="T415">
        <f t="shared" si="6"/>
        <v>1</v>
      </c>
    </row>
    <row r="416" spans="1:20">
      <c r="A416" s="5" t="s">
        <v>995</v>
      </c>
      <c r="B416" s="5" t="s">
        <v>996</v>
      </c>
      <c r="C416" s="6">
        <v>44961</v>
      </c>
      <c r="D416" s="5">
        <v>38</v>
      </c>
      <c r="E416" s="5" t="s">
        <v>20</v>
      </c>
      <c r="F416" s="5" t="s">
        <v>73</v>
      </c>
      <c r="G416" s="5" t="s">
        <v>37</v>
      </c>
      <c r="H416" s="7">
        <v>135.88</v>
      </c>
      <c r="I416" s="3">
        <v>4</v>
      </c>
      <c r="J416" s="4">
        <v>16.14</v>
      </c>
      <c r="K416" s="7">
        <v>527.38</v>
      </c>
      <c r="L416" s="5" t="s">
        <v>692</v>
      </c>
      <c r="M416" s="5" t="s">
        <v>24</v>
      </c>
      <c r="N416" s="3">
        <v>13</v>
      </c>
      <c r="O416" s="3">
        <v>15</v>
      </c>
      <c r="P416" s="5" t="b">
        <v>0</v>
      </c>
      <c r="Q416" s="3">
        <v>7</v>
      </c>
      <c r="R416" s="3">
        <v>4</v>
      </c>
      <c r="T416">
        <f t="shared" si="6"/>
        <v>1</v>
      </c>
    </row>
    <row r="417" spans="1:20">
      <c r="A417" s="5" t="s">
        <v>997</v>
      </c>
      <c r="B417" s="5" t="s">
        <v>998</v>
      </c>
      <c r="C417" s="6">
        <v>45272</v>
      </c>
      <c r="D417" s="5">
        <v>26</v>
      </c>
      <c r="E417" s="5" t="s">
        <v>36</v>
      </c>
      <c r="F417" s="5" t="s">
        <v>88</v>
      </c>
      <c r="G417" s="5" t="s">
        <v>46</v>
      </c>
      <c r="H417" s="7">
        <v>914.56</v>
      </c>
      <c r="I417" s="3">
        <v>3</v>
      </c>
      <c r="J417" s="4">
        <v>163.69999999999999</v>
      </c>
      <c r="K417" s="7">
        <v>2579.98</v>
      </c>
      <c r="L417" s="5" t="s">
        <v>692</v>
      </c>
      <c r="M417" s="5" t="s">
        <v>33</v>
      </c>
      <c r="N417" s="3">
        <v>8</v>
      </c>
      <c r="O417" s="3">
        <v>11</v>
      </c>
      <c r="P417" s="5" t="b">
        <v>1</v>
      </c>
      <c r="Q417" s="3">
        <v>4</v>
      </c>
      <c r="R417" s="3">
        <v>2</v>
      </c>
      <c r="T417">
        <f t="shared" si="6"/>
        <v>1</v>
      </c>
    </row>
    <row r="418" spans="1:20">
      <c r="A418" s="5" t="s">
        <v>550</v>
      </c>
      <c r="B418" s="5" t="s">
        <v>551</v>
      </c>
      <c r="C418" s="6">
        <v>45368</v>
      </c>
      <c r="D418" s="5">
        <v>53</v>
      </c>
      <c r="E418" s="5" t="s">
        <v>20</v>
      </c>
      <c r="F418" s="5" t="s">
        <v>27</v>
      </c>
      <c r="G418" s="5" t="s">
        <v>37</v>
      </c>
      <c r="H418" s="7">
        <v>66.02</v>
      </c>
      <c r="I418" s="3">
        <v>1</v>
      </c>
      <c r="J418" s="4">
        <v>0</v>
      </c>
      <c r="K418" s="7">
        <v>66.02</v>
      </c>
      <c r="L418" s="5" t="s">
        <v>327</v>
      </c>
      <c r="M418" s="5" t="s">
        <v>33</v>
      </c>
      <c r="N418" s="3">
        <v>23</v>
      </c>
      <c r="O418" s="3">
        <v>11</v>
      </c>
      <c r="P418" s="5" t="b">
        <v>1</v>
      </c>
      <c r="Q418" s="3">
        <v>7</v>
      </c>
      <c r="R418" s="3">
        <v>5</v>
      </c>
      <c r="T418">
        <f t="shared" si="6"/>
        <v>1</v>
      </c>
    </row>
    <row r="419" spans="1:20">
      <c r="A419" s="5" t="s">
        <v>999</v>
      </c>
      <c r="B419" s="5" t="s">
        <v>1000</v>
      </c>
      <c r="C419" s="6">
        <v>45047</v>
      </c>
      <c r="D419" s="5">
        <v>36</v>
      </c>
      <c r="E419" s="5" t="s">
        <v>20</v>
      </c>
      <c r="F419" s="5" t="s">
        <v>32</v>
      </c>
      <c r="G419" s="5" t="s">
        <v>46</v>
      </c>
      <c r="H419" s="7">
        <v>440.2</v>
      </c>
      <c r="I419" s="3">
        <v>1</v>
      </c>
      <c r="J419" s="4">
        <v>0</v>
      </c>
      <c r="K419" s="7">
        <v>440.2</v>
      </c>
      <c r="L419" s="5" t="s">
        <v>692</v>
      </c>
      <c r="M419" s="5" t="s">
        <v>24</v>
      </c>
      <c r="N419" s="3">
        <v>7</v>
      </c>
      <c r="O419" s="3">
        <v>7</v>
      </c>
      <c r="P419" s="5" t="b">
        <v>1</v>
      </c>
      <c r="Q419" s="3">
        <v>8</v>
      </c>
      <c r="R419" s="3">
        <v>5</v>
      </c>
      <c r="T419">
        <f t="shared" si="6"/>
        <v>1</v>
      </c>
    </row>
    <row r="420" spans="1:20">
      <c r="A420" s="5" t="s">
        <v>1001</v>
      </c>
      <c r="B420" s="5" t="s">
        <v>1002</v>
      </c>
      <c r="C420" s="6">
        <v>45133</v>
      </c>
      <c r="D420" s="5">
        <v>49</v>
      </c>
      <c r="E420" s="5" t="s">
        <v>20</v>
      </c>
      <c r="F420" s="5" t="s">
        <v>52</v>
      </c>
      <c r="G420" s="5" t="s">
        <v>37</v>
      </c>
      <c r="H420" s="7">
        <v>147.38999999999999</v>
      </c>
      <c r="I420" s="3">
        <v>3</v>
      </c>
      <c r="J420" s="4">
        <v>40.69</v>
      </c>
      <c r="K420" s="7">
        <v>401.48</v>
      </c>
      <c r="L420" s="5" t="s">
        <v>692</v>
      </c>
      <c r="M420" s="5" t="s">
        <v>24</v>
      </c>
      <c r="N420" s="3">
        <v>21</v>
      </c>
      <c r="O420" s="3">
        <v>7</v>
      </c>
      <c r="P420" s="5" t="b">
        <v>0</v>
      </c>
      <c r="Q420" s="3">
        <v>5</v>
      </c>
      <c r="R420" s="3">
        <v>4</v>
      </c>
      <c r="T420">
        <f t="shared" si="6"/>
        <v>1</v>
      </c>
    </row>
    <row r="421" spans="1:20">
      <c r="A421" s="5" t="s">
        <v>552</v>
      </c>
      <c r="B421" s="5" t="s">
        <v>553</v>
      </c>
      <c r="C421" s="6">
        <v>44988</v>
      </c>
      <c r="D421" s="5">
        <v>35</v>
      </c>
      <c r="E421" s="5" t="s">
        <v>20</v>
      </c>
      <c r="F421" s="5" t="s">
        <v>21</v>
      </c>
      <c r="G421" s="5" t="s">
        <v>115</v>
      </c>
      <c r="H421" s="7">
        <v>30.6</v>
      </c>
      <c r="I421" s="3">
        <v>1</v>
      </c>
      <c r="J421" s="4">
        <v>2.2000000000000002</v>
      </c>
      <c r="K421" s="7">
        <v>28.4</v>
      </c>
      <c r="L421" s="5" t="s">
        <v>327</v>
      </c>
      <c r="M421" s="5" t="s">
        <v>33</v>
      </c>
      <c r="N421" s="3">
        <v>7</v>
      </c>
      <c r="O421" s="3">
        <v>6</v>
      </c>
      <c r="P421" s="5" t="b">
        <v>0</v>
      </c>
      <c r="Q421" s="3">
        <v>4</v>
      </c>
      <c r="R421" s="3">
        <v>5</v>
      </c>
      <c r="T421">
        <f t="shared" si="6"/>
        <v>1</v>
      </c>
    </row>
    <row r="422" spans="1:20">
      <c r="A422" s="5" t="s">
        <v>1377</v>
      </c>
      <c r="B422" s="5" t="s">
        <v>1378</v>
      </c>
      <c r="C422" s="6">
        <v>45218</v>
      </c>
      <c r="D422" s="5">
        <v>59</v>
      </c>
      <c r="E422" s="5" t="s">
        <v>36</v>
      </c>
      <c r="F422" s="5" t="s">
        <v>59</v>
      </c>
      <c r="G422" s="5" t="s">
        <v>53</v>
      </c>
      <c r="H422" s="7">
        <v>23.26</v>
      </c>
      <c r="I422" s="3">
        <v>1</v>
      </c>
      <c r="J422" s="4">
        <v>0</v>
      </c>
      <c r="K422" s="7">
        <v>23.26</v>
      </c>
      <c r="L422" s="5" t="s">
        <v>1298</v>
      </c>
      <c r="M422" s="5" t="s">
        <v>33</v>
      </c>
      <c r="N422" s="3">
        <v>45</v>
      </c>
      <c r="O422" s="3">
        <v>8</v>
      </c>
      <c r="P422" s="5" t="b">
        <v>0</v>
      </c>
      <c r="Q422" s="3">
        <v>5</v>
      </c>
      <c r="R422" s="3">
        <v>4</v>
      </c>
      <c r="T422">
        <f t="shared" si="6"/>
        <v>1</v>
      </c>
    </row>
    <row r="423" spans="1:20">
      <c r="A423" s="5" t="s">
        <v>1379</v>
      </c>
      <c r="B423" s="5" t="s">
        <v>1380</v>
      </c>
      <c r="C423" s="6">
        <v>45053</v>
      </c>
      <c r="D423" s="5">
        <v>56</v>
      </c>
      <c r="E423" s="5" t="s">
        <v>36</v>
      </c>
      <c r="F423" s="5" t="s">
        <v>59</v>
      </c>
      <c r="G423" s="5" t="s">
        <v>22</v>
      </c>
      <c r="H423" s="7">
        <v>157.38999999999999</v>
      </c>
      <c r="I423" s="3">
        <v>3</v>
      </c>
      <c r="J423" s="4">
        <v>0</v>
      </c>
      <c r="K423" s="7">
        <v>472.17</v>
      </c>
      <c r="L423" s="5" t="s">
        <v>1298</v>
      </c>
      <c r="M423" s="5" t="s">
        <v>33</v>
      </c>
      <c r="N423" s="3">
        <v>9</v>
      </c>
      <c r="O423" s="3">
        <v>13</v>
      </c>
      <c r="P423" s="5" t="b">
        <v>1</v>
      </c>
      <c r="Q423" s="3">
        <v>11</v>
      </c>
      <c r="R423" s="3">
        <v>5</v>
      </c>
      <c r="T423">
        <f t="shared" si="6"/>
        <v>1</v>
      </c>
    </row>
    <row r="424" spans="1:20">
      <c r="A424" s="5" t="s">
        <v>1003</v>
      </c>
      <c r="B424" s="5" t="s">
        <v>1004</v>
      </c>
      <c r="C424" s="6">
        <v>45223</v>
      </c>
      <c r="D424" s="5">
        <v>32</v>
      </c>
      <c r="E424" s="5" t="s">
        <v>122</v>
      </c>
      <c r="F424" s="5" t="s">
        <v>88</v>
      </c>
      <c r="G424" s="5" t="s">
        <v>64</v>
      </c>
      <c r="H424" s="7">
        <v>2432.27</v>
      </c>
      <c r="I424" s="3">
        <v>1</v>
      </c>
      <c r="J424" s="4">
        <v>301.61</v>
      </c>
      <c r="K424" s="7">
        <v>2130.66</v>
      </c>
      <c r="L424" s="5" t="s">
        <v>692</v>
      </c>
      <c r="M424" s="5" t="s">
        <v>29</v>
      </c>
      <c r="N424" s="3">
        <v>24</v>
      </c>
      <c r="O424" s="3">
        <v>11</v>
      </c>
      <c r="P424" s="5" t="b">
        <v>1</v>
      </c>
      <c r="Q424" s="3">
        <v>3</v>
      </c>
      <c r="R424" s="3">
        <v>1</v>
      </c>
      <c r="T424">
        <f t="shared" si="6"/>
        <v>1</v>
      </c>
    </row>
    <row r="425" spans="1:20">
      <c r="A425" s="5" t="s">
        <v>1005</v>
      </c>
      <c r="B425" s="5" t="s">
        <v>1006</v>
      </c>
      <c r="C425" s="6">
        <v>45231</v>
      </c>
      <c r="D425" s="5">
        <v>46</v>
      </c>
      <c r="E425" s="5" t="s">
        <v>20</v>
      </c>
      <c r="F425" s="5" t="s">
        <v>21</v>
      </c>
      <c r="G425" s="5" t="s">
        <v>28</v>
      </c>
      <c r="H425" s="7">
        <v>71.42</v>
      </c>
      <c r="I425" s="3">
        <v>2</v>
      </c>
      <c r="J425" s="4">
        <v>0</v>
      </c>
      <c r="K425" s="7">
        <v>142.84</v>
      </c>
      <c r="L425" s="5" t="s">
        <v>692</v>
      </c>
      <c r="M425" s="5" t="s">
        <v>29</v>
      </c>
      <c r="N425" s="3">
        <v>5</v>
      </c>
      <c r="O425" s="3">
        <v>4</v>
      </c>
      <c r="P425" s="5" t="b">
        <v>1</v>
      </c>
      <c r="Q425" s="3">
        <v>3</v>
      </c>
      <c r="R425" s="3">
        <v>2</v>
      </c>
      <c r="T425">
        <f t="shared" si="6"/>
        <v>1</v>
      </c>
    </row>
    <row r="426" spans="1:20">
      <c r="A426" s="5" t="s">
        <v>554</v>
      </c>
      <c r="B426" s="5" t="s">
        <v>555</v>
      </c>
      <c r="C426" s="6">
        <v>44947</v>
      </c>
      <c r="D426" s="5">
        <v>42</v>
      </c>
      <c r="E426" s="5" t="s">
        <v>20</v>
      </c>
      <c r="F426" s="5" t="s">
        <v>49</v>
      </c>
      <c r="G426" s="5" t="s">
        <v>53</v>
      </c>
      <c r="H426" s="7">
        <v>36.1</v>
      </c>
      <c r="I426" s="3">
        <v>3</v>
      </c>
      <c r="J426" s="4">
        <v>5.01</v>
      </c>
      <c r="K426" s="7">
        <v>103.29</v>
      </c>
      <c r="L426" s="5" t="s">
        <v>327</v>
      </c>
      <c r="M426" s="5" t="s">
        <v>29</v>
      </c>
      <c r="N426" s="3">
        <v>52</v>
      </c>
      <c r="O426" s="3">
        <v>7</v>
      </c>
      <c r="P426" s="5" t="b">
        <v>1</v>
      </c>
      <c r="Q426" s="3">
        <v>4</v>
      </c>
      <c r="R426" s="3">
        <v>4</v>
      </c>
      <c r="T426">
        <f t="shared" si="6"/>
        <v>1</v>
      </c>
    </row>
    <row r="427" spans="1:20">
      <c r="A427" s="5" t="s">
        <v>223</v>
      </c>
      <c r="B427" s="5" t="s">
        <v>224</v>
      </c>
      <c r="C427" s="6">
        <v>45244</v>
      </c>
      <c r="D427" s="5">
        <v>51</v>
      </c>
      <c r="E427" s="5" t="s">
        <v>20</v>
      </c>
      <c r="F427" s="5" t="s">
        <v>32</v>
      </c>
      <c r="G427" s="5" t="s">
        <v>22</v>
      </c>
      <c r="H427" s="7">
        <v>241.12</v>
      </c>
      <c r="I427" s="3">
        <v>1</v>
      </c>
      <c r="J427" s="4">
        <v>15.58</v>
      </c>
      <c r="K427" s="7">
        <v>225.54</v>
      </c>
      <c r="L427" s="5" t="s">
        <v>23</v>
      </c>
      <c r="M427" s="5" t="s">
        <v>33</v>
      </c>
      <c r="N427" s="3">
        <v>10</v>
      </c>
      <c r="O427" s="3">
        <v>15</v>
      </c>
      <c r="P427" s="5" t="b">
        <v>1</v>
      </c>
      <c r="Q427" s="3">
        <v>11</v>
      </c>
      <c r="R427" s="3">
        <v>4</v>
      </c>
      <c r="T427">
        <f t="shared" si="6"/>
        <v>1</v>
      </c>
    </row>
    <row r="428" spans="1:20">
      <c r="A428" s="5" t="s">
        <v>1270</v>
      </c>
      <c r="B428" s="5" t="s">
        <v>1271</v>
      </c>
      <c r="C428" s="6">
        <v>44968</v>
      </c>
      <c r="D428" s="5">
        <v>23</v>
      </c>
      <c r="E428" s="5" t="s">
        <v>20</v>
      </c>
      <c r="F428" s="5" t="s">
        <v>73</v>
      </c>
      <c r="G428" s="5" t="s">
        <v>64</v>
      </c>
      <c r="H428" s="7">
        <v>1635.67</v>
      </c>
      <c r="I428" s="3">
        <v>4</v>
      </c>
      <c r="J428" s="4">
        <v>178.7</v>
      </c>
      <c r="K428" s="7">
        <v>6363.98</v>
      </c>
      <c r="L428" s="5" t="s">
        <v>1231</v>
      </c>
      <c r="M428" s="5" t="s">
        <v>24</v>
      </c>
      <c r="N428" s="3">
        <v>7</v>
      </c>
      <c r="O428" s="3">
        <v>9</v>
      </c>
      <c r="P428" s="5" t="b">
        <v>0</v>
      </c>
      <c r="Q428" s="3">
        <v>11</v>
      </c>
      <c r="R428" s="3">
        <v>1</v>
      </c>
      <c r="T428">
        <f t="shared" si="6"/>
        <v>1</v>
      </c>
    </row>
    <row r="429" spans="1:20">
      <c r="A429" s="5" t="s">
        <v>1381</v>
      </c>
      <c r="B429" s="5" t="s">
        <v>1382</v>
      </c>
      <c r="C429" s="6">
        <v>45141</v>
      </c>
      <c r="D429" s="5">
        <v>43</v>
      </c>
      <c r="E429" s="5" t="s">
        <v>20</v>
      </c>
      <c r="F429" s="5" t="s">
        <v>32</v>
      </c>
      <c r="G429" s="5" t="s">
        <v>37</v>
      </c>
      <c r="H429" s="7">
        <v>87.59</v>
      </c>
      <c r="I429" s="3">
        <v>1</v>
      </c>
      <c r="J429" s="4">
        <v>5.76</v>
      </c>
      <c r="K429" s="7">
        <v>81.83</v>
      </c>
      <c r="L429" s="5" t="s">
        <v>1298</v>
      </c>
      <c r="M429" s="5" t="s">
        <v>29</v>
      </c>
      <c r="N429" s="3">
        <v>16</v>
      </c>
      <c r="O429" s="3">
        <v>4</v>
      </c>
      <c r="P429" s="5" t="b">
        <v>0</v>
      </c>
      <c r="Q429" s="3">
        <v>8</v>
      </c>
      <c r="R429" s="3">
        <v>4</v>
      </c>
      <c r="T429">
        <f t="shared" si="6"/>
        <v>1</v>
      </c>
    </row>
    <row r="430" spans="1:20">
      <c r="A430" s="5" t="s">
        <v>225</v>
      </c>
      <c r="B430" s="5" t="s">
        <v>226</v>
      </c>
      <c r="C430" s="6">
        <v>45263</v>
      </c>
      <c r="D430" s="5">
        <v>47</v>
      </c>
      <c r="E430" s="5" t="s">
        <v>36</v>
      </c>
      <c r="F430" s="5" t="s">
        <v>21</v>
      </c>
      <c r="G430" s="5" t="s">
        <v>115</v>
      </c>
      <c r="H430" s="7">
        <v>61.23</v>
      </c>
      <c r="I430" s="3">
        <v>1</v>
      </c>
      <c r="J430" s="4">
        <v>7.57</v>
      </c>
      <c r="K430" s="7">
        <v>53.66</v>
      </c>
      <c r="L430" s="5" t="s">
        <v>23</v>
      </c>
      <c r="M430" s="5" t="s">
        <v>24</v>
      </c>
      <c r="N430" s="3">
        <v>17</v>
      </c>
      <c r="O430" s="3">
        <v>11</v>
      </c>
      <c r="P430" s="5" t="b">
        <v>0</v>
      </c>
      <c r="Q430" s="3">
        <v>10</v>
      </c>
      <c r="R430" s="3">
        <v>4</v>
      </c>
      <c r="T430">
        <f t="shared" si="6"/>
        <v>1</v>
      </c>
    </row>
    <row r="431" spans="1:20">
      <c r="A431" s="5" t="s">
        <v>1007</v>
      </c>
      <c r="B431" s="5" t="s">
        <v>1008</v>
      </c>
      <c r="C431" s="6">
        <v>45225</v>
      </c>
      <c r="D431" s="5">
        <v>18</v>
      </c>
      <c r="E431" s="5" t="s">
        <v>36</v>
      </c>
      <c r="F431" s="5" t="s">
        <v>49</v>
      </c>
      <c r="G431" s="5" t="s">
        <v>28</v>
      </c>
      <c r="H431" s="7">
        <v>45.25</v>
      </c>
      <c r="I431" s="3">
        <v>1</v>
      </c>
      <c r="J431" s="4">
        <v>0</v>
      </c>
      <c r="K431" s="7">
        <v>45.25</v>
      </c>
      <c r="L431" s="5" t="s">
        <v>692</v>
      </c>
      <c r="M431" s="5" t="s">
        <v>33</v>
      </c>
      <c r="N431" s="3">
        <v>14</v>
      </c>
      <c r="O431" s="3">
        <v>11</v>
      </c>
      <c r="P431" s="5" t="b">
        <v>1</v>
      </c>
      <c r="Q431" s="3">
        <v>4</v>
      </c>
      <c r="R431" s="3">
        <v>5</v>
      </c>
      <c r="T431">
        <f t="shared" si="6"/>
        <v>1</v>
      </c>
    </row>
    <row r="432" spans="1:20">
      <c r="A432" s="5" t="s">
        <v>1009</v>
      </c>
      <c r="B432" s="5" t="s">
        <v>1010</v>
      </c>
      <c r="C432" s="6">
        <v>45216</v>
      </c>
      <c r="D432" s="5">
        <v>20</v>
      </c>
      <c r="E432" s="5" t="s">
        <v>36</v>
      </c>
      <c r="F432" s="5" t="s">
        <v>52</v>
      </c>
      <c r="G432" s="5" t="s">
        <v>64</v>
      </c>
      <c r="H432" s="7">
        <v>892.29</v>
      </c>
      <c r="I432" s="3">
        <v>4</v>
      </c>
      <c r="J432" s="4">
        <v>0</v>
      </c>
      <c r="K432" s="7">
        <v>3569.16</v>
      </c>
      <c r="L432" s="5" t="s">
        <v>692</v>
      </c>
      <c r="M432" s="5" t="s">
        <v>33</v>
      </c>
      <c r="N432" s="3">
        <v>9</v>
      </c>
      <c r="O432" s="3">
        <v>5</v>
      </c>
      <c r="P432" s="5" t="b">
        <v>1</v>
      </c>
      <c r="Q432" s="3">
        <v>3</v>
      </c>
      <c r="R432" s="3">
        <v>4</v>
      </c>
      <c r="T432">
        <f t="shared" si="6"/>
        <v>1</v>
      </c>
    </row>
    <row r="433" spans="1:20">
      <c r="A433" s="5" t="s">
        <v>1011</v>
      </c>
      <c r="B433" s="5" t="s">
        <v>1012</v>
      </c>
      <c r="C433" s="6">
        <v>45194</v>
      </c>
      <c r="D433" s="5">
        <v>18</v>
      </c>
      <c r="E433" s="5" t="s">
        <v>20</v>
      </c>
      <c r="F433" s="5" t="s">
        <v>32</v>
      </c>
      <c r="G433" s="5" t="s">
        <v>56</v>
      </c>
      <c r="H433" s="7">
        <v>1028.79</v>
      </c>
      <c r="I433" s="3">
        <v>1</v>
      </c>
      <c r="J433" s="4">
        <v>0</v>
      </c>
      <c r="K433" s="7">
        <v>1028.79</v>
      </c>
      <c r="L433" s="5" t="s">
        <v>692</v>
      </c>
      <c r="M433" s="5" t="s">
        <v>29</v>
      </c>
      <c r="N433" s="3">
        <v>10</v>
      </c>
      <c r="O433" s="3">
        <v>6</v>
      </c>
      <c r="P433" s="5" t="b">
        <v>1</v>
      </c>
      <c r="Q433" s="3">
        <v>6</v>
      </c>
      <c r="R433" s="3">
        <v>4</v>
      </c>
      <c r="T433">
        <f t="shared" si="6"/>
        <v>1</v>
      </c>
    </row>
    <row r="434" spans="1:20">
      <c r="A434" s="5" t="s">
        <v>556</v>
      </c>
      <c r="B434" s="5" t="s">
        <v>557</v>
      </c>
      <c r="C434" s="6">
        <v>45088</v>
      </c>
      <c r="D434" s="5">
        <v>31</v>
      </c>
      <c r="E434" s="5" t="s">
        <v>36</v>
      </c>
      <c r="F434" s="5" t="s">
        <v>32</v>
      </c>
      <c r="G434" s="5" t="s">
        <v>64</v>
      </c>
      <c r="H434" s="7">
        <v>836.04</v>
      </c>
      <c r="I434" s="3">
        <v>5</v>
      </c>
      <c r="J434" s="4">
        <v>0</v>
      </c>
      <c r="K434" s="7">
        <v>4180.2</v>
      </c>
      <c r="L434" s="5" t="s">
        <v>327</v>
      </c>
      <c r="M434" s="5" t="s">
        <v>24</v>
      </c>
      <c r="N434" s="3">
        <v>8</v>
      </c>
      <c r="O434" s="3">
        <v>10</v>
      </c>
      <c r="P434" s="5" t="b">
        <v>0</v>
      </c>
      <c r="Q434" s="3">
        <v>8</v>
      </c>
      <c r="R434" s="3">
        <v>5</v>
      </c>
      <c r="T434">
        <f t="shared" si="6"/>
        <v>1</v>
      </c>
    </row>
    <row r="435" spans="1:20">
      <c r="A435" s="5" t="s">
        <v>1013</v>
      </c>
      <c r="B435" s="5" t="s">
        <v>1014</v>
      </c>
      <c r="C435" s="6">
        <v>45060</v>
      </c>
      <c r="D435" s="5">
        <v>43</v>
      </c>
      <c r="E435" s="5" t="s">
        <v>20</v>
      </c>
      <c r="F435" s="5" t="s">
        <v>32</v>
      </c>
      <c r="G435" s="5" t="s">
        <v>22</v>
      </c>
      <c r="H435" s="7">
        <v>275.02999999999997</v>
      </c>
      <c r="I435" s="3">
        <v>2</v>
      </c>
      <c r="J435" s="4">
        <v>0</v>
      </c>
      <c r="K435" s="7">
        <v>550.05999999999995</v>
      </c>
      <c r="L435" s="5" t="s">
        <v>692</v>
      </c>
      <c r="M435" s="5" t="s">
        <v>33</v>
      </c>
      <c r="N435" s="3">
        <v>16</v>
      </c>
      <c r="O435" s="3">
        <v>12</v>
      </c>
      <c r="P435" s="5" t="b">
        <v>1</v>
      </c>
      <c r="Q435" s="3">
        <v>12</v>
      </c>
      <c r="R435" s="3">
        <v>5</v>
      </c>
      <c r="T435">
        <f t="shared" si="6"/>
        <v>1</v>
      </c>
    </row>
    <row r="436" spans="1:20">
      <c r="A436" s="5" t="s">
        <v>227</v>
      </c>
      <c r="B436" s="5" t="s">
        <v>228</v>
      </c>
      <c r="C436" s="6">
        <v>45031</v>
      </c>
      <c r="D436" s="5">
        <v>53</v>
      </c>
      <c r="E436" s="5" t="s">
        <v>20</v>
      </c>
      <c r="F436" s="5" t="s">
        <v>32</v>
      </c>
      <c r="G436" s="5" t="s">
        <v>53</v>
      </c>
      <c r="H436" s="7">
        <v>52.51</v>
      </c>
      <c r="I436" s="3">
        <v>1</v>
      </c>
      <c r="J436" s="4">
        <v>2.99</v>
      </c>
      <c r="K436" s="7">
        <v>49.52</v>
      </c>
      <c r="L436" s="5" t="s">
        <v>23</v>
      </c>
      <c r="M436" s="5" t="s">
        <v>33</v>
      </c>
      <c r="N436" s="3">
        <v>9</v>
      </c>
      <c r="O436" s="3">
        <v>10</v>
      </c>
      <c r="P436" s="5" t="b">
        <v>1</v>
      </c>
      <c r="Q436" s="3">
        <v>2</v>
      </c>
      <c r="R436" s="3">
        <v>4</v>
      </c>
      <c r="T436">
        <f t="shared" si="6"/>
        <v>1</v>
      </c>
    </row>
    <row r="437" spans="1:20">
      <c r="A437" s="5" t="s">
        <v>229</v>
      </c>
      <c r="B437" s="5" t="s">
        <v>230</v>
      </c>
      <c r="C437" s="6">
        <v>45269</v>
      </c>
      <c r="D437" s="5">
        <v>35</v>
      </c>
      <c r="E437" s="5" t="s">
        <v>36</v>
      </c>
      <c r="F437" s="5" t="s">
        <v>32</v>
      </c>
      <c r="G437" s="5" t="s">
        <v>28</v>
      </c>
      <c r="H437" s="7">
        <v>240.93</v>
      </c>
      <c r="I437" s="3">
        <v>2</v>
      </c>
      <c r="J437" s="4">
        <v>14.37</v>
      </c>
      <c r="K437" s="7">
        <v>467.49</v>
      </c>
      <c r="L437" s="5" t="s">
        <v>23</v>
      </c>
      <c r="M437" s="5" t="s">
        <v>29</v>
      </c>
      <c r="N437" s="3">
        <v>23</v>
      </c>
      <c r="O437" s="3">
        <v>9</v>
      </c>
      <c r="P437" s="5" t="b">
        <v>0</v>
      </c>
      <c r="Q437" s="3">
        <v>6</v>
      </c>
      <c r="R437" s="3">
        <v>4</v>
      </c>
      <c r="T437">
        <f t="shared" si="6"/>
        <v>1</v>
      </c>
    </row>
    <row r="438" spans="1:20">
      <c r="A438" s="5" t="s">
        <v>1015</v>
      </c>
      <c r="B438" s="5" t="s">
        <v>1016</v>
      </c>
      <c r="C438" s="6">
        <v>45293</v>
      </c>
      <c r="D438" s="5">
        <v>54</v>
      </c>
      <c r="E438" s="5" t="s">
        <v>36</v>
      </c>
      <c r="F438" s="5" t="s">
        <v>32</v>
      </c>
      <c r="G438" s="5" t="s">
        <v>53</v>
      </c>
      <c r="H438" s="7">
        <v>82.82</v>
      </c>
      <c r="I438" s="3">
        <v>2</v>
      </c>
      <c r="J438" s="4">
        <v>0</v>
      </c>
      <c r="K438" s="7">
        <v>165.64</v>
      </c>
      <c r="L438" s="5" t="s">
        <v>692</v>
      </c>
      <c r="M438" s="5" t="s">
        <v>24</v>
      </c>
      <c r="N438" s="3">
        <v>19</v>
      </c>
      <c r="O438" s="3">
        <v>10</v>
      </c>
      <c r="P438" s="5" t="b">
        <v>1</v>
      </c>
      <c r="Q438" s="3">
        <v>4</v>
      </c>
      <c r="R438" s="3">
        <v>5</v>
      </c>
      <c r="T438">
        <f t="shared" si="6"/>
        <v>1</v>
      </c>
    </row>
    <row r="439" spans="1:20">
      <c r="A439" s="5" t="s">
        <v>1383</v>
      </c>
      <c r="B439" s="5" t="s">
        <v>1384</v>
      </c>
      <c r="C439" s="6">
        <v>45087</v>
      </c>
      <c r="D439" s="5">
        <v>18</v>
      </c>
      <c r="E439" s="5" t="s">
        <v>20</v>
      </c>
      <c r="F439" s="5" t="s">
        <v>32</v>
      </c>
      <c r="G439" s="5" t="s">
        <v>28</v>
      </c>
      <c r="H439" s="7">
        <v>314.82</v>
      </c>
      <c r="I439" s="3">
        <v>5</v>
      </c>
      <c r="J439" s="4">
        <v>34.229999999999997</v>
      </c>
      <c r="K439" s="7">
        <v>1539.87</v>
      </c>
      <c r="L439" s="5" t="s">
        <v>1298</v>
      </c>
      <c r="M439" s="5" t="s">
        <v>33</v>
      </c>
      <c r="N439" s="3">
        <v>18</v>
      </c>
      <c r="O439" s="3">
        <v>12</v>
      </c>
      <c r="P439" s="5" t="b">
        <v>1</v>
      </c>
      <c r="Q439" s="3">
        <v>1</v>
      </c>
      <c r="R439" s="3">
        <v>3</v>
      </c>
      <c r="T439">
        <f t="shared" si="6"/>
        <v>1</v>
      </c>
    </row>
    <row r="440" spans="1:20">
      <c r="A440" s="5" t="s">
        <v>558</v>
      </c>
      <c r="B440" s="5" t="s">
        <v>559</v>
      </c>
      <c r="C440" s="6">
        <v>45049</v>
      </c>
      <c r="D440" s="5">
        <v>18</v>
      </c>
      <c r="E440" s="5" t="s">
        <v>20</v>
      </c>
      <c r="F440" s="5" t="s">
        <v>83</v>
      </c>
      <c r="G440" s="5" t="s">
        <v>56</v>
      </c>
      <c r="H440" s="7">
        <v>1513.47</v>
      </c>
      <c r="I440" s="3">
        <v>1</v>
      </c>
      <c r="J440" s="4">
        <v>0</v>
      </c>
      <c r="K440" s="7">
        <v>1513.47</v>
      </c>
      <c r="L440" s="5" t="s">
        <v>327</v>
      </c>
      <c r="M440" s="5" t="s">
        <v>33</v>
      </c>
      <c r="N440" s="3">
        <v>8</v>
      </c>
      <c r="O440" s="3">
        <v>9</v>
      </c>
      <c r="P440" s="5" t="b">
        <v>1</v>
      </c>
      <c r="Q440" s="3">
        <v>6</v>
      </c>
      <c r="R440" s="3">
        <v>2</v>
      </c>
      <c r="T440">
        <f t="shared" si="6"/>
        <v>1</v>
      </c>
    </row>
    <row r="441" spans="1:20">
      <c r="A441" s="5" t="s">
        <v>1385</v>
      </c>
      <c r="B441" s="5" t="s">
        <v>1386</v>
      </c>
      <c r="C441" s="6">
        <v>45062</v>
      </c>
      <c r="D441" s="5">
        <v>34</v>
      </c>
      <c r="E441" s="5" t="s">
        <v>20</v>
      </c>
      <c r="F441" s="5" t="s">
        <v>52</v>
      </c>
      <c r="G441" s="5" t="s">
        <v>22</v>
      </c>
      <c r="H441" s="7">
        <v>118.91</v>
      </c>
      <c r="I441" s="3">
        <v>4</v>
      </c>
      <c r="J441" s="4">
        <v>0</v>
      </c>
      <c r="K441" s="7">
        <v>475.64</v>
      </c>
      <c r="L441" s="5" t="s">
        <v>1298</v>
      </c>
      <c r="M441" s="5" t="s">
        <v>33</v>
      </c>
      <c r="N441" s="3">
        <v>6</v>
      </c>
      <c r="O441" s="3">
        <v>12</v>
      </c>
      <c r="P441" s="5" t="b">
        <v>1</v>
      </c>
      <c r="Q441" s="3">
        <v>8</v>
      </c>
      <c r="R441" s="3">
        <v>4</v>
      </c>
      <c r="T441">
        <f t="shared" si="6"/>
        <v>1</v>
      </c>
    </row>
    <row r="442" spans="1:20">
      <c r="A442" s="5" t="s">
        <v>1387</v>
      </c>
      <c r="B442" s="5" t="s">
        <v>1388</v>
      </c>
      <c r="C442" s="6">
        <v>45129</v>
      </c>
      <c r="D442" s="5">
        <v>39</v>
      </c>
      <c r="E442" s="5" t="s">
        <v>36</v>
      </c>
      <c r="F442" s="5" t="s">
        <v>32</v>
      </c>
      <c r="G442" s="5" t="s">
        <v>115</v>
      </c>
      <c r="H442" s="7">
        <v>11.65</v>
      </c>
      <c r="I442" s="3">
        <v>1</v>
      </c>
      <c r="J442" s="4">
        <v>0</v>
      </c>
      <c r="K442" s="7">
        <v>11.65</v>
      </c>
      <c r="L442" s="5" t="s">
        <v>1298</v>
      </c>
      <c r="M442" s="5" t="s">
        <v>24</v>
      </c>
      <c r="N442" s="3">
        <v>18</v>
      </c>
      <c r="O442" s="3">
        <v>10</v>
      </c>
      <c r="P442" s="5" t="b">
        <v>1</v>
      </c>
      <c r="Q442" s="3">
        <v>5</v>
      </c>
      <c r="R442" s="3">
        <v>5</v>
      </c>
      <c r="T442">
        <f t="shared" si="6"/>
        <v>1</v>
      </c>
    </row>
    <row r="443" spans="1:20">
      <c r="A443" s="5" t="s">
        <v>1017</v>
      </c>
      <c r="B443" s="5" t="s">
        <v>1018</v>
      </c>
      <c r="C443" s="6">
        <v>44994</v>
      </c>
      <c r="D443" s="5">
        <v>34</v>
      </c>
      <c r="E443" s="5" t="s">
        <v>20</v>
      </c>
      <c r="F443" s="5" t="s">
        <v>73</v>
      </c>
      <c r="G443" s="5" t="s">
        <v>115</v>
      </c>
      <c r="H443" s="7">
        <v>45.6</v>
      </c>
      <c r="I443" s="3">
        <v>2</v>
      </c>
      <c r="J443" s="4">
        <v>6.6</v>
      </c>
      <c r="K443" s="7">
        <v>84.6</v>
      </c>
      <c r="L443" s="5" t="s">
        <v>692</v>
      </c>
      <c r="M443" s="5" t="s">
        <v>33</v>
      </c>
      <c r="N443" s="3">
        <v>15</v>
      </c>
      <c r="O443" s="3">
        <v>5</v>
      </c>
      <c r="P443" s="5" t="b">
        <v>0</v>
      </c>
      <c r="Q443" s="3">
        <v>5</v>
      </c>
      <c r="R443" s="3">
        <v>3</v>
      </c>
      <c r="T443">
        <f t="shared" si="6"/>
        <v>1</v>
      </c>
    </row>
    <row r="444" spans="1:20">
      <c r="A444" s="5" t="s">
        <v>1019</v>
      </c>
      <c r="B444" s="5" t="s">
        <v>1020</v>
      </c>
      <c r="C444" s="6">
        <v>45270</v>
      </c>
      <c r="D444" s="5">
        <v>18</v>
      </c>
      <c r="E444" s="5" t="s">
        <v>122</v>
      </c>
      <c r="F444" s="5" t="s">
        <v>88</v>
      </c>
      <c r="G444" s="5" t="s">
        <v>64</v>
      </c>
      <c r="H444" s="7">
        <v>635.69000000000005</v>
      </c>
      <c r="I444" s="3">
        <v>2</v>
      </c>
      <c r="J444" s="4">
        <v>0</v>
      </c>
      <c r="K444" s="7">
        <v>1271.3800000000001</v>
      </c>
      <c r="L444" s="5" t="s">
        <v>692</v>
      </c>
      <c r="M444" s="5" t="s">
        <v>24</v>
      </c>
      <c r="N444" s="3">
        <v>17</v>
      </c>
      <c r="O444" s="3">
        <v>6</v>
      </c>
      <c r="P444" s="5" t="b">
        <v>1</v>
      </c>
      <c r="Q444" s="3">
        <v>5</v>
      </c>
      <c r="R444" s="3">
        <v>3</v>
      </c>
      <c r="T444">
        <f t="shared" si="6"/>
        <v>1</v>
      </c>
    </row>
    <row r="445" spans="1:20">
      <c r="A445" s="5" t="s">
        <v>1021</v>
      </c>
      <c r="B445" s="5" t="s">
        <v>1022</v>
      </c>
      <c r="C445" s="6">
        <v>45257</v>
      </c>
      <c r="D445" s="5">
        <v>33</v>
      </c>
      <c r="E445" s="5" t="s">
        <v>20</v>
      </c>
      <c r="F445" s="5" t="s">
        <v>49</v>
      </c>
      <c r="G445" s="5" t="s">
        <v>56</v>
      </c>
      <c r="H445" s="7">
        <v>311.36</v>
      </c>
      <c r="I445" s="3">
        <v>1</v>
      </c>
      <c r="J445" s="4">
        <v>46.57</v>
      </c>
      <c r="K445" s="7">
        <v>264.79000000000002</v>
      </c>
      <c r="L445" s="5" t="s">
        <v>692</v>
      </c>
      <c r="M445" s="5" t="s">
        <v>33</v>
      </c>
      <c r="N445" s="3">
        <v>10</v>
      </c>
      <c r="O445" s="3">
        <v>11</v>
      </c>
      <c r="P445" s="5" t="b">
        <v>1</v>
      </c>
      <c r="Q445" s="3">
        <v>2</v>
      </c>
      <c r="R445" s="3">
        <v>3</v>
      </c>
      <c r="T445">
        <f t="shared" si="6"/>
        <v>1</v>
      </c>
    </row>
    <row r="446" spans="1:20">
      <c r="A446" s="5" t="s">
        <v>231</v>
      </c>
      <c r="B446" s="5" t="s">
        <v>232</v>
      </c>
      <c r="C446" s="6">
        <v>45080</v>
      </c>
      <c r="D446" s="5">
        <v>19</v>
      </c>
      <c r="E446" s="5" t="s">
        <v>20</v>
      </c>
      <c r="F446" s="5" t="s">
        <v>52</v>
      </c>
      <c r="G446" s="5" t="s">
        <v>37</v>
      </c>
      <c r="H446" s="7">
        <v>132.38999999999999</v>
      </c>
      <c r="I446" s="3">
        <v>1</v>
      </c>
      <c r="J446" s="4">
        <v>0</v>
      </c>
      <c r="K446" s="7">
        <v>132.38999999999999</v>
      </c>
      <c r="L446" s="5" t="s">
        <v>23</v>
      </c>
      <c r="M446" s="5" t="s">
        <v>33</v>
      </c>
      <c r="N446" s="3">
        <v>9</v>
      </c>
      <c r="O446" s="3">
        <v>11</v>
      </c>
      <c r="P446" s="5" t="b">
        <v>0</v>
      </c>
      <c r="Q446" s="3">
        <v>5</v>
      </c>
      <c r="R446" s="3">
        <v>5</v>
      </c>
      <c r="T446">
        <f t="shared" si="6"/>
        <v>1</v>
      </c>
    </row>
    <row r="447" spans="1:20">
      <c r="A447" s="5" t="s">
        <v>560</v>
      </c>
      <c r="B447" s="5" t="s">
        <v>561</v>
      </c>
      <c r="C447" s="6">
        <v>45161</v>
      </c>
      <c r="D447" s="5">
        <v>43</v>
      </c>
      <c r="E447" s="5" t="s">
        <v>36</v>
      </c>
      <c r="F447" s="5" t="s">
        <v>73</v>
      </c>
      <c r="G447" s="5" t="s">
        <v>46</v>
      </c>
      <c r="H447" s="7">
        <v>905.87</v>
      </c>
      <c r="I447" s="3">
        <v>4</v>
      </c>
      <c r="J447" s="4">
        <v>0</v>
      </c>
      <c r="K447" s="7">
        <v>3623.48</v>
      </c>
      <c r="L447" s="5" t="s">
        <v>327</v>
      </c>
      <c r="M447" s="5" t="s">
        <v>24</v>
      </c>
      <c r="N447" s="3">
        <v>19</v>
      </c>
      <c r="O447" s="3">
        <v>10</v>
      </c>
      <c r="P447" s="5" t="b">
        <v>1</v>
      </c>
      <c r="Q447" s="3">
        <v>2</v>
      </c>
      <c r="R447" s="3">
        <v>4</v>
      </c>
      <c r="T447">
        <f t="shared" si="6"/>
        <v>1</v>
      </c>
    </row>
    <row r="448" spans="1:20">
      <c r="A448" s="5" t="s">
        <v>1389</v>
      </c>
      <c r="B448" s="5" t="s">
        <v>1390</v>
      </c>
      <c r="C448" s="6">
        <v>45088</v>
      </c>
      <c r="D448" s="5">
        <v>39</v>
      </c>
      <c r="E448" s="5" t="s">
        <v>36</v>
      </c>
      <c r="F448" s="5" t="s">
        <v>27</v>
      </c>
      <c r="G448" s="5" t="s">
        <v>37</v>
      </c>
      <c r="H448" s="7">
        <v>110.03</v>
      </c>
      <c r="I448" s="3">
        <v>1</v>
      </c>
      <c r="J448" s="4">
        <v>0</v>
      </c>
      <c r="K448" s="7">
        <v>110.03</v>
      </c>
      <c r="L448" s="5" t="s">
        <v>1298</v>
      </c>
      <c r="M448" s="5" t="s">
        <v>33</v>
      </c>
      <c r="N448" s="3">
        <v>8</v>
      </c>
      <c r="O448" s="3">
        <v>13</v>
      </c>
      <c r="P448" s="5" t="b">
        <v>1</v>
      </c>
      <c r="Q448" s="3">
        <v>8</v>
      </c>
      <c r="R448" s="3">
        <v>5</v>
      </c>
      <c r="T448">
        <f t="shared" si="6"/>
        <v>1</v>
      </c>
    </row>
    <row r="449" spans="1:20">
      <c r="A449" s="5" t="s">
        <v>1023</v>
      </c>
      <c r="B449" s="5" t="s">
        <v>1024</v>
      </c>
      <c r="C449" s="6">
        <v>45311</v>
      </c>
      <c r="D449" s="5">
        <v>23</v>
      </c>
      <c r="E449" s="5" t="s">
        <v>20</v>
      </c>
      <c r="F449" s="5" t="s">
        <v>27</v>
      </c>
      <c r="G449" s="5" t="s">
        <v>22</v>
      </c>
      <c r="H449" s="7">
        <v>148.35</v>
      </c>
      <c r="I449" s="3">
        <v>4</v>
      </c>
      <c r="J449" s="4">
        <v>0</v>
      </c>
      <c r="K449" s="7">
        <v>593.4</v>
      </c>
      <c r="L449" s="5" t="s">
        <v>692</v>
      </c>
      <c r="M449" s="5" t="s">
        <v>33</v>
      </c>
      <c r="N449" s="3">
        <v>21</v>
      </c>
      <c r="O449" s="3">
        <v>10</v>
      </c>
      <c r="P449" s="5" t="b">
        <v>0</v>
      </c>
      <c r="Q449" s="3">
        <v>4</v>
      </c>
      <c r="R449" s="3">
        <v>4</v>
      </c>
      <c r="T449">
        <f t="shared" si="6"/>
        <v>1</v>
      </c>
    </row>
    <row r="450" spans="1:20">
      <c r="A450" s="5" t="s">
        <v>233</v>
      </c>
      <c r="B450" s="5" t="s">
        <v>234</v>
      </c>
      <c r="C450" s="6">
        <v>44964</v>
      </c>
      <c r="D450" s="5">
        <v>28</v>
      </c>
      <c r="E450" s="5" t="s">
        <v>36</v>
      </c>
      <c r="F450" s="5" t="s">
        <v>49</v>
      </c>
      <c r="G450" s="5" t="s">
        <v>56</v>
      </c>
      <c r="H450" s="7">
        <v>711.42</v>
      </c>
      <c r="I450" s="3">
        <v>3</v>
      </c>
      <c r="J450" s="4">
        <v>0</v>
      </c>
      <c r="K450" s="7">
        <v>2134.2600000000002</v>
      </c>
      <c r="L450" s="5" t="s">
        <v>23</v>
      </c>
      <c r="M450" s="5" t="s">
        <v>33</v>
      </c>
      <c r="N450" s="3">
        <v>16</v>
      </c>
      <c r="O450" s="3">
        <v>9</v>
      </c>
      <c r="P450" s="5" t="b">
        <v>0</v>
      </c>
      <c r="Q450" s="3">
        <v>11</v>
      </c>
      <c r="R450" s="3">
        <v>5</v>
      </c>
      <c r="T450">
        <f t="shared" si="6"/>
        <v>1</v>
      </c>
    </row>
    <row r="451" spans="1:20">
      <c r="A451" s="5" t="s">
        <v>1272</v>
      </c>
      <c r="B451" s="5" t="s">
        <v>1273</v>
      </c>
      <c r="C451" s="6">
        <v>44931</v>
      </c>
      <c r="D451" s="5">
        <v>22</v>
      </c>
      <c r="E451" s="5" t="s">
        <v>36</v>
      </c>
      <c r="F451" s="5" t="s">
        <v>88</v>
      </c>
      <c r="G451" s="5" t="s">
        <v>53</v>
      </c>
      <c r="H451" s="7">
        <v>77.599999999999994</v>
      </c>
      <c r="I451" s="3">
        <v>1</v>
      </c>
      <c r="J451" s="4">
        <v>10.69</v>
      </c>
      <c r="K451" s="7">
        <v>66.91</v>
      </c>
      <c r="L451" s="5" t="s">
        <v>1231</v>
      </c>
      <c r="M451" s="5" t="s">
        <v>33</v>
      </c>
      <c r="N451" s="3">
        <v>9</v>
      </c>
      <c r="O451" s="3">
        <v>10</v>
      </c>
      <c r="P451" s="5" t="b">
        <v>1</v>
      </c>
      <c r="Q451" s="3">
        <v>1</v>
      </c>
      <c r="R451" s="3">
        <v>4</v>
      </c>
      <c r="T451">
        <f t="shared" ref="T451:T514" si="7">COUNTIF(A451:A1149,A451)</f>
        <v>1</v>
      </c>
    </row>
    <row r="452" spans="1:20">
      <c r="A452" s="5" t="s">
        <v>235</v>
      </c>
      <c r="B452" s="5" t="s">
        <v>236</v>
      </c>
      <c r="C452" s="6">
        <v>45161</v>
      </c>
      <c r="D452" s="5">
        <v>34</v>
      </c>
      <c r="E452" s="5" t="s">
        <v>36</v>
      </c>
      <c r="F452" s="5" t="s">
        <v>88</v>
      </c>
      <c r="G452" s="5" t="s">
        <v>56</v>
      </c>
      <c r="H452" s="7">
        <v>172.79</v>
      </c>
      <c r="I452" s="3">
        <v>1</v>
      </c>
      <c r="J452" s="4">
        <v>30.83</v>
      </c>
      <c r="K452" s="7">
        <v>141.96</v>
      </c>
      <c r="L452" s="5" t="s">
        <v>23</v>
      </c>
      <c r="M452" s="5" t="s">
        <v>33</v>
      </c>
      <c r="N452" s="3">
        <v>16</v>
      </c>
      <c r="O452" s="3">
        <v>9</v>
      </c>
      <c r="P452" s="5" t="b">
        <v>0</v>
      </c>
      <c r="Q452" s="3">
        <v>11</v>
      </c>
      <c r="R452" s="3">
        <v>4</v>
      </c>
      <c r="T452">
        <f t="shared" si="7"/>
        <v>1</v>
      </c>
    </row>
    <row r="453" spans="1:20">
      <c r="A453" s="5" t="s">
        <v>1025</v>
      </c>
      <c r="B453" s="5" t="s">
        <v>1026</v>
      </c>
      <c r="C453" s="6">
        <v>45245</v>
      </c>
      <c r="D453" s="5">
        <v>46</v>
      </c>
      <c r="E453" s="5" t="s">
        <v>36</v>
      </c>
      <c r="F453" s="5" t="s">
        <v>73</v>
      </c>
      <c r="G453" s="5" t="s">
        <v>46</v>
      </c>
      <c r="H453" s="7">
        <v>350.06</v>
      </c>
      <c r="I453" s="3">
        <v>3</v>
      </c>
      <c r="J453" s="4">
        <v>97.43</v>
      </c>
      <c r="K453" s="7">
        <v>952.75</v>
      </c>
      <c r="L453" s="5" t="s">
        <v>692</v>
      </c>
      <c r="M453" s="5" t="s">
        <v>24</v>
      </c>
      <c r="N453" s="3">
        <v>18</v>
      </c>
      <c r="O453" s="3">
        <v>10</v>
      </c>
      <c r="P453" s="5" t="b">
        <v>1</v>
      </c>
      <c r="Q453" s="3">
        <v>3</v>
      </c>
      <c r="R453" s="3">
        <v>5</v>
      </c>
      <c r="T453">
        <f t="shared" si="7"/>
        <v>1</v>
      </c>
    </row>
    <row r="454" spans="1:20">
      <c r="A454" s="5" t="s">
        <v>562</v>
      </c>
      <c r="B454" s="5" t="s">
        <v>563</v>
      </c>
      <c r="C454" s="6">
        <v>45215</v>
      </c>
      <c r="D454" s="5">
        <v>23</v>
      </c>
      <c r="E454" s="5" t="s">
        <v>36</v>
      </c>
      <c r="F454" s="5" t="s">
        <v>21</v>
      </c>
      <c r="G454" s="5" t="s">
        <v>115</v>
      </c>
      <c r="H454" s="7">
        <v>50.95</v>
      </c>
      <c r="I454" s="3">
        <v>1</v>
      </c>
      <c r="J454" s="4">
        <v>8.3800000000000008</v>
      </c>
      <c r="K454" s="7">
        <v>42.57</v>
      </c>
      <c r="L454" s="5" t="s">
        <v>327</v>
      </c>
      <c r="M454" s="5" t="s">
        <v>24</v>
      </c>
      <c r="N454" s="3">
        <v>23</v>
      </c>
      <c r="O454" s="3">
        <v>13</v>
      </c>
      <c r="P454" s="5" t="b">
        <v>0</v>
      </c>
      <c r="Q454" s="3">
        <v>13</v>
      </c>
      <c r="R454" s="3">
        <v>5</v>
      </c>
      <c r="T454">
        <f t="shared" si="7"/>
        <v>1</v>
      </c>
    </row>
    <row r="455" spans="1:20">
      <c r="A455" s="5" t="s">
        <v>1027</v>
      </c>
      <c r="B455" s="5" t="s">
        <v>1028</v>
      </c>
      <c r="C455" s="6">
        <v>44978</v>
      </c>
      <c r="D455" s="5">
        <v>41</v>
      </c>
      <c r="E455" s="5" t="s">
        <v>36</v>
      </c>
      <c r="F455" s="5" t="s">
        <v>49</v>
      </c>
      <c r="G455" s="5" t="s">
        <v>22</v>
      </c>
      <c r="H455" s="7">
        <v>214.36</v>
      </c>
      <c r="I455" s="3">
        <v>1</v>
      </c>
      <c r="J455" s="4">
        <v>0</v>
      </c>
      <c r="K455" s="7">
        <v>214.36</v>
      </c>
      <c r="L455" s="5" t="s">
        <v>692</v>
      </c>
      <c r="M455" s="5" t="s">
        <v>33</v>
      </c>
      <c r="N455" s="3">
        <v>8</v>
      </c>
      <c r="O455" s="3">
        <v>7</v>
      </c>
      <c r="P455" s="5" t="b">
        <v>0</v>
      </c>
      <c r="Q455" s="3">
        <v>8</v>
      </c>
      <c r="R455" s="3">
        <v>5</v>
      </c>
      <c r="T455">
        <f t="shared" si="7"/>
        <v>1</v>
      </c>
    </row>
    <row r="456" spans="1:20">
      <c r="A456" s="5" t="s">
        <v>1029</v>
      </c>
      <c r="B456" s="5" t="s">
        <v>1030</v>
      </c>
      <c r="C456" s="6">
        <v>44964</v>
      </c>
      <c r="D456" s="5">
        <v>28</v>
      </c>
      <c r="E456" s="5" t="s">
        <v>36</v>
      </c>
      <c r="F456" s="5" t="s">
        <v>59</v>
      </c>
      <c r="G456" s="5" t="s">
        <v>56</v>
      </c>
      <c r="H456" s="7">
        <v>293.95</v>
      </c>
      <c r="I456" s="3">
        <v>1</v>
      </c>
      <c r="J456" s="4">
        <v>22.04</v>
      </c>
      <c r="K456" s="7">
        <v>271.91000000000003</v>
      </c>
      <c r="L456" s="5" t="s">
        <v>692</v>
      </c>
      <c r="M456" s="5" t="s">
        <v>29</v>
      </c>
      <c r="N456" s="3">
        <v>10</v>
      </c>
      <c r="O456" s="3">
        <v>10</v>
      </c>
      <c r="P456" s="5" t="b">
        <v>1</v>
      </c>
      <c r="Q456" s="3">
        <v>12</v>
      </c>
      <c r="R456" s="3">
        <v>5</v>
      </c>
      <c r="T456">
        <f t="shared" si="7"/>
        <v>1</v>
      </c>
    </row>
    <row r="457" spans="1:20">
      <c r="A457" s="5" t="s">
        <v>1031</v>
      </c>
      <c r="B457" s="5" t="s">
        <v>1032</v>
      </c>
      <c r="C457" s="6">
        <v>45202</v>
      </c>
      <c r="D457" s="5">
        <v>25</v>
      </c>
      <c r="E457" s="5" t="s">
        <v>20</v>
      </c>
      <c r="F457" s="5" t="s">
        <v>32</v>
      </c>
      <c r="G457" s="5" t="s">
        <v>28</v>
      </c>
      <c r="H457" s="7">
        <v>182.49</v>
      </c>
      <c r="I457" s="3">
        <v>3</v>
      </c>
      <c r="J457" s="4">
        <v>40.229999999999997</v>
      </c>
      <c r="K457" s="7">
        <v>507.24</v>
      </c>
      <c r="L457" s="5" t="s">
        <v>692</v>
      </c>
      <c r="M457" s="5" t="s">
        <v>33</v>
      </c>
      <c r="N457" s="3">
        <v>25</v>
      </c>
      <c r="O457" s="3">
        <v>7</v>
      </c>
      <c r="P457" s="5" t="b">
        <v>0</v>
      </c>
      <c r="Q457" s="3">
        <v>5</v>
      </c>
      <c r="R457" s="3">
        <v>4</v>
      </c>
      <c r="T457">
        <f t="shared" si="7"/>
        <v>1</v>
      </c>
    </row>
    <row r="458" spans="1:20">
      <c r="A458" s="5" t="s">
        <v>1033</v>
      </c>
      <c r="B458" s="5" t="s">
        <v>1034</v>
      </c>
      <c r="C458" s="6">
        <v>45036</v>
      </c>
      <c r="D458" s="5">
        <v>33</v>
      </c>
      <c r="E458" s="5" t="s">
        <v>20</v>
      </c>
      <c r="F458" s="5" t="s">
        <v>83</v>
      </c>
      <c r="G458" s="5" t="s">
        <v>37</v>
      </c>
      <c r="H458" s="7">
        <v>122.34</v>
      </c>
      <c r="I458" s="3">
        <v>1</v>
      </c>
      <c r="J458" s="4">
        <v>0</v>
      </c>
      <c r="K458" s="7">
        <v>122.34</v>
      </c>
      <c r="L458" s="5" t="s">
        <v>692</v>
      </c>
      <c r="M458" s="5" t="s">
        <v>24</v>
      </c>
      <c r="N458" s="3">
        <v>16</v>
      </c>
      <c r="O458" s="3">
        <v>8</v>
      </c>
      <c r="P458" s="5" t="b">
        <v>1</v>
      </c>
      <c r="Q458" s="3">
        <v>9</v>
      </c>
      <c r="R458" s="3">
        <v>4</v>
      </c>
      <c r="T458">
        <f t="shared" si="7"/>
        <v>1</v>
      </c>
    </row>
    <row r="459" spans="1:20">
      <c r="A459" s="5" t="s">
        <v>237</v>
      </c>
      <c r="B459" s="5" t="s">
        <v>238</v>
      </c>
      <c r="C459" s="6">
        <v>45186</v>
      </c>
      <c r="D459" s="5">
        <v>22</v>
      </c>
      <c r="E459" s="5" t="s">
        <v>20</v>
      </c>
      <c r="F459" s="5" t="s">
        <v>32</v>
      </c>
      <c r="G459" s="5" t="s">
        <v>64</v>
      </c>
      <c r="H459" s="7">
        <v>665.91</v>
      </c>
      <c r="I459" s="3">
        <v>2</v>
      </c>
      <c r="J459" s="4">
        <v>0</v>
      </c>
      <c r="K459" s="7">
        <v>1331.82</v>
      </c>
      <c r="L459" s="5" t="s">
        <v>23</v>
      </c>
      <c r="M459" s="5" t="s">
        <v>33</v>
      </c>
      <c r="N459" s="3">
        <v>9</v>
      </c>
      <c r="O459" s="3">
        <v>8</v>
      </c>
      <c r="P459" s="5" t="b">
        <v>0</v>
      </c>
      <c r="Q459" s="3">
        <v>6</v>
      </c>
      <c r="R459" s="3">
        <v>4</v>
      </c>
      <c r="T459">
        <f t="shared" si="7"/>
        <v>1</v>
      </c>
    </row>
    <row r="460" spans="1:20">
      <c r="A460" s="5" t="s">
        <v>1035</v>
      </c>
      <c r="B460" s="5" t="s">
        <v>1036</v>
      </c>
      <c r="C460" s="6">
        <v>45062</v>
      </c>
      <c r="D460" s="5">
        <v>28</v>
      </c>
      <c r="E460" s="5" t="s">
        <v>20</v>
      </c>
      <c r="F460" s="5" t="s">
        <v>21</v>
      </c>
      <c r="G460" s="5" t="s">
        <v>37</v>
      </c>
      <c r="H460" s="7">
        <v>213.77</v>
      </c>
      <c r="I460" s="3">
        <v>4</v>
      </c>
      <c r="J460" s="4">
        <v>0</v>
      </c>
      <c r="K460" s="7">
        <v>855.08</v>
      </c>
      <c r="L460" s="5" t="s">
        <v>692</v>
      </c>
      <c r="M460" s="5" t="s">
        <v>24</v>
      </c>
      <c r="N460" s="3">
        <v>22</v>
      </c>
      <c r="O460" s="3">
        <v>5</v>
      </c>
      <c r="P460" s="5" t="b">
        <v>0</v>
      </c>
      <c r="Q460" s="3">
        <v>2</v>
      </c>
      <c r="R460" s="3">
        <v>4</v>
      </c>
      <c r="T460">
        <f t="shared" si="7"/>
        <v>1</v>
      </c>
    </row>
    <row r="461" spans="1:20">
      <c r="A461" s="5" t="s">
        <v>239</v>
      </c>
      <c r="B461" s="5" t="s">
        <v>240</v>
      </c>
      <c r="C461" s="6">
        <v>44994</v>
      </c>
      <c r="D461" s="5">
        <v>20</v>
      </c>
      <c r="E461" s="5" t="s">
        <v>20</v>
      </c>
      <c r="F461" s="5" t="s">
        <v>88</v>
      </c>
      <c r="G461" s="5" t="s">
        <v>22</v>
      </c>
      <c r="H461" s="7">
        <v>96.23</v>
      </c>
      <c r="I461" s="3">
        <v>2</v>
      </c>
      <c r="J461" s="4">
        <v>0</v>
      </c>
      <c r="K461" s="7">
        <v>192.46</v>
      </c>
      <c r="L461" s="5" t="s">
        <v>23</v>
      </c>
      <c r="M461" s="5" t="s">
        <v>24</v>
      </c>
      <c r="N461" s="3">
        <v>26</v>
      </c>
      <c r="O461" s="3">
        <v>13</v>
      </c>
      <c r="P461" s="5" t="b">
        <v>0</v>
      </c>
      <c r="Q461" s="3">
        <v>3</v>
      </c>
      <c r="R461" s="3">
        <v>4</v>
      </c>
      <c r="T461">
        <f t="shared" si="7"/>
        <v>1</v>
      </c>
    </row>
    <row r="462" spans="1:20">
      <c r="A462" s="5" t="s">
        <v>1037</v>
      </c>
      <c r="B462" s="5" t="s">
        <v>1038</v>
      </c>
      <c r="C462" s="6">
        <v>45105</v>
      </c>
      <c r="D462" s="5">
        <v>58</v>
      </c>
      <c r="E462" s="5" t="s">
        <v>36</v>
      </c>
      <c r="F462" s="5" t="s">
        <v>32</v>
      </c>
      <c r="G462" s="5" t="s">
        <v>115</v>
      </c>
      <c r="H462" s="7">
        <v>36.1</v>
      </c>
      <c r="I462" s="3">
        <v>3</v>
      </c>
      <c r="J462" s="4">
        <v>0</v>
      </c>
      <c r="K462" s="7">
        <v>108.3</v>
      </c>
      <c r="L462" s="5" t="s">
        <v>692</v>
      </c>
      <c r="M462" s="5" t="s">
        <v>33</v>
      </c>
      <c r="N462" s="3">
        <v>14</v>
      </c>
      <c r="O462" s="3">
        <v>7</v>
      </c>
      <c r="P462" s="5" t="b">
        <v>1</v>
      </c>
      <c r="Q462" s="3">
        <v>13</v>
      </c>
      <c r="R462" s="3">
        <v>4</v>
      </c>
      <c r="T462">
        <f t="shared" si="7"/>
        <v>1</v>
      </c>
    </row>
    <row r="463" spans="1:20">
      <c r="A463" s="5" t="s">
        <v>1039</v>
      </c>
      <c r="B463" s="5" t="s">
        <v>1040</v>
      </c>
      <c r="C463" s="6">
        <v>44962</v>
      </c>
      <c r="D463" s="5">
        <v>35</v>
      </c>
      <c r="E463" s="5" t="s">
        <v>20</v>
      </c>
      <c r="F463" s="5" t="s">
        <v>21</v>
      </c>
      <c r="G463" s="5" t="s">
        <v>56</v>
      </c>
      <c r="H463" s="7">
        <v>205.05</v>
      </c>
      <c r="I463" s="3">
        <v>2</v>
      </c>
      <c r="J463" s="4">
        <v>0</v>
      </c>
      <c r="K463" s="7">
        <v>410.1</v>
      </c>
      <c r="L463" s="5" t="s">
        <v>692</v>
      </c>
      <c r="M463" s="5" t="s">
        <v>24</v>
      </c>
      <c r="N463" s="3">
        <v>22</v>
      </c>
      <c r="O463" s="3">
        <v>6</v>
      </c>
      <c r="P463" s="5" t="b">
        <v>1</v>
      </c>
      <c r="Q463" s="3">
        <v>5</v>
      </c>
      <c r="R463" s="3">
        <v>5</v>
      </c>
      <c r="T463">
        <f t="shared" si="7"/>
        <v>1</v>
      </c>
    </row>
    <row r="464" spans="1:20">
      <c r="A464" s="5" t="s">
        <v>1041</v>
      </c>
      <c r="B464" s="5" t="s">
        <v>1042</v>
      </c>
      <c r="C464" s="6">
        <v>45377</v>
      </c>
      <c r="D464" s="5">
        <v>26</v>
      </c>
      <c r="E464" s="5" t="s">
        <v>20</v>
      </c>
      <c r="F464" s="5" t="s">
        <v>32</v>
      </c>
      <c r="G464" s="5" t="s">
        <v>115</v>
      </c>
      <c r="H464" s="7">
        <v>19.84</v>
      </c>
      <c r="I464" s="3">
        <v>3</v>
      </c>
      <c r="J464" s="4">
        <v>0</v>
      </c>
      <c r="K464" s="7">
        <v>59.52</v>
      </c>
      <c r="L464" s="5" t="s">
        <v>692</v>
      </c>
      <c r="M464" s="5" t="s">
        <v>33</v>
      </c>
      <c r="N464" s="3">
        <v>11</v>
      </c>
      <c r="O464" s="3">
        <v>10</v>
      </c>
      <c r="P464" s="5" t="b">
        <v>0</v>
      </c>
      <c r="Q464" s="3">
        <v>6</v>
      </c>
      <c r="R464" s="3">
        <v>4</v>
      </c>
      <c r="T464">
        <f t="shared" si="7"/>
        <v>1</v>
      </c>
    </row>
    <row r="465" spans="1:20">
      <c r="A465" s="5" t="s">
        <v>1043</v>
      </c>
      <c r="B465" s="5" t="s">
        <v>1044</v>
      </c>
      <c r="C465" s="6">
        <v>45052</v>
      </c>
      <c r="D465" s="5">
        <v>37</v>
      </c>
      <c r="E465" s="5" t="s">
        <v>36</v>
      </c>
      <c r="F465" s="5" t="s">
        <v>52</v>
      </c>
      <c r="G465" s="5" t="s">
        <v>37</v>
      </c>
      <c r="H465" s="7">
        <v>103.09</v>
      </c>
      <c r="I465" s="3">
        <v>2</v>
      </c>
      <c r="J465" s="4">
        <v>0</v>
      </c>
      <c r="K465" s="7">
        <v>206.18</v>
      </c>
      <c r="L465" s="5" t="s">
        <v>692</v>
      </c>
      <c r="M465" s="5" t="s">
        <v>33</v>
      </c>
      <c r="N465" s="3">
        <v>15</v>
      </c>
      <c r="O465" s="3">
        <v>8</v>
      </c>
      <c r="P465" s="5" t="b">
        <v>0</v>
      </c>
      <c r="Q465" s="3">
        <v>5</v>
      </c>
      <c r="R465" s="3">
        <v>3</v>
      </c>
      <c r="T465">
        <f t="shared" si="7"/>
        <v>1</v>
      </c>
    </row>
    <row r="466" spans="1:20">
      <c r="A466" s="5" t="s">
        <v>1045</v>
      </c>
      <c r="B466" s="5" t="s">
        <v>1046</v>
      </c>
      <c r="C466" s="6">
        <v>45116</v>
      </c>
      <c r="D466" s="5">
        <v>33</v>
      </c>
      <c r="E466" s="5" t="s">
        <v>20</v>
      </c>
      <c r="F466" s="5" t="s">
        <v>32</v>
      </c>
      <c r="G466" s="5" t="s">
        <v>56</v>
      </c>
      <c r="H466" s="7">
        <v>343.43</v>
      </c>
      <c r="I466" s="3">
        <v>5</v>
      </c>
      <c r="J466" s="4">
        <v>0</v>
      </c>
      <c r="K466" s="7">
        <v>1717.15</v>
      </c>
      <c r="L466" s="5" t="s">
        <v>692</v>
      </c>
      <c r="M466" s="5" t="s">
        <v>33</v>
      </c>
      <c r="N466" s="3">
        <v>16</v>
      </c>
      <c r="O466" s="3">
        <v>9</v>
      </c>
      <c r="P466" s="5" t="b">
        <v>1</v>
      </c>
      <c r="Q466" s="3">
        <v>4</v>
      </c>
      <c r="R466" s="3">
        <v>1</v>
      </c>
      <c r="T466">
        <f t="shared" si="7"/>
        <v>1</v>
      </c>
    </row>
    <row r="467" spans="1:20">
      <c r="A467" s="5" t="s">
        <v>564</v>
      </c>
      <c r="B467" s="5" t="s">
        <v>565</v>
      </c>
      <c r="C467" s="6">
        <v>45072</v>
      </c>
      <c r="D467" s="5">
        <v>32</v>
      </c>
      <c r="E467" s="5" t="s">
        <v>20</v>
      </c>
      <c r="F467" s="5" t="s">
        <v>52</v>
      </c>
      <c r="G467" s="5" t="s">
        <v>37</v>
      </c>
      <c r="H467" s="7">
        <v>163.89</v>
      </c>
      <c r="I467" s="3">
        <v>1</v>
      </c>
      <c r="J467" s="4">
        <v>0</v>
      </c>
      <c r="K467" s="7">
        <v>163.89</v>
      </c>
      <c r="L467" s="5" t="s">
        <v>327</v>
      </c>
      <c r="M467" s="5" t="s">
        <v>33</v>
      </c>
      <c r="N467" s="3">
        <v>7</v>
      </c>
      <c r="O467" s="3">
        <v>9</v>
      </c>
      <c r="P467" s="5" t="b">
        <v>0</v>
      </c>
      <c r="Q467" s="3">
        <v>4</v>
      </c>
      <c r="R467" s="3">
        <v>5</v>
      </c>
      <c r="T467">
        <f t="shared" si="7"/>
        <v>1</v>
      </c>
    </row>
    <row r="468" spans="1:20">
      <c r="A468" s="5" t="s">
        <v>1274</v>
      </c>
      <c r="B468" s="5" t="s">
        <v>1275</v>
      </c>
      <c r="C468" s="6">
        <v>45007</v>
      </c>
      <c r="D468" s="5">
        <v>42</v>
      </c>
      <c r="E468" s="5" t="s">
        <v>20</v>
      </c>
      <c r="F468" s="5" t="s">
        <v>52</v>
      </c>
      <c r="G468" s="5" t="s">
        <v>22</v>
      </c>
      <c r="H468" s="7">
        <v>125.69</v>
      </c>
      <c r="I468" s="3">
        <v>2</v>
      </c>
      <c r="J468" s="4">
        <v>36.31</v>
      </c>
      <c r="K468" s="7">
        <v>215.07</v>
      </c>
      <c r="L468" s="5" t="s">
        <v>1231</v>
      </c>
      <c r="M468" s="5" t="s">
        <v>33</v>
      </c>
      <c r="N468" s="3">
        <v>9</v>
      </c>
      <c r="O468" s="3">
        <v>11</v>
      </c>
      <c r="P468" s="5" t="b">
        <v>1</v>
      </c>
      <c r="Q468" s="3">
        <v>5</v>
      </c>
      <c r="R468" s="3">
        <v>5</v>
      </c>
      <c r="T468">
        <f t="shared" si="7"/>
        <v>1</v>
      </c>
    </row>
    <row r="469" spans="1:20">
      <c r="A469" s="5" t="s">
        <v>1047</v>
      </c>
      <c r="B469" s="5" t="s">
        <v>1048</v>
      </c>
      <c r="C469" s="6">
        <v>45151</v>
      </c>
      <c r="D469" s="5">
        <v>44</v>
      </c>
      <c r="E469" s="5" t="s">
        <v>20</v>
      </c>
      <c r="F469" s="5" t="s">
        <v>83</v>
      </c>
      <c r="G469" s="5" t="s">
        <v>53</v>
      </c>
      <c r="H469" s="7">
        <v>32.53</v>
      </c>
      <c r="I469" s="3">
        <v>5</v>
      </c>
      <c r="J469" s="4">
        <v>3.22</v>
      </c>
      <c r="K469" s="7">
        <v>159.43</v>
      </c>
      <c r="L469" s="5" t="s">
        <v>692</v>
      </c>
      <c r="M469" s="5" t="s">
        <v>24</v>
      </c>
      <c r="N469" s="3">
        <v>16</v>
      </c>
      <c r="O469" s="3">
        <v>10</v>
      </c>
      <c r="P469" s="5" t="b">
        <v>1</v>
      </c>
      <c r="Q469" s="3">
        <v>5</v>
      </c>
      <c r="R469" s="3">
        <v>4</v>
      </c>
      <c r="T469">
        <f t="shared" si="7"/>
        <v>1</v>
      </c>
    </row>
    <row r="470" spans="1:20">
      <c r="A470" s="5" t="s">
        <v>1049</v>
      </c>
      <c r="B470" s="5" t="s">
        <v>1050</v>
      </c>
      <c r="C470" s="6">
        <v>45353</v>
      </c>
      <c r="D470" s="5">
        <v>28</v>
      </c>
      <c r="E470" s="5" t="s">
        <v>20</v>
      </c>
      <c r="F470" s="5" t="s">
        <v>83</v>
      </c>
      <c r="G470" s="5" t="s">
        <v>115</v>
      </c>
      <c r="H470" s="7">
        <v>97.62</v>
      </c>
      <c r="I470" s="3">
        <v>1</v>
      </c>
      <c r="J470" s="4">
        <v>9.61</v>
      </c>
      <c r="K470" s="7">
        <v>88.01</v>
      </c>
      <c r="L470" s="5" t="s">
        <v>692</v>
      </c>
      <c r="M470" s="5" t="s">
        <v>33</v>
      </c>
      <c r="N470" s="3">
        <v>33</v>
      </c>
      <c r="O470" s="3">
        <v>5</v>
      </c>
      <c r="P470" s="5" t="b">
        <v>0</v>
      </c>
      <c r="Q470" s="3">
        <v>11</v>
      </c>
      <c r="R470" s="3">
        <v>5</v>
      </c>
      <c r="T470">
        <f t="shared" si="7"/>
        <v>1</v>
      </c>
    </row>
    <row r="471" spans="1:20">
      <c r="A471" s="5" t="s">
        <v>1051</v>
      </c>
      <c r="B471" s="5" t="s">
        <v>1052</v>
      </c>
      <c r="C471" s="6">
        <v>45205</v>
      </c>
      <c r="D471" s="5">
        <v>28</v>
      </c>
      <c r="E471" s="5" t="s">
        <v>36</v>
      </c>
      <c r="F471" s="5" t="s">
        <v>32</v>
      </c>
      <c r="G471" s="5" t="s">
        <v>115</v>
      </c>
      <c r="H471" s="7">
        <v>25.98</v>
      </c>
      <c r="I471" s="3">
        <v>2</v>
      </c>
      <c r="J471" s="4">
        <v>0</v>
      </c>
      <c r="K471" s="7">
        <v>51.96</v>
      </c>
      <c r="L471" s="5" t="s">
        <v>692</v>
      </c>
      <c r="M471" s="5" t="s">
        <v>33</v>
      </c>
      <c r="N471" s="3">
        <v>8</v>
      </c>
      <c r="O471" s="3">
        <v>11</v>
      </c>
      <c r="P471" s="5" t="b">
        <v>0</v>
      </c>
      <c r="Q471" s="3">
        <v>4</v>
      </c>
      <c r="R471" s="3">
        <v>5</v>
      </c>
      <c r="T471">
        <f t="shared" si="7"/>
        <v>1</v>
      </c>
    </row>
    <row r="472" spans="1:20">
      <c r="A472" s="5" t="s">
        <v>1391</v>
      </c>
      <c r="B472" s="5" t="s">
        <v>1392</v>
      </c>
      <c r="C472" s="6">
        <v>45287</v>
      </c>
      <c r="D472" s="5">
        <v>31</v>
      </c>
      <c r="E472" s="5" t="s">
        <v>36</v>
      </c>
      <c r="F472" s="5" t="s">
        <v>27</v>
      </c>
      <c r="G472" s="5" t="s">
        <v>37</v>
      </c>
      <c r="H472" s="7">
        <v>69.81</v>
      </c>
      <c r="I472" s="3">
        <v>1</v>
      </c>
      <c r="J472" s="4">
        <v>7.88</v>
      </c>
      <c r="K472" s="7">
        <v>61.93</v>
      </c>
      <c r="L472" s="5" t="s">
        <v>1298</v>
      </c>
      <c r="M472" s="5" t="s">
        <v>33</v>
      </c>
      <c r="N472" s="3">
        <v>12</v>
      </c>
      <c r="O472" s="3">
        <v>13</v>
      </c>
      <c r="P472" s="5" t="b">
        <v>0</v>
      </c>
      <c r="Q472" s="3">
        <v>12</v>
      </c>
      <c r="R472" s="3">
        <v>5</v>
      </c>
      <c r="T472">
        <f t="shared" si="7"/>
        <v>1</v>
      </c>
    </row>
    <row r="473" spans="1:20">
      <c r="A473" s="5" t="s">
        <v>241</v>
      </c>
      <c r="B473" s="5" t="s">
        <v>242</v>
      </c>
      <c r="C473" s="6">
        <v>45081</v>
      </c>
      <c r="D473" s="5">
        <v>18</v>
      </c>
      <c r="E473" s="5" t="s">
        <v>20</v>
      </c>
      <c r="F473" s="5" t="s">
        <v>32</v>
      </c>
      <c r="G473" s="5" t="s">
        <v>64</v>
      </c>
      <c r="H473" s="7">
        <v>3463.03</v>
      </c>
      <c r="I473" s="3">
        <v>5</v>
      </c>
      <c r="J473" s="4">
        <v>215.85</v>
      </c>
      <c r="K473" s="7">
        <v>17099.3</v>
      </c>
      <c r="L473" s="5" t="s">
        <v>23</v>
      </c>
      <c r="M473" s="5" t="s">
        <v>24</v>
      </c>
      <c r="N473" s="3">
        <v>20</v>
      </c>
      <c r="O473" s="3">
        <v>5</v>
      </c>
      <c r="P473" s="5" t="b">
        <v>1</v>
      </c>
      <c r="Q473" s="3">
        <v>4</v>
      </c>
      <c r="R473" s="3">
        <v>4</v>
      </c>
      <c r="T473">
        <f t="shared" si="7"/>
        <v>1</v>
      </c>
    </row>
    <row r="474" spans="1:20">
      <c r="A474" s="5" t="s">
        <v>243</v>
      </c>
      <c r="B474" s="5" t="s">
        <v>244</v>
      </c>
      <c r="C474" s="6">
        <v>45240</v>
      </c>
      <c r="D474" s="5">
        <v>18</v>
      </c>
      <c r="E474" s="5" t="s">
        <v>20</v>
      </c>
      <c r="F474" s="5" t="s">
        <v>32</v>
      </c>
      <c r="G474" s="5" t="s">
        <v>37</v>
      </c>
      <c r="H474" s="7">
        <v>19.34</v>
      </c>
      <c r="I474" s="3">
        <v>1</v>
      </c>
      <c r="J474" s="4">
        <v>0</v>
      </c>
      <c r="K474" s="7">
        <v>19.34</v>
      </c>
      <c r="L474" s="5" t="s">
        <v>23</v>
      </c>
      <c r="M474" s="5" t="s">
        <v>24</v>
      </c>
      <c r="N474" s="3">
        <v>17</v>
      </c>
      <c r="O474" s="3">
        <v>12</v>
      </c>
      <c r="P474" s="5" t="b">
        <v>1</v>
      </c>
      <c r="Q474" s="3">
        <v>5</v>
      </c>
      <c r="R474" s="3">
        <v>4</v>
      </c>
      <c r="T474">
        <f t="shared" si="7"/>
        <v>1</v>
      </c>
    </row>
    <row r="475" spans="1:20">
      <c r="A475" s="5" t="s">
        <v>1053</v>
      </c>
      <c r="B475" s="5" t="s">
        <v>1054</v>
      </c>
      <c r="C475" s="6">
        <v>45340</v>
      </c>
      <c r="D475" s="5">
        <v>51</v>
      </c>
      <c r="E475" s="5" t="s">
        <v>20</v>
      </c>
      <c r="F475" s="5" t="s">
        <v>32</v>
      </c>
      <c r="G475" s="5" t="s">
        <v>22</v>
      </c>
      <c r="H475" s="7">
        <v>76.66</v>
      </c>
      <c r="I475" s="3">
        <v>1</v>
      </c>
      <c r="J475" s="4">
        <v>0</v>
      </c>
      <c r="K475" s="7">
        <v>76.66</v>
      </c>
      <c r="L475" s="5" t="s">
        <v>692</v>
      </c>
      <c r="M475" s="5" t="s">
        <v>33</v>
      </c>
      <c r="N475" s="3">
        <v>9</v>
      </c>
      <c r="O475" s="3">
        <v>9</v>
      </c>
      <c r="P475" s="5" t="b">
        <v>1</v>
      </c>
      <c r="Q475" s="3">
        <v>4</v>
      </c>
      <c r="R475" s="3">
        <v>2</v>
      </c>
      <c r="T475">
        <f t="shared" si="7"/>
        <v>1</v>
      </c>
    </row>
    <row r="476" spans="1:20">
      <c r="A476" s="5" t="s">
        <v>1055</v>
      </c>
      <c r="B476" s="5" t="s">
        <v>1056</v>
      </c>
      <c r="C476" s="6">
        <v>45261</v>
      </c>
      <c r="D476" s="5">
        <v>54</v>
      </c>
      <c r="E476" s="5" t="s">
        <v>36</v>
      </c>
      <c r="F476" s="5" t="s">
        <v>83</v>
      </c>
      <c r="G476" s="5" t="s">
        <v>37</v>
      </c>
      <c r="H476" s="7">
        <v>235.12</v>
      </c>
      <c r="I476" s="3">
        <v>1</v>
      </c>
      <c r="J476" s="4">
        <v>0</v>
      </c>
      <c r="K476" s="7">
        <v>235.12</v>
      </c>
      <c r="L476" s="5" t="s">
        <v>692</v>
      </c>
      <c r="M476" s="5" t="s">
        <v>33</v>
      </c>
      <c r="N476" s="3">
        <v>34</v>
      </c>
      <c r="O476" s="3">
        <v>13</v>
      </c>
      <c r="P476" s="5" t="b">
        <v>1</v>
      </c>
      <c r="Q476" s="3">
        <v>6</v>
      </c>
      <c r="R476" s="3">
        <v>5</v>
      </c>
      <c r="T476">
        <f t="shared" si="7"/>
        <v>1</v>
      </c>
    </row>
    <row r="477" spans="1:20">
      <c r="A477" s="5" t="s">
        <v>1057</v>
      </c>
      <c r="B477" s="5" t="s">
        <v>1058</v>
      </c>
      <c r="C477" s="6">
        <v>45197</v>
      </c>
      <c r="D477" s="5">
        <v>32</v>
      </c>
      <c r="E477" s="5" t="s">
        <v>20</v>
      </c>
      <c r="F477" s="5" t="s">
        <v>76</v>
      </c>
      <c r="G477" s="5" t="s">
        <v>64</v>
      </c>
      <c r="H477" s="7">
        <v>1939.72</v>
      </c>
      <c r="I477" s="3">
        <v>1</v>
      </c>
      <c r="J477" s="4">
        <v>487.88</v>
      </c>
      <c r="K477" s="7">
        <v>1451.84</v>
      </c>
      <c r="L477" s="5" t="s">
        <v>692</v>
      </c>
      <c r="M477" s="5" t="s">
        <v>24</v>
      </c>
      <c r="N477" s="3">
        <v>15</v>
      </c>
      <c r="O477" s="3">
        <v>6</v>
      </c>
      <c r="P477" s="5" t="b">
        <v>1</v>
      </c>
      <c r="Q477" s="3">
        <v>5</v>
      </c>
      <c r="R477" s="3">
        <v>5</v>
      </c>
      <c r="T477">
        <f t="shared" si="7"/>
        <v>1</v>
      </c>
    </row>
    <row r="478" spans="1:20">
      <c r="A478" s="5" t="s">
        <v>1393</v>
      </c>
      <c r="B478" s="5" t="s">
        <v>1394</v>
      </c>
      <c r="C478" s="6">
        <v>44931</v>
      </c>
      <c r="D478" s="5">
        <v>41</v>
      </c>
      <c r="E478" s="5" t="s">
        <v>20</v>
      </c>
      <c r="F478" s="5" t="s">
        <v>32</v>
      </c>
      <c r="G478" s="5" t="s">
        <v>28</v>
      </c>
      <c r="H478" s="7">
        <v>181.88</v>
      </c>
      <c r="I478" s="3">
        <v>1</v>
      </c>
      <c r="J478" s="4">
        <v>26.42</v>
      </c>
      <c r="K478" s="7">
        <v>155.46</v>
      </c>
      <c r="L478" s="5" t="s">
        <v>1298</v>
      </c>
      <c r="M478" s="5" t="s">
        <v>33</v>
      </c>
      <c r="N478" s="3">
        <v>14</v>
      </c>
      <c r="O478" s="3">
        <v>9</v>
      </c>
      <c r="P478" s="5" t="b">
        <v>1</v>
      </c>
      <c r="Q478" s="3">
        <v>9</v>
      </c>
      <c r="R478" s="3">
        <v>5</v>
      </c>
      <c r="T478">
        <f t="shared" si="7"/>
        <v>1</v>
      </c>
    </row>
    <row r="479" spans="1:20">
      <c r="A479" s="5" t="s">
        <v>1059</v>
      </c>
      <c r="B479" s="5" t="s">
        <v>1060</v>
      </c>
      <c r="C479" s="6">
        <v>45268</v>
      </c>
      <c r="D479" s="5">
        <v>38</v>
      </c>
      <c r="E479" s="5" t="s">
        <v>36</v>
      </c>
      <c r="F479" s="5" t="s">
        <v>32</v>
      </c>
      <c r="G479" s="5" t="s">
        <v>64</v>
      </c>
      <c r="H479" s="7">
        <v>410.32</v>
      </c>
      <c r="I479" s="3">
        <v>1</v>
      </c>
      <c r="J479" s="4">
        <v>0</v>
      </c>
      <c r="K479" s="7">
        <v>410.32</v>
      </c>
      <c r="L479" s="5" t="s">
        <v>692</v>
      </c>
      <c r="M479" s="5" t="s">
        <v>33</v>
      </c>
      <c r="N479" s="3">
        <v>15</v>
      </c>
      <c r="O479" s="3">
        <v>9</v>
      </c>
      <c r="P479" s="5" t="b">
        <v>1</v>
      </c>
      <c r="Q479" s="3">
        <v>5</v>
      </c>
      <c r="R479" s="3">
        <v>4</v>
      </c>
      <c r="T479">
        <f t="shared" si="7"/>
        <v>1</v>
      </c>
    </row>
    <row r="480" spans="1:20">
      <c r="A480" s="5" t="s">
        <v>566</v>
      </c>
      <c r="B480" s="5" t="s">
        <v>567</v>
      </c>
      <c r="C480" s="6">
        <v>45345</v>
      </c>
      <c r="D480" s="5">
        <v>71</v>
      </c>
      <c r="E480" s="5" t="s">
        <v>20</v>
      </c>
      <c r="F480" s="5" t="s">
        <v>32</v>
      </c>
      <c r="G480" s="5" t="s">
        <v>22</v>
      </c>
      <c r="H480" s="7">
        <v>254.01</v>
      </c>
      <c r="I480" s="3">
        <v>2</v>
      </c>
      <c r="J480" s="4">
        <v>0</v>
      </c>
      <c r="K480" s="7">
        <v>508.02</v>
      </c>
      <c r="L480" s="5" t="s">
        <v>327</v>
      </c>
      <c r="M480" s="5" t="s">
        <v>33</v>
      </c>
      <c r="N480" s="3">
        <v>11</v>
      </c>
      <c r="O480" s="3">
        <v>11</v>
      </c>
      <c r="P480" s="5" t="b">
        <v>0</v>
      </c>
      <c r="Q480" s="3">
        <v>13</v>
      </c>
      <c r="R480" s="3">
        <v>4</v>
      </c>
      <c r="T480">
        <f t="shared" si="7"/>
        <v>1</v>
      </c>
    </row>
    <row r="481" spans="1:20">
      <c r="A481" s="5" t="s">
        <v>568</v>
      </c>
      <c r="B481" s="5" t="s">
        <v>569</v>
      </c>
      <c r="C481" s="6">
        <v>45210</v>
      </c>
      <c r="D481" s="5">
        <v>48</v>
      </c>
      <c r="E481" s="5" t="s">
        <v>20</v>
      </c>
      <c r="F481" s="5" t="s">
        <v>21</v>
      </c>
      <c r="G481" s="5" t="s">
        <v>56</v>
      </c>
      <c r="H481" s="7">
        <v>279.39999999999998</v>
      </c>
      <c r="I481" s="3">
        <v>2</v>
      </c>
      <c r="J481" s="4">
        <v>0</v>
      </c>
      <c r="K481" s="7">
        <v>558.79999999999995</v>
      </c>
      <c r="L481" s="5" t="s">
        <v>327</v>
      </c>
      <c r="M481" s="5" t="s">
        <v>33</v>
      </c>
      <c r="N481" s="3">
        <v>34</v>
      </c>
      <c r="O481" s="3">
        <v>8</v>
      </c>
      <c r="P481" s="5" t="b">
        <v>0</v>
      </c>
      <c r="Q481" s="3">
        <v>4</v>
      </c>
      <c r="R481" s="3">
        <v>4</v>
      </c>
      <c r="T481">
        <f t="shared" si="7"/>
        <v>1</v>
      </c>
    </row>
    <row r="482" spans="1:20">
      <c r="A482" s="5" t="s">
        <v>570</v>
      </c>
      <c r="B482" s="5" t="s">
        <v>571</v>
      </c>
      <c r="C482" s="6">
        <v>45080</v>
      </c>
      <c r="D482" s="5">
        <v>33</v>
      </c>
      <c r="E482" s="5" t="s">
        <v>20</v>
      </c>
      <c r="F482" s="5" t="s">
        <v>73</v>
      </c>
      <c r="G482" s="5" t="s">
        <v>37</v>
      </c>
      <c r="H482" s="7">
        <v>166.69</v>
      </c>
      <c r="I482" s="3">
        <v>1</v>
      </c>
      <c r="J482" s="4">
        <v>0</v>
      </c>
      <c r="K482" s="7">
        <v>166.69</v>
      </c>
      <c r="L482" s="5" t="s">
        <v>327</v>
      </c>
      <c r="M482" s="5" t="s">
        <v>33</v>
      </c>
      <c r="N482" s="3">
        <v>4</v>
      </c>
      <c r="O482" s="3">
        <v>8</v>
      </c>
      <c r="P482" s="5" t="b">
        <v>0</v>
      </c>
      <c r="Q482" s="3">
        <v>7</v>
      </c>
      <c r="R482" s="3">
        <v>4</v>
      </c>
      <c r="T482">
        <f t="shared" si="7"/>
        <v>1</v>
      </c>
    </row>
    <row r="483" spans="1:20">
      <c r="A483" s="5" t="s">
        <v>1061</v>
      </c>
      <c r="B483" s="5" t="s">
        <v>1062</v>
      </c>
      <c r="C483" s="6">
        <v>45266</v>
      </c>
      <c r="D483" s="5">
        <v>23</v>
      </c>
      <c r="E483" s="5" t="s">
        <v>36</v>
      </c>
      <c r="F483" s="5" t="s">
        <v>32</v>
      </c>
      <c r="G483" s="5" t="s">
        <v>53</v>
      </c>
      <c r="H483" s="7">
        <v>86.96</v>
      </c>
      <c r="I483" s="3">
        <v>1</v>
      </c>
      <c r="J483" s="4">
        <v>0</v>
      </c>
      <c r="K483" s="7">
        <v>86.96</v>
      </c>
      <c r="L483" s="5" t="s">
        <v>692</v>
      </c>
      <c r="M483" s="5" t="s">
        <v>33</v>
      </c>
      <c r="N483" s="3">
        <v>11</v>
      </c>
      <c r="O483" s="3">
        <v>7</v>
      </c>
      <c r="P483" s="5" t="b">
        <v>1</v>
      </c>
      <c r="Q483" s="3">
        <v>8</v>
      </c>
      <c r="R483" s="3">
        <v>4</v>
      </c>
      <c r="T483">
        <f t="shared" si="7"/>
        <v>1</v>
      </c>
    </row>
    <row r="484" spans="1:20">
      <c r="A484" s="5" t="s">
        <v>572</v>
      </c>
      <c r="B484" s="5" t="s">
        <v>573</v>
      </c>
      <c r="C484" s="6">
        <v>44980</v>
      </c>
      <c r="D484" s="5">
        <v>18</v>
      </c>
      <c r="E484" s="5" t="s">
        <v>36</v>
      </c>
      <c r="F484" s="5" t="s">
        <v>27</v>
      </c>
      <c r="G484" s="5" t="s">
        <v>64</v>
      </c>
      <c r="H484" s="7">
        <v>911.25</v>
      </c>
      <c r="I484" s="3">
        <v>1</v>
      </c>
      <c r="J484" s="4">
        <v>0</v>
      </c>
      <c r="K484" s="7">
        <v>911.25</v>
      </c>
      <c r="L484" s="5" t="s">
        <v>327</v>
      </c>
      <c r="M484" s="5" t="s">
        <v>29</v>
      </c>
      <c r="N484" s="3">
        <v>7</v>
      </c>
      <c r="O484" s="3">
        <v>11</v>
      </c>
      <c r="P484" s="5" t="b">
        <v>0</v>
      </c>
      <c r="Q484" s="3">
        <v>10</v>
      </c>
      <c r="R484" s="3">
        <v>2</v>
      </c>
      <c r="T484">
        <f t="shared" si="7"/>
        <v>1</v>
      </c>
    </row>
    <row r="485" spans="1:20">
      <c r="A485" s="5" t="s">
        <v>1063</v>
      </c>
      <c r="B485" s="5" t="s">
        <v>1064</v>
      </c>
      <c r="C485" s="6">
        <v>45376</v>
      </c>
      <c r="D485" s="5">
        <v>37</v>
      </c>
      <c r="E485" s="5" t="s">
        <v>36</v>
      </c>
      <c r="F485" s="5" t="s">
        <v>52</v>
      </c>
      <c r="G485" s="5" t="s">
        <v>28</v>
      </c>
      <c r="H485" s="7">
        <v>207.48</v>
      </c>
      <c r="I485" s="3">
        <v>1</v>
      </c>
      <c r="J485" s="4">
        <v>0</v>
      </c>
      <c r="K485" s="7">
        <v>207.48</v>
      </c>
      <c r="L485" s="5" t="s">
        <v>692</v>
      </c>
      <c r="M485" s="5" t="s">
        <v>24</v>
      </c>
      <c r="N485" s="3">
        <v>11</v>
      </c>
      <c r="O485" s="3">
        <v>13</v>
      </c>
      <c r="P485" s="5" t="b">
        <v>1</v>
      </c>
      <c r="Q485" s="3">
        <v>4</v>
      </c>
      <c r="R485" s="3">
        <v>5</v>
      </c>
      <c r="T485">
        <f t="shared" si="7"/>
        <v>1</v>
      </c>
    </row>
    <row r="486" spans="1:20">
      <c r="A486" s="5" t="s">
        <v>1276</v>
      </c>
      <c r="B486" s="5" t="s">
        <v>1277</v>
      </c>
      <c r="C486" s="6">
        <v>44995</v>
      </c>
      <c r="D486" s="5">
        <v>25</v>
      </c>
      <c r="E486" s="5" t="s">
        <v>36</v>
      </c>
      <c r="F486" s="5" t="s">
        <v>76</v>
      </c>
      <c r="G486" s="5" t="s">
        <v>64</v>
      </c>
      <c r="H486" s="7">
        <v>1852.09</v>
      </c>
      <c r="I486" s="3">
        <v>1</v>
      </c>
      <c r="J486" s="4">
        <v>0</v>
      </c>
      <c r="K486" s="7">
        <v>1852.09</v>
      </c>
      <c r="L486" s="5" t="s">
        <v>1231</v>
      </c>
      <c r="M486" s="5" t="s">
        <v>33</v>
      </c>
      <c r="N486" s="3">
        <v>26</v>
      </c>
      <c r="O486" s="3">
        <v>9</v>
      </c>
      <c r="P486" s="5" t="b">
        <v>1</v>
      </c>
      <c r="Q486" s="3">
        <v>10</v>
      </c>
      <c r="R486" s="3">
        <v>4</v>
      </c>
      <c r="T486">
        <f t="shared" si="7"/>
        <v>1</v>
      </c>
    </row>
    <row r="487" spans="1:20">
      <c r="A487" s="5" t="s">
        <v>1065</v>
      </c>
      <c r="B487" s="5" t="s">
        <v>1066</v>
      </c>
      <c r="C487" s="6">
        <v>45062</v>
      </c>
      <c r="D487" s="5">
        <v>18</v>
      </c>
      <c r="E487" s="5" t="s">
        <v>36</v>
      </c>
      <c r="F487" s="5" t="s">
        <v>49</v>
      </c>
      <c r="G487" s="5" t="s">
        <v>37</v>
      </c>
      <c r="H487" s="7">
        <v>86.95</v>
      </c>
      <c r="I487" s="3">
        <v>2</v>
      </c>
      <c r="J487" s="4">
        <v>0</v>
      </c>
      <c r="K487" s="7">
        <v>173.9</v>
      </c>
      <c r="L487" s="5" t="s">
        <v>692</v>
      </c>
      <c r="M487" s="5" t="s">
        <v>24</v>
      </c>
      <c r="N487" s="3">
        <v>36</v>
      </c>
      <c r="O487" s="3">
        <v>11</v>
      </c>
      <c r="P487" s="5" t="b">
        <v>0</v>
      </c>
      <c r="Q487" s="3">
        <v>16</v>
      </c>
      <c r="R487" s="3">
        <v>5</v>
      </c>
      <c r="T487">
        <f t="shared" si="7"/>
        <v>1</v>
      </c>
    </row>
    <row r="488" spans="1:20">
      <c r="A488" s="5" t="s">
        <v>1067</v>
      </c>
      <c r="B488" s="5" t="s">
        <v>1068</v>
      </c>
      <c r="C488" s="6">
        <v>44986</v>
      </c>
      <c r="D488" s="5">
        <v>27</v>
      </c>
      <c r="E488" s="5" t="s">
        <v>36</v>
      </c>
      <c r="F488" s="5" t="s">
        <v>21</v>
      </c>
      <c r="G488" s="5" t="s">
        <v>56</v>
      </c>
      <c r="H488" s="7">
        <v>287.64</v>
      </c>
      <c r="I488" s="3">
        <v>1</v>
      </c>
      <c r="J488" s="4">
        <v>70.08</v>
      </c>
      <c r="K488" s="7">
        <v>217.56</v>
      </c>
      <c r="L488" s="5" t="s">
        <v>692</v>
      </c>
      <c r="M488" s="5" t="s">
        <v>33</v>
      </c>
      <c r="N488" s="3">
        <v>8</v>
      </c>
      <c r="O488" s="3">
        <v>7</v>
      </c>
      <c r="P488" s="5" t="b">
        <v>0</v>
      </c>
      <c r="Q488" s="3">
        <v>9</v>
      </c>
      <c r="R488" s="3">
        <v>5</v>
      </c>
      <c r="T488">
        <f t="shared" si="7"/>
        <v>1</v>
      </c>
    </row>
    <row r="489" spans="1:20">
      <c r="A489" s="5" t="s">
        <v>1069</v>
      </c>
      <c r="B489" s="5" t="s">
        <v>1070</v>
      </c>
      <c r="C489" s="6">
        <v>44981</v>
      </c>
      <c r="D489" s="5">
        <v>22</v>
      </c>
      <c r="E489" s="5" t="s">
        <v>36</v>
      </c>
      <c r="F489" s="5" t="s">
        <v>59</v>
      </c>
      <c r="G489" s="5" t="s">
        <v>115</v>
      </c>
      <c r="H489" s="7">
        <v>42.67</v>
      </c>
      <c r="I489" s="3">
        <v>1</v>
      </c>
      <c r="J489" s="4">
        <v>0</v>
      </c>
      <c r="K489" s="7">
        <v>42.67</v>
      </c>
      <c r="L489" s="5" t="s">
        <v>692</v>
      </c>
      <c r="M489" s="5" t="s">
        <v>33</v>
      </c>
      <c r="N489" s="3">
        <v>15</v>
      </c>
      <c r="O489" s="3">
        <v>10</v>
      </c>
      <c r="P489" s="5" t="b">
        <v>0</v>
      </c>
      <c r="Q489" s="3">
        <v>3</v>
      </c>
      <c r="R489" s="3">
        <v>4</v>
      </c>
      <c r="T489">
        <f t="shared" si="7"/>
        <v>1</v>
      </c>
    </row>
    <row r="490" spans="1:20">
      <c r="A490" s="5" t="s">
        <v>245</v>
      </c>
      <c r="B490" s="5" t="s">
        <v>246</v>
      </c>
      <c r="C490" s="6">
        <v>45307</v>
      </c>
      <c r="D490" s="5">
        <v>55</v>
      </c>
      <c r="E490" s="5" t="s">
        <v>20</v>
      </c>
      <c r="F490" s="5" t="s">
        <v>59</v>
      </c>
      <c r="G490" s="5" t="s">
        <v>37</v>
      </c>
      <c r="H490" s="7">
        <v>162.56</v>
      </c>
      <c r="I490" s="3">
        <v>5</v>
      </c>
      <c r="J490" s="4">
        <v>0</v>
      </c>
      <c r="K490" s="7">
        <v>812.8</v>
      </c>
      <c r="L490" s="5" t="s">
        <v>23</v>
      </c>
      <c r="M490" s="5" t="s">
        <v>33</v>
      </c>
      <c r="N490" s="3">
        <v>15</v>
      </c>
      <c r="O490" s="3">
        <v>14</v>
      </c>
      <c r="P490" s="5" t="b">
        <v>1</v>
      </c>
      <c r="Q490" s="3">
        <v>5</v>
      </c>
      <c r="R490" s="3">
        <v>3</v>
      </c>
      <c r="T490">
        <f t="shared" si="7"/>
        <v>1</v>
      </c>
    </row>
    <row r="491" spans="1:20">
      <c r="A491" s="5" t="s">
        <v>1071</v>
      </c>
      <c r="B491" s="5" t="s">
        <v>1072</v>
      </c>
      <c r="C491" s="6">
        <v>45210</v>
      </c>
      <c r="D491" s="5">
        <v>45</v>
      </c>
      <c r="E491" s="5" t="s">
        <v>36</v>
      </c>
      <c r="F491" s="5" t="s">
        <v>52</v>
      </c>
      <c r="G491" s="5" t="s">
        <v>115</v>
      </c>
      <c r="H491" s="7">
        <v>140.83000000000001</v>
      </c>
      <c r="I491" s="3">
        <v>2</v>
      </c>
      <c r="J491" s="4">
        <v>29.09</v>
      </c>
      <c r="K491" s="7">
        <v>252.57</v>
      </c>
      <c r="L491" s="5" t="s">
        <v>692</v>
      </c>
      <c r="M491" s="5" t="s">
        <v>33</v>
      </c>
      <c r="N491" s="3">
        <v>1</v>
      </c>
      <c r="O491" s="3">
        <v>9</v>
      </c>
      <c r="P491" s="5" t="b">
        <v>0</v>
      </c>
      <c r="Q491" s="3">
        <v>6</v>
      </c>
      <c r="R491" s="3">
        <v>5</v>
      </c>
      <c r="T491">
        <f t="shared" si="7"/>
        <v>1</v>
      </c>
    </row>
    <row r="492" spans="1:20">
      <c r="A492" s="5" t="s">
        <v>574</v>
      </c>
      <c r="B492" s="5" t="s">
        <v>575</v>
      </c>
      <c r="C492" s="6">
        <v>45006</v>
      </c>
      <c r="D492" s="5">
        <v>34</v>
      </c>
      <c r="E492" s="5" t="s">
        <v>20</v>
      </c>
      <c r="F492" s="5" t="s">
        <v>52</v>
      </c>
      <c r="G492" s="5" t="s">
        <v>28</v>
      </c>
      <c r="H492" s="7">
        <v>111.96</v>
      </c>
      <c r="I492" s="3">
        <v>1</v>
      </c>
      <c r="J492" s="4">
        <v>8.74</v>
      </c>
      <c r="K492" s="7">
        <v>103.22</v>
      </c>
      <c r="L492" s="5" t="s">
        <v>327</v>
      </c>
      <c r="M492" s="5" t="s">
        <v>33</v>
      </c>
      <c r="N492" s="3">
        <v>9</v>
      </c>
      <c r="O492" s="3">
        <v>8</v>
      </c>
      <c r="P492" s="5" t="b">
        <v>0</v>
      </c>
      <c r="Q492" s="3">
        <v>4</v>
      </c>
      <c r="R492" s="3">
        <v>5</v>
      </c>
      <c r="T492">
        <f t="shared" si="7"/>
        <v>1</v>
      </c>
    </row>
    <row r="493" spans="1:20">
      <c r="A493" s="5" t="s">
        <v>1073</v>
      </c>
      <c r="B493" s="5" t="s">
        <v>1074</v>
      </c>
      <c r="C493" s="6">
        <v>45066</v>
      </c>
      <c r="D493" s="5">
        <v>52</v>
      </c>
      <c r="E493" s="5" t="s">
        <v>20</v>
      </c>
      <c r="F493" s="5" t="s">
        <v>76</v>
      </c>
      <c r="G493" s="5" t="s">
        <v>28</v>
      </c>
      <c r="H493" s="7">
        <v>375.36</v>
      </c>
      <c r="I493" s="3">
        <v>2</v>
      </c>
      <c r="J493" s="4">
        <v>0</v>
      </c>
      <c r="K493" s="7">
        <v>750.72</v>
      </c>
      <c r="L493" s="5" t="s">
        <v>692</v>
      </c>
      <c r="M493" s="5" t="s">
        <v>24</v>
      </c>
      <c r="N493" s="3">
        <v>15</v>
      </c>
      <c r="O493" s="3">
        <v>9</v>
      </c>
      <c r="P493" s="5" t="b">
        <v>0</v>
      </c>
      <c r="Q493" s="3">
        <v>11</v>
      </c>
      <c r="R493" s="3">
        <v>3</v>
      </c>
      <c r="T493">
        <f t="shared" si="7"/>
        <v>1</v>
      </c>
    </row>
    <row r="494" spans="1:20">
      <c r="A494" s="5" t="s">
        <v>1075</v>
      </c>
      <c r="B494" s="5" t="s">
        <v>1076</v>
      </c>
      <c r="C494" s="6">
        <v>45071</v>
      </c>
      <c r="D494" s="5">
        <v>35</v>
      </c>
      <c r="E494" s="5" t="s">
        <v>36</v>
      </c>
      <c r="F494" s="5" t="s">
        <v>32</v>
      </c>
      <c r="G494" s="5" t="s">
        <v>22</v>
      </c>
      <c r="H494" s="7">
        <v>318</v>
      </c>
      <c r="I494" s="3">
        <v>1</v>
      </c>
      <c r="J494" s="4">
        <v>0</v>
      </c>
      <c r="K494" s="7">
        <v>318</v>
      </c>
      <c r="L494" s="5" t="s">
        <v>692</v>
      </c>
      <c r="M494" s="5" t="s">
        <v>33</v>
      </c>
      <c r="N494" s="3">
        <v>32</v>
      </c>
      <c r="O494" s="3">
        <v>11</v>
      </c>
      <c r="P494" s="5" t="b">
        <v>0</v>
      </c>
      <c r="Q494" s="3">
        <v>3</v>
      </c>
      <c r="R494" s="3">
        <v>2</v>
      </c>
      <c r="T494">
        <f t="shared" si="7"/>
        <v>1</v>
      </c>
    </row>
    <row r="495" spans="1:20">
      <c r="A495" s="5" t="s">
        <v>576</v>
      </c>
      <c r="B495" s="5" t="s">
        <v>577</v>
      </c>
      <c r="C495" s="6">
        <v>45236</v>
      </c>
      <c r="D495" s="5">
        <v>24</v>
      </c>
      <c r="E495" s="5" t="s">
        <v>20</v>
      </c>
      <c r="F495" s="5" t="s">
        <v>32</v>
      </c>
      <c r="G495" s="5" t="s">
        <v>53</v>
      </c>
      <c r="H495" s="7">
        <v>46.29</v>
      </c>
      <c r="I495" s="3">
        <v>1</v>
      </c>
      <c r="J495" s="4">
        <v>0</v>
      </c>
      <c r="K495" s="7">
        <v>46.29</v>
      </c>
      <c r="L495" s="5" t="s">
        <v>327</v>
      </c>
      <c r="M495" s="5" t="s">
        <v>33</v>
      </c>
      <c r="N495" s="3">
        <v>5</v>
      </c>
      <c r="O495" s="3">
        <v>7</v>
      </c>
      <c r="P495" s="5" t="b">
        <v>0</v>
      </c>
      <c r="Q495" s="3">
        <v>4</v>
      </c>
      <c r="R495" s="3">
        <v>5</v>
      </c>
      <c r="T495">
        <f t="shared" si="7"/>
        <v>1</v>
      </c>
    </row>
    <row r="496" spans="1:20">
      <c r="A496" s="5" t="s">
        <v>1077</v>
      </c>
      <c r="B496" s="5" t="s">
        <v>1078</v>
      </c>
      <c r="C496" s="6">
        <v>45034</v>
      </c>
      <c r="D496" s="5">
        <v>53</v>
      </c>
      <c r="E496" s="5" t="s">
        <v>36</v>
      </c>
      <c r="F496" s="5" t="s">
        <v>21</v>
      </c>
      <c r="G496" s="5" t="s">
        <v>37</v>
      </c>
      <c r="H496" s="7">
        <v>82.32</v>
      </c>
      <c r="I496" s="3">
        <v>1</v>
      </c>
      <c r="J496" s="4">
        <v>0</v>
      </c>
      <c r="K496" s="7">
        <v>82.32</v>
      </c>
      <c r="L496" s="5" t="s">
        <v>692</v>
      </c>
      <c r="M496" s="5" t="s">
        <v>24</v>
      </c>
      <c r="N496" s="3">
        <v>16</v>
      </c>
      <c r="O496" s="3">
        <v>10</v>
      </c>
      <c r="P496" s="5" t="b">
        <v>1</v>
      </c>
      <c r="Q496" s="3">
        <v>4</v>
      </c>
      <c r="R496" s="3">
        <v>4</v>
      </c>
      <c r="T496">
        <f t="shared" si="7"/>
        <v>1</v>
      </c>
    </row>
    <row r="497" spans="1:20">
      <c r="A497" s="5" t="s">
        <v>247</v>
      </c>
      <c r="B497" s="5" t="s">
        <v>248</v>
      </c>
      <c r="C497" s="6">
        <v>45294</v>
      </c>
      <c r="D497" s="5">
        <v>41</v>
      </c>
      <c r="E497" s="5" t="s">
        <v>20</v>
      </c>
      <c r="F497" s="5" t="s">
        <v>59</v>
      </c>
      <c r="G497" s="5" t="s">
        <v>64</v>
      </c>
      <c r="H497" s="7">
        <v>734.28</v>
      </c>
      <c r="I497" s="3">
        <v>2</v>
      </c>
      <c r="J497" s="4">
        <v>0</v>
      </c>
      <c r="K497" s="7">
        <v>1468.56</v>
      </c>
      <c r="L497" s="5" t="s">
        <v>23</v>
      </c>
      <c r="M497" s="5" t="s">
        <v>24</v>
      </c>
      <c r="N497" s="3">
        <v>18</v>
      </c>
      <c r="O497" s="3">
        <v>5</v>
      </c>
      <c r="P497" s="5" t="b">
        <v>1</v>
      </c>
      <c r="Q497" s="3">
        <v>9</v>
      </c>
      <c r="R497" s="3">
        <v>3</v>
      </c>
      <c r="T497">
        <f t="shared" si="7"/>
        <v>1</v>
      </c>
    </row>
    <row r="498" spans="1:20">
      <c r="A498" s="5" t="s">
        <v>249</v>
      </c>
      <c r="B498" s="5" t="s">
        <v>250</v>
      </c>
      <c r="C498" s="6">
        <v>45102</v>
      </c>
      <c r="D498" s="5">
        <v>22</v>
      </c>
      <c r="E498" s="5" t="s">
        <v>36</v>
      </c>
      <c r="F498" s="5" t="s">
        <v>27</v>
      </c>
      <c r="G498" s="5" t="s">
        <v>64</v>
      </c>
      <c r="H498" s="7">
        <v>2148.3200000000002</v>
      </c>
      <c r="I498" s="3">
        <v>2</v>
      </c>
      <c r="J498" s="4">
        <v>0</v>
      </c>
      <c r="K498" s="7">
        <v>4296.6400000000003</v>
      </c>
      <c r="L498" s="5" t="s">
        <v>23</v>
      </c>
      <c r="M498" s="5" t="s">
        <v>24</v>
      </c>
      <c r="N498" s="3">
        <v>28</v>
      </c>
      <c r="O498" s="3">
        <v>8</v>
      </c>
      <c r="P498" s="5" t="b">
        <v>1</v>
      </c>
      <c r="Q498" s="3">
        <v>6</v>
      </c>
      <c r="R498" s="3">
        <v>5</v>
      </c>
      <c r="T498">
        <f t="shared" si="7"/>
        <v>1</v>
      </c>
    </row>
    <row r="499" spans="1:20">
      <c r="A499" s="5" t="s">
        <v>1395</v>
      </c>
      <c r="B499" s="5" t="s">
        <v>1396</v>
      </c>
      <c r="C499" s="6">
        <v>45031</v>
      </c>
      <c r="D499" s="5">
        <v>32</v>
      </c>
      <c r="E499" s="5" t="s">
        <v>36</v>
      </c>
      <c r="F499" s="5" t="s">
        <v>76</v>
      </c>
      <c r="G499" s="5" t="s">
        <v>22</v>
      </c>
      <c r="H499" s="7">
        <v>669.82</v>
      </c>
      <c r="I499" s="3">
        <v>1</v>
      </c>
      <c r="J499" s="4">
        <v>0</v>
      </c>
      <c r="K499" s="7">
        <v>669.82</v>
      </c>
      <c r="L499" s="5" t="s">
        <v>1298</v>
      </c>
      <c r="M499" s="5" t="s">
        <v>24</v>
      </c>
      <c r="N499" s="3">
        <v>9</v>
      </c>
      <c r="O499" s="3">
        <v>9</v>
      </c>
      <c r="P499" s="5" t="b">
        <v>1</v>
      </c>
      <c r="Q499" s="3">
        <v>8</v>
      </c>
      <c r="R499" s="3">
        <v>5</v>
      </c>
      <c r="T499">
        <f t="shared" si="7"/>
        <v>1</v>
      </c>
    </row>
    <row r="500" spans="1:20">
      <c r="A500" s="5" t="s">
        <v>1079</v>
      </c>
      <c r="B500" s="5" t="s">
        <v>1080</v>
      </c>
      <c r="C500" s="6">
        <v>45278</v>
      </c>
      <c r="D500" s="5">
        <v>24</v>
      </c>
      <c r="E500" s="5" t="s">
        <v>36</v>
      </c>
      <c r="F500" s="5" t="s">
        <v>73</v>
      </c>
      <c r="G500" s="5" t="s">
        <v>56</v>
      </c>
      <c r="H500" s="7">
        <v>524.52</v>
      </c>
      <c r="I500" s="3">
        <v>1</v>
      </c>
      <c r="J500" s="4">
        <v>0</v>
      </c>
      <c r="K500" s="7">
        <v>524.52</v>
      </c>
      <c r="L500" s="5" t="s">
        <v>692</v>
      </c>
      <c r="M500" s="5" t="s">
        <v>24</v>
      </c>
      <c r="N500" s="3">
        <v>6</v>
      </c>
      <c r="O500" s="3">
        <v>11</v>
      </c>
      <c r="P500" s="5" t="b">
        <v>1</v>
      </c>
      <c r="Q500" s="3">
        <v>6</v>
      </c>
      <c r="R500" s="3">
        <v>4</v>
      </c>
      <c r="T500">
        <f t="shared" si="7"/>
        <v>1</v>
      </c>
    </row>
    <row r="501" spans="1:20">
      <c r="A501" s="5" t="s">
        <v>578</v>
      </c>
      <c r="B501" s="5" t="s">
        <v>579</v>
      </c>
      <c r="C501" s="6">
        <v>45251</v>
      </c>
      <c r="D501" s="5">
        <v>18</v>
      </c>
      <c r="E501" s="5" t="s">
        <v>20</v>
      </c>
      <c r="F501" s="5" t="s">
        <v>32</v>
      </c>
      <c r="G501" s="5" t="s">
        <v>37</v>
      </c>
      <c r="H501" s="7">
        <v>48.17</v>
      </c>
      <c r="I501" s="3">
        <v>2</v>
      </c>
      <c r="J501" s="4">
        <v>0</v>
      </c>
      <c r="K501" s="7">
        <v>96.34</v>
      </c>
      <c r="L501" s="5" t="s">
        <v>327</v>
      </c>
      <c r="M501" s="5" t="s">
        <v>29</v>
      </c>
      <c r="N501" s="3">
        <v>9</v>
      </c>
      <c r="O501" s="3">
        <v>9</v>
      </c>
      <c r="P501" s="5" t="b">
        <v>0</v>
      </c>
      <c r="Q501" s="3">
        <v>7</v>
      </c>
      <c r="R501" s="3">
        <v>5</v>
      </c>
      <c r="T501">
        <f t="shared" si="7"/>
        <v>1</v>
      </c>
    </row>
    <row r="502" spans="1:20">
      <c r="A502" s="5" t="s">
        <v>1397</v>
      </c>
      <c r="B502" s="5" t="s">
        <v>1398</v>
      </c>
      <c r="C502" s="6">
        <v>45363</v>
      </c>
      <c r="D502" s="5">
        <v>46</v>
      </c>
      <c r="E502" s="5" t="s">
        <v>20</v>
      </c>
      <c r="F502" s="5" t="s">
        <v>73</v>
      </c>
      <c r="G502" s="5" t="s">
        <v>46</v>
      </c>
      <c r="H502" s="7">
        <v>725.33</v>
      </c>
      <c r="I502" s="3">
        <v>5</v>
      </c>
      <c r="J502" s="4">
        <v>0</v>
      </c>
      <c r="K502" s="7">
        <v>3626.65</v>
      </c>
      <c r="L502" s="5" t="s">
        <v>1298</v>
      </c>
      <c r="M502" s="5" t="s">
        <v>24</v>
      </c>
      <c r="N502" s="3">
        <v>12</v>
      </c>
      <c r="O502" s="3">
        <v>7</v>
      </c>
      <c r="P502" s="5" t="b">
        <v>0</v>
      </c>
      <c r="Q502" s="3">
        <v>4</v>
      </c>
      <c r="R502" s="3">
        <v>5</v>
      </c>
      <c r="T502">
        <f t="shared" si="7"/>
        <v>1</v>
      </c>
    </row>
    <row r="503" spans="1:20">
      <c r="A503" s="5" t="s">
        <v>251</v>
      </c>
      <c r="B503" s="5" t="s">
        <v>252</v>
      </c>
      <c r="C503" s="6">
        <v>45062</v>
      </c>
      <c r="D503" s="5">
        <v>57</v>
      </c>
      <c r="E503" s="5" t="s">
        <v>36</v>
      </c>
      <c r="F503" s="5" t="s">
        <v>27</v>
      </c>
      <c r="G503" s="5" t="s">
        <v>56</v>
      </c>
      <c r="H503" s="7">
        <v>423.12</v>
      </c>
      <c r="I503" s="3">
        <v>2</v>
      </c>
      <c r="J503" s="4">
        <v>0</v>
      </c>
      <c r="K503" s="7">
        <v>846.24</v>
      </c>
      <c r="L503" s="5" t="s">
        <v>23</v>
      </c>
      <c r="M503" s="5" t="s">
        <v>24</v>
      </c>
      <c r="N503" s="3">
        <v>17</v>
      </c>
      <c r="O503" s="3">
        <v>12</v>
      </c>
      <c r="P503" s="5" t="b">
        <v>1</v>
      </c>
      <c r="Q503" s="3">
        <v>7</v>
      </c>
      <c r="R503" s="3">
        <v>5</v>
      </c>
      <c r="T503">
        <f t="shared" si="7"/>
        <v>1</v>
      </c>
    </row>
    <row r="504" spans="1:20">
      <c r="A504" s="5" t="s">
        <v>1081</v>
      </c>
      <c r="B504" s="5" t="s">
        <v>1082</v>
      </c>
      <c r="C504" s="6">
        <v>45185</v>
      </c>
      <c r="D504" s="5">
        <v>18</v>
      </c>
      <c r="E504" s="5" t="s">
        <v>20</v>
      </c>
      <c r="F504" s="5" t="s">
        <v>32</v>
      </c>
      <c r="G504" s="5" t="s">
        <v>64</v>
      </c>
      <c r="H504" s="7">
        <v>725.66</v>
      </c>
      <c r="I504" s="3">
        <v>2</v>
      </c>
      <c r="J504" s="4">
        <v>0</v>
      </c>
      <c r="K504" s="7">
        <v>1451.32</v>
      </c>
      <c r="L504" s="5" t="s">
        <v>692</v>
      </c>
      <c r="M504" s="5" t="s">
        <v>29</v>
      </c>
      <c r="N504" s="3">
        <v>25</v>
      </c>
      <c r="O504" s="3">
        <v>10</v>
      </c>
      <c r="P504" s="5" t="b">
        <v>0</v>
      </c>
      <c r="Q504" s="3">
        <v>9</v>
      </c>
      <c r="R504" s="3">
        <v>3</v>
      </c>
      <c r="T504">
        <f t="shared" si="7"/>
        <v>1</v>
      </c>
    </row>
    <row r="505" spans="1:20">
      <c r="A505" s="5" t="s">
        <v>580</v>
      </c>
      <c r="B505" s="5" t="s">
        <v>581</v>
      </c>
      <c r="C505" s="6">
        <v>45177</v>
      </c>
      <c r="D505" s="5">
        <v>41</v>
      </c>
      <c r="E505" s="5" t="s">
        <v>36</v>
      </c>
      <c r="F505" s="5" t="s">
        <v>32</v>
      </c>
      <c r="G505" s="5" t="s">
        <v>28</v>
      </c>
      <c r="H505" s="7">
        <v>43.88</v>
      </c>
      <c r="I505" s="3">
        <v>1</v>
      </c>
      <c r="J505" s="4">
        <v>0</v>
      </c>
      <c r="K505" s="7">
        <v>43.88</v>
      </c>
      <c r="L505" s="5" t="s">
        <v>327</v>
      </c>
      <c r="M505" s="5" t="s">
        <v>33</v>
      </c>
      <c r="N505" s="3">
        <v>18</v>
      </c>
      <c r="O505" s="3">
        <v>10</v>
      </c>
      <c r="P505" s="5" t="b">
        <v>1</v>
      </c>
      <c r="Q505" s="3">
        <v>3</v>
      </c>
      <c r="R505" s="3">
        <v>4</v>
      </c>
      <c r="T505">
        <f t="shared" si="7"/>
        <v>1</v>
      </c>
    </row>
    <row r="506" spans="1:20">
      <c r="A506" s="5" t="s">
        <v>1399</v>
      </c>
      <c r="B506" s="5" t="s">
        <v>1400</v>
      </c>
      <c r="C506" s="6">
        <v>45055</v>
      </c>
      <c r="D506" s="5">
        <v>27</v>
      </c>
      <c r="E506" s="5" t="s">
        <v>36</v>
      </c>
      <c r="F506" s="5" t="s">
        <v>32</v>
      </c>
      <c r="G506" s="5" t="s">
        <v>37</v>
      </c>
      <c r="H506" s="7">
        <v>133</v>
      </c>
      <c r="I506" s="3">
        <v>2</v>
      </c>
      <c r="J506" s="4">
        <v>0</v>
      </c>
      <c r="K506" s="7">
        <v>266</v>
      </c>
      <c r="L506" s="5" t="s">
        <v>1298</v>
      </c>
      <c r="M506" s="5" t="s">
        <v>24</v>
      </c>
      <c r="N506" s="3">
        <v>8</v>
      </c>
      <c r="O506" s="3">
        <v>9</v>
      </c>
      <c r="P506" s="5" t="b">
        <v>1</v>
      </c>
      <c r="Q506" s="3">
        <v>5</v>
      </c>
      <c r="R506" s="3">
        <v>2</v>
      </c>
      <c r="T506">
        <f t="shared" si="7"/>
        <v>1</v>
      </c>
    </row>
    <row r="507" spans="1:20">
      <c r="A507" s="5" t="s">
        <v>582</v>
      </c>
      <c r="B507" s="5" t="s">
        <v>583</v>
      </c>
      <c r="C507" s="6">
        <v>45360</v>
      </c>
      <c r="D507" s="5">
        <v>29</v>
      </c>
      <c r="E507" s="5" t="s">
        <v>20</v>
      </c>
      <c r="F507" s="5" t="s">
        <v>73</v>
      </c>
      <c r="G507" s="5" t="s">
        <v>28</v>
      </c>
      <c r="H507" s="7">
        <v>314.54000000000002</v>
      </c>
      <c r="I507" s="3">
        <v>4</v>
      </c>
      <c r="J507" s="4">
        <v>0</v>
      </c>
      <c r="K507" s="7">
        <v>1258.1600000000001</v>
      </c>
      <c r="L507" s="5" t="s">
        <v>327</v>
      </c>
      <c r="M507" s="5" t="s">
        <v>24</v>
      </c>
      <c r="N507" s="3">
        <v>13</v>
      </c>
      <c r="O507" s="3">
        <v>8</v>
      </c>
      <c r="P507" s="5" t="b">
        <v>1</v>
      </c>
      <c r="Q507" s="3">
        <v>7</v>
      </c>
      <c r="R507" s="3">
        <v>4</v>
      </c>
      <c r="T507">
        <f t="shared" si="7"/>
        <v>1</v>
      </c>
    </row>
    <row r="508" spans="1:20">
      <c r="A508" s="5" t="s">
        <v>253</v>
      </c>
      <c r="B508" s="5" t="s">
        <v>254</v>
      </c>
      <c r="C508" s="6">
        <v>44953</v>
      </c>
      <c r="D508" s="5">
        <v>27</v>
      </c>
      <c r="E508" s="5" t="s">
        <v>20</v>
      </c>
      <c r="F508" s="5" t="s">
        <v>88</v>
      </c>
      <c r="G508" s="5" t="s">
        <v>64</v>
      </c>
      <c r="H508" s="7">
        <v>503.88</v>
      </c>
      <c r="I508" s="3">
        <v>5</v>
      </c>
      <c r="J508" s="4">
        <v>0</v>
      </c>
      <c r="K508" s="7">
        <v>2519.4</v>
      </c>
      <c r="L508" s="5" t="s">
        <v>23</v>
      </c>
      <c r="M508" s="5" t="s">
        <v>24</v>
      </c>
      <c r="N508" s="3">
        <v>14</v>
      </c>
      <c r="O508" s="3">
        <v>4</v>
      </c>
      <c r="P508" s="5" t="b">
        <v>1</v>
      </c>
      <c r="Q508" s="3">
        <v>7</v>
      </c>
      <c r="R508" s="3">
        <v>5</v>
      </c>
      <c r="T508">
        <f t="shared" si="7"/>
        <v>1</v>
      </c>
    </row>
    <row r="509" spans="1:20">
      <c r="A509" s="5" t="s">
        <v>584</v>
      </c>
      <c r="B509" s="5" t="s">
        <v>585</v>
      </c>
      <c r="C509" s="6">
        <v>44974</v>
      </c>
      <c r="D509" s="5">
        <v>24</v>
      </c>
      <c r="E509" s="5" t="s">
        <v>20</v>
      </c>
      <c r="F509" s="5" t="s">
        <v>49</v>
      </c>
      <c r="G509" s="5" t="s">
        <v>53</v>
      </c>
      <c r="H509" s="7">
        <v>40.43</v>
      </c>
      <c r="I509" s="3">
        <v>1</v>
      </c>
      <c r="J509" s="4">
        <v>0</v>
      </c>
      <c r="K509" s="7">
        <v>40.43</v>
      </c>
      <c r="L509" s="5" t="s">
        <v>327</v>
      </c>
      <c r="M509" s="5" t="s">
        <v>33</v>
      </c>
      <c r="N509" s="3">
        <v>16</v>
      </c>
      <c r="O509" s="3">
        <v>7</v>
      </c>
      <c r="P509" s="5" t="b">
        <v>1</v>
      </c>
      <c r="Q509" s="3">
        <v>3</v>
      </c>
      <c r="R509" s="3">
        <v>5</v>
      </c>
      <c r="T509">
        <f t="shared" si="7"/>
        <v>1</v>
      </c>
    </row>
    <row r="510" spans="1:20">
      <c r="A510" s="5" t="s">
        <v>1083</v>
      </c>
      <c r="B510" s="5" t="s">
        <v>1084</v>
      </c>
      <c r="C510" s="6">
        <v>45251</v>
      </c>
      <c r="D510" s="5">
        <v>35</v>
      </c>
      <c r="E510" s="5" t="s">
        <v>36</v>
      </c>
      <c r="F510" s="5" t="s">
        <v>83</v>
      </c>
      <c r="G510" s="5" t="s">
        <v>56</v>
      </c>
      <c r="H510" s="7">
        <v>490.05</v>
      </c>
      <c r="I510" s="3">
        <v>1</v>
      </c>
      <c r="J510" s="4">
        <v>0</v>
      </c>
      <c r="K510" s="7">
        <v>490.05</v>
      </c>
      <c r="L510" s="5" t="s">
        <v>692</v>
      </c>
      <c r="M510" s="5" t="s">
        <v>33</v>
      </c>
      <c r="N510" s="3">
        <v>12</v>
      </c>
      <c r="O510" s="3">
        <v>6</v>
      </c>
      <c r="P510" s="5" t="b">
        <v>1</v>
      </c>
      <c r="Q510" s="3">
        <v>12</v>
      </c>
      <c r="R510" s="3">
        <v>5</v>
      </c>
      <c r="T510">
        <f t="shared" si="7"/>
        <v>1</v>
      </c>
    </row>
    <row r="511" spans="1:20">
      <c r="A511" s="5" t="s">
        <v>1085</v>
      </c>
      <c r="B511" s="5" t="s">
        <v>1086</v>
      </c>
      <c r="C511" s="6">
        <v>45143</v>
      </c>
      <c r="D511" s="5">
        <v>25</v>
      </c>
      <c r="E511" s="5" t="s">
        <v>20</v>
      </c>
      <c r="F511" s="5" t="s">
        <v>32</v>
      </c>
      <c r="G511" s="5" t="s">
        <v>46</v>
      </c>
      <c r="H511" s="7">
        <v>239.25</v>
      </c>
      <c r="I511" s="3">
        <v>3</v>
      </c>
      <c r="J511" s="4">
        <v>0</v>
      </c>
      <c r="K511" s="7">
        <v>717.75</v>
      </c>
      <c r="L511" s="5" t="s">
        <v>692</v>
      </c>
      <c r="M511" s="5" t="s">
        <v>33</v>
      </c>
      <c r="N511" s="3">
        <v>17</v>
      </c>
      <c r="O511" s="3">
        <v>8</v>
      </c>
      <c r="P511" s="5" t="b">
        <v>1</v>
      </c>
      <c r="Q511" s="3">
        <v>5</v>
      </c>
      <c r="R511" s="3">
        <v>4</v>
      </c>
      <c r="T511">
        <f t="shared" si="7"/>
        <v>1</v>
      </c>
    </row>
    <row r="512" spans="1:20">
      <c r="A512" s="5" t="s">
        <v>1087</v>
      </c>
      <c r="B512" s="5" t="s">
        <v>1088</v>
      </c>
      <c r="C512" s="6">
        <v>45351</v>
      </c>
      <c r="D512" s="5">
        <v>38</v>
      </c>
      <c r="E512" s="5" t="s">
        <v>20</v>
      </c>
      <c r="F512" s="5" t="s">
        <v>88</v>
      </c>
      <c r="G512" s="5" t="s">
        <v>53</v>
      </c>
      <c r="H512" s="7">
        <v>112.45</v>
      </c>
      <c r="I512" s="3">
        <v>3</v>
      </c>
      <c r="J512" s="4">
        <v>0</v>
      </c>
      <c r="K512" s="7">
        <v>337.35</v>
      </c>
      <c r="L512" s="5" t="s">
        <v>692</v>
      </c>
      <c r="M512" s="5" t="s">
        <v>24</v>
      </c>
      <c r="N512" s="3">
        <v>10</v>
      </c>
      <c r="O512" s="3">
        <v>11</v>
      </c>
      <c r="P512" s="5" t="b">
        <v>1</v>
      </c>
      <c r="Q512" s="3">
        <v>5</v>
      </c>
      <c r="R512" s="3">
        <v>5</v>
      </c>
      <c r="T512">
        <f t="shared" si="7"/>
        <v>1</v>
      </c>
    </row>
    <row r="513" spans="1:20">
      <c r="A513" s="5" t="s">
        <v>1089</v>
      </c>
      <c r="B513" s="5" t="s">
        <v>1090</v>
      </c>
      <c r="C513" s="6">
        <v>45068</v>
      </c>
      <c r="D513" s="5">
        <v>34</v>
      </c>
      <c r="E513" s="5" t="s">
        <v>20</v>
      </c>
      <c r="F513" s="5" t="s">
        <v>59</v>
      </c>
      <c r="G513" s="5" t="s">
        <v>46</v>
      </c>
      <c r="H513" s="7">
        <v>122.1</v>
      </c>
      <c r="I513" s="3">
        <v>1</v>
      </c>
      <c r="J513" s="4">
        <v>0</v>
      </c>
      <c r="K513" s="7">
        <v>122.1</v>
      </c>
      <c r="L513" s="5" t="s">
        <v>692</v>
      </c>
      <c r="M513" s="5" t="s">
        <v>33</v>
      </c>
      <c r="N513" s="3">
        <v>28</v>
      </c>
      <c r="O513" s="3">
        <v>9</v>
      </c>
      <c r="P513" s="5" t="b">
        <v>0</v>
      </c>
      <c r="Q513" s="3">
        <v>17</v>
      </c>
      <c r="R513" s="3">
        <v>4</v>
      </c>
      <c r="T513">
        <f t="shared" si="7"/>
        <v>1</v>
      </c>
    </row>
    <row r="514" spans="1:20">
      <c r="A514" s="5" t="s">
        <v>1401</v>
      </c>
      <c r="B514" s="5" t="s">
        <v>1402</v>
      </c>
      <c r="C514" s="6">
        <v>44949</v>
      </c>
      <c r="D514" s="5">
        <v>32</v>
      </c>
      <c r="E514" s="5" t="s">
        <v>36</v>
      </c>
      <c r="F514" s="5" t="s">
        <v>52</v>
      </c>
      <c r="G514" s="5" t="s">
        <v>53</v>
      </c>
      <c r="H514" s="7">
        <v>63.89</v>
      </c>
      <c r="I514" s="3">
        <v>2</v>
      </c>
      <c r="J514" s="4">
        <v>11.91</v>
      </c>
      <c r="K514" s="7">
        <v>115.87</v>
      </c>
      <c r="L514" s="5" t="s">
        <v>1298</v>
      </c>
      <c r="M514" s="5" t="s">
        <v>29</v>
      </c>
      <c r="N514" s="3">
        <v>21</v>
      </c>
      <c r="O514" s="3">
        <v>13</v>
      </c>
      <c r="P514" s="5" t="b">
        <v>1</v>
      </c>
      <c r="Q514" s="3">
        <v>7</v>
      </c>
      <c r="R514" s="3">
        <v>1</v>
      </c>
      <c r="T514">
        <f t="shared" si="7"/>
        <v>1</v>
      </c>
    </row>
    <row r="515" spans="1:20">
      <c r="A515" s="5" t="s">
        <v>255</v>
      </c>
      <c r="B515" s="5" t="s">
        <v>256</v>
      </c>
      <c r="C515" s="6">
        <v>44928</v>
      </c>
      <c r="D515" s="5">
        <v>24</v>
      </c>
      <c r="E515" s="5" t="s">
        <v>20</v>
      </c>
      <c r="F515" s="5" t="s">
        <v>83</v>
      </c>
      <c r="G515" s="5" t="s">
        <v>56</v>
      </c>
      <c r="H515" s="7">
        <v>897.02</v>
      </c>
      <c r="I515" s="3">
        <v>5</v>
      </c>
      <c r="J515" s="4">
        <v>0</v>
      </c>
      <c r="K515" s="7">
        <v>4485.1000000000004</v>
      </c>
      <c r="L515" s="5" t="s">
        <v>23</v>
      </c>
      <c r="M515" s="5" t="s">
        <v>24</v>
      </c>
      <c r="N515" s="3">
        <v>17</v>
      </c>
      <c r="O515" s="3">
        <v>7</v>
      </c>
      <c r="P515" s="5" t="b">
        <v>1</v>
      </c>
      <c r="Q515" s="3">
        <v>8</v>
      </c>
      <c r="R515" s="3">
        <v>4</v>
      </c>
      <c r="T515">
        <f t="shared" ref="T515:T578" si="8">COUNTIF(A515:A1213,A515)</f>
        <v>1</v>
      </c>
    </row>
    <row r="516" spans="1:20">
      <c r="A516" s="5" t="s">
        <v>257</v>
      </c>
      <c r="B516" s="5" t="s">
        <v>258</v>
      </c>
      <c r="C516" s="6">
        <v>45097</v>
      </c>
      <c r="D516" s="5">
        <v>28</v>
      </c>
      <c r="E516" s="5" t="s">
        <v>20</v>
      </c>
      <c r="F516" s="5" t="s">
        <v>52</v>
      </c>
      <c r="G516" s="5" t="s">
        <v>64</v>
      </c>
      <c r="H516" s="7">
        <v>764.24</v>
      </c>
      <c r="I516" s="3">
        <v>2</v>
      </c>
      <c r="J516" s="4">
        <v>0</v>
      </c>
      <c r="K516" s="7">
        <v>1528.48</v>
      </c>
      <c r="L516" s="5" t="s">
        <v>23</v>
      </c>
      <c r="M516" s="5" t="s">
        <v>33</v>
      </c>
      <c r="N516" s="3">
        <v>11</v>
      </c>
      <c r="O516" s="3">
        <v>2</v>
      </c>
      <c r="P516" s="5" t="b">
        <v>1</v>
      </c>
      <c r="Q516" s="3">
        <v>6</v>
      </c>
      <c r="R516" s="3">
        <v>4</v>
      </c>
      <c r="T516">
        <f t="shared" si="8"/>
        <v>1</v>
      </c>
    </row>
    <row r="517" spans="1:20">
      <c r="A517" s="5" t="s">
        <v>586</v>
      </c>
      <c r="B517" s="5" t="s">
        <v>587</v>
      </c>
      <c r="C517" s="6">
        <v>45321</v>
      </c>
      <c r="D517" s="5">
        <v>44</v>
      </c>
      <c r="E517" s="5" t="s">
        <v>36</v>
      </c>
      <c r="F517" s="5" t="s">
        <v>88</v>
      </c>
      <c r="G517" s="5" t="s">
        <v>46</v>
      </c>
      <c r="H517" s="7">
        <v>193.85</v>
      </c>
      <c r="I517" s="3">
        <v>4</v>
      </c>
      <c r="J517" s="4">
        <v>44.4</v>
      </c>
      <c r="K517" s="7">
        <v>731</v>
      </c>
      <c r="L517" s="5" t="s">
        <v>327</v>
      </c>
      <c r="M517" s="5" t="s">
        <v>24</v>
      </c>
      <c r="N517" s="3">
        <v>14</v>
      </c>
      <c r="O517" s="3">
        <v>11</v>
      </c>
      <c r="P517" s="5" t="b">
        <v>0</v>
      </c>
      <c r="Q517" s="3">
        <v>6</v>
      </c>
      <c r="R517" s="3">
        <v>3</v>
      </c>
      <c r="T517">
        <f t="shared" si="8"/>
        <v>1</v>
      </c>
    </row>
    <row r="518" spans="1:20">
      <c r="A518" s="5" t="s">
        <v>1091</v>
      </c>
      <c r="B518" s="5" t="s">
        <v>1092</v>
      </c>
      <c r="C518" s="6">
        <v>44993</v>
      </c>
      <c r="D518" s="5">
        <v>41</v>
      </c>
      <c r="E518" s="5" t="s">
        <v>36</v>
      </c>
      <c r="F518" s="5" t="s">
        <v>88</v>
      </c>
      <c r="G518" s="5" t="s">
        <v>115</v>
      </c>
      <c r="H518" s="7">
        <v>37.49</v>
      </c>
      <c r="I518" s="3">
        <v>5</v>
      </c>
      <c r="J518" s="4">
        <v>0</v>
      </c>
      <c r="K518" s="7">
        <v>187.45</v>
      </c>
      <c r="L518" s="5" t="s">
        <v>692</v>
      </c>
      <c r="M518" s="5" t="s">
        <v>24</v>
      </c>
      <c r="N518" s="3">
        <v>9</v>
      </c>
      <c r="O518" s="3">
        <v>10</v>
      </c>
      <c r="P518" s="5" t="b">
        <v>1</v>
      </c>
      <c r="Q518" s="3">
        <v>8</v>
      </c>
      <c r="R518" s="3">
        <v>3</v>
      </c>
      <c r="T518">
        <f t="shared" si="8"/>
        <v>1</v>
      </c>
    </row>
    <row r="519" spans="1:20">
      <c r="A519" s="5" t="s">
        <v>1093</v>
      </c>
      <c r="B519" s="5" t="s">
        <v>1094</v>
      </c>
      <c r="C519" s="6">
        <v>45253</v>
      </c>
      <c r="D519" s="5">
        <v>23</v>
      </c>
      <c r="E519" s="5" t="s">
        <v>36</v>
      </c>
      <c r="F519" s="5" t="s">
        <v>27</v>
      </c>
      <c r="G519" s="5" t="s">
        <v>56</v>
      </c>
      <c r="H519" s="7">
        <v>114.26</v>
      </c>
      <c r="I519" s="3">
        <v>1</v>
      </c>
      <c r="J519" s="4">
        <v>0</v>
      </c>
      <c r="K519" s="7">
        <v>114.26</v>
      </c>
      <c r="L519" s="5" t="s">
        <v>692</v>
      </c>
      <c r="M519" s="5" t="s">
        <v>33</v>
      </c>
      <c r="N519" s="3">
        <v>23</v>
      </c>
      <c r="O519" s="3">
        <v>6</v>
      </c>
      <c r="P519" s="5" t="b">
        <v>1</v>
      </c>
      <c r="Q519" s="3">
        <v>3</v>
      </c>
      <c r="R519" s="3">
        <v>3</v>
      </c>
      <c r="T519">
        <f t="shared" si="8"/>
        <v>1</v>
      </c>
    </row>
    <row r="520" spans="1:20">
      <c r="A520" s="5" t="s">
        <v>1403</v>
      </c>
      <c r="B520" s="5" t="s">
        <v>1404</v>
      </c>
      <c r="C520" s="6">
        <v>45061</v>
      </c>
      <c r="D520" s="5">
        <v>36</v>
      </c>
      <c r="E520" s="5" t="s">
        <v>20</v>
      </c>
      <c r="F520" s="5" t="s">
        <v>73</v>
      </c>
      <c r="G520" s="5" t="s">
        <v>46</v>
      </c>
      <c r="H520" s="7">
        <v>288.48</v>
      </c>
      <c r="I520" s="3">
        <v>1</v>
      </c>
      <c r="J520" s="4">
        <v>0</v>
      </c>
      <c r="K520" s="7">
        <v>288.48</v>
      </c>
      <c r="L520" s="5" t="s">
        <v>1298</v>
      </c>
      <c r="M520" s="5" t="s">
        <v>33</v>
      </c>
      <c r="N520" s="3">
        <v>28</v>
      </c>
      <c r="O520" s="3">
        <v>11</v>
      </c>
      <c r="P520" s="5" t="b">
        <v>1</v>
      </c>
      <c r="Q520" s="3">
        <v>6</v>
      </c>
      <c r="R520" s="3">
        <v>4</v>
      </c>
      <c r="T520">
        <f t="shared" si="8"/>
        <v>1</v>
      </c>
    </row>
    <row r="521" spans="1:20">
      <c r="A521" s="5" t="s">
        <v>588</v>
      </c>
      <c r="B521" s="5" t="s">
        <v>589</v>
      </c>
      <c r="C521" s="6">
        <v>45009</v>
      </c>
      <c r="D521" s="5">
        <v>44</v>
      </c>
      <c r="E521" s="5" t="s">
        <v>20</v>
      </c>
      <c r="F521" s="5" t="s">
        <v>32</v>
      </c>
      <c r="G521" s="5" t="s">
        <v>115</v>
      </c>
      <c r="H521" s="7">
        <v>43.96</v>
      </c>
      <c r="I521" s="3">
        <v>1</v>
      </c>
      <c r="J521" s="4">
        <v>0</v>
      </c>
      <c r="K521" s="7">
        <v>43.96</v>
      </c>
      <c r="L521" s="5" t="s">
        <v>327</v>
      </c>
      <c r="M521" s="5" t="s">
        <v>33</v>
      </c>
      <c r="N521" s="3">
        <v>24</v>
      </c>
      <c r="O521" s="3">
        <v>5</v>
      </c>
      <c r="P521" s="5" t="b">
        <v>1</v>
      </c>
      <c r="Q521" s="3">
        <v>4</v>
      </c>
      <c r="R521" s="3">
        <v>3</v>
      </c>
      <c r="T521">
        <f t="shared" si="8"/>
        <v>1</v>
      </c>
    </row>
    <row r="522" spans="1:20">
      <c r="A522" s="5" t="s">
        <v>590</v>
      </c>
      <c r="B522" s="5" t="s">
        <v>591</v>
      </c>
      <c r="C522" s="6">
        <v>45306</v>
      </c>
      <c r="D522" s="5">
        <v>18</v>
      </c>
      <c r="E522" s="5" t="s">
        <v>36</v>
      </c>
      <c r="F522" s="5" t="s">
        <v>73</v>
      </c>
      <c r="G522" s="5" t="s">
        <v>56</v>
      </c>
      <c r="H522" s="7">
        <v>1900.45</v>
      </c>
      <c r="I522" s="3">
        <v>2</v>
      </c>
      <c r="J522" s="4">
        <v>0</v>
      </c>
      <c r="K522" s="7">
        <v>3800.9</v>
      </c>
      <c r="L522" s="5" t="s">
        <v>327</v>
      </c>
      <c r="M522" s="5" t="s">
        <v>33</v>
      </c>
      <c r="N522" s="3">
        <v>5</v>
      </c>
      <c r="O522" s="3">
        <v>9</v>
      </c>
      <c r="P522" s="5" t="b">
        <v>1</v>
      </c>
      <c r="Q522" s="3">
        <v>4</v>
      </c>
      <c r="R522" s="3">
        <v>5</v>
      </c>
      <c r="T522">
        <f t="shared" si="8"/>
        <v>1</v>
      </c>
    </row>
    <row r="523" spans="1:20">
      <c r="A523" s="5" t="s">
        <v>1278</v>
      </c>
      <c r="B523" s="5" t="s">
        <v>1279</v>
      </c>
      <c r="C523" s="6">
        <v>45153</v>
      </c>
      <c r="D523" s="5">
        <v>41</v>
      </c>
      <c r="E523" s="5" t="s">
        <v>20</v>
      </c>
      <c r="F523" s="5" t="s">
        <v>52</v>
      </c>
      <c r="G523" s="5" t="s">
        <v>53</v>
      </c>
      <c r="H523" s="7">
        <v>17.25</v>
      </c>
      <c r="I523" s="3">
        <v>3</v>
      </c>
      <c r="J523" s="4">
        <v>1.07</v>
      </c>
      <c r="K523" s="7">
        <v>50.68</v>
      </c>
      <c r="L523" s="5" t="s">
        <v>1231</v>
      </c>
      <c r="M523" s="5" t="s">
        <v>24</v>
      </c>
      <c r="N523" s="3">
        <v>14</v>
      </c>
      <c r="O523" s="3">
        <v>17</v>
      </c>
      <c r="P523" s="5" t="b">
        <v>0</v>
      </c>
      <c r="Q523" s="3">
        <v>3</v>
      </c>
      <c r="R523" s="3">
        <v>4</v>
      </c>
      <c r="T523">
        <f t="shared" si="8"/>
        <v>1</v>
      </c>
    </row>
    <row r="524" spans="1:20">
      <c r="A524" s="5" t="s">
        <v>1095</v>
      </c>
      <c r="B524" s="5" t="s">
        <v>1096</v>
      </c>
      <c r="C524" s="6">
        <v>45209</v>
      </c>
      <c r="D524" s="5">
        <v>27</v>
      </c>
      <c r="E524" s="5" t="s">
        <v>36</v>
      </c>
      <c r="F524" s="5" t="s">
        <v>59</v>
      </c>
      <c r="G524" s="5" t="s">
        <v>56</v>
      </c>
      <c r="H524" s="7">
        <v>521.12</v>
      </c>
      <c r="I524" s="3">
        <v>2</v>
      </c>
      <c r="J524" s="4">
        <v>80.91</v>
      </c>
      <c r="K524" s="7">
        <v>961.33</v>
      </c>
      <c r="L524" s="5" t="s">
        <v>692</v>
      </c>
      <c r="M524" s="5" t="s">
        <v>33</v>
      </c>
      <c r="N524" s="3">
        <v>4</v>
      </c>
      <c r="O524" s="3">
        <v>9</v>
      </c>
      <c r="P524" s="5" t="b">
        <v>1</v>
      </c>
      <c r="Q524" s="3">
        <v>4</v>
      </c>
      <c r="R524" s="3">
        <v>4</v>
      </c>
      <c r="T524">
        <f t="shared" si="8"/>
        <v>1</v>
      </c>
    </row>
    <row r="525" spans="1:20">
      <c r="A525" s="5" t="s">
        <v>1405</v>
      </c>
      <c r="B525" s="5" t="s">
        <v>1406</v>
      </c>
      <c r="C525" s="6">
        <v>45288</v>
      </c>
      <c r="D525" s="5">
        <v>41</v>
      </c>
      <c r="E525" s="5" t="s">
        <v>36</v>
      </c>
      <c r="F525" s="5" t="s">
        <v>27</v>
      </c>
      <c r="G525" s="5" t="s">
        <v>53</v>
      </c>
      <c r="H525" s="7">
        <v>77.75</v>
      </c>
      <c r="I525" s="3">
        <v>1</v>
      </c>
      <c r="J525" s="4">
        <v>0</v>
      </c>
      <c r="K525" s="7">
        <v>77.75</v>
      </c>
      <c r="L525" s="5" t="s">
        <v>1298</v>
      </c>
      <c r="M525" s="5" t="s">
        <v>33</v>
      </c>
      <c r="N525" s="3">
        <v>24</v>
      </c>
      <c r="O525" s="3">
        <v>14</v>
      </c>
      <c r="P525" s="5" t="b">
        <v>0</v>
      </c>
      <c r="Q525" s="3">
        <v>4</v>
      </c>
      <c r="R525" s="3">
        <v>5</v>
      </c>
      <c r="T525">
        <f t="shared" si="8"/>
        <v>1</v>
      </c>
    </row>
    <row r="526" spans="1:20">
      <c r="A526" s="5" t="s">
        <v>1407</v>
      </c>
      <c r="B526" s="5" t="s">
        <v>1408</v>
      </c>
      <c r="C526" s="6">
        <v>45145</v>
      </c>
      <c r="D526" s="5">
        <v>25</v>
      </c>
      <c r="E526" s="5" t="s">
        <v>20</v>
      </c>
      <c r="F526" s="5" t="s">
        <v>76</v>
      </c>
      <c r="G526" s="5" t="s">
        <v>64</v>
      </c>
      <c r="H526" s="7">
        <v>4257.38</v>
      </c>
      <c r="I526" s="3">
        <v>5</v>
      </c>
      <c r="J526" s="4">
        <v>1075.0899999999999</v>
      </c>
      <c r="K526" s="7">
        <v>20211.810000000001</v>
      </c>
      <c r="L526" s="5" t="s">
        <v>1298</v>
      </c>
      <c r="M526" s="5" t="s">
        <v>24</v>
      </c>
      <c r="N526" s="3">
        <v>12</v>
      </c>
      <c r="O526" s="3">
        <v>8</v>
      </c>
      <c r="P526" s="5" t="b">
        <v>0</v>
      </c>
      <c r="Q526" s="3">
        <v>2</v>
      </c>
      <c r="R526" s="3">
        <v>4</v>
      </c>
      <c r="T526">
        <f t="shared" si="8"/>
        <v>1</v>
      </c>
    </row>
    <row r="527" spans="1:20">
      <c r="A527" s="5" t="s">
        <v>1097</v>
      </c>
      <c r="B527" s="5" t="s">
        <v>1098</v>
      </c>
      <c r="C527" s="6">
        <v>45214</v>
      </c>
      <c r="D527" s="5">
        <v>18</v>
      </c>
      <c r="E527" s="5" t="s">
        <v>36</v>
      </c>
      <c r="F527" s="5" t="s">
        <v>32</v>
      </c>
      <c r="G527" s="5" t="s">
        <v>53</v>
      </c>
      <c r="H527" s="7">
        <v>18.3</v>
      </c>
      <c r="I527" s="3">
        <v>1</v>
      </c>
      <c r="J527" s="4">
        <v>0</v>
      </c>
      <c r="K527" s="7">
        <v>18.3</v>
      </c>
      <c r="L527" s="5" t="s">
        <v>692</v>
      </c>
      <c r="M527" s="5" t="s">
        <v>29</v>
      </c>
      <c r="N527" s="3">
        <v>3</v>
      </c>
      <c r="O527" s="3">
        <v>16</v>
      </c>
      <c r="P527" s="5" t="b">
        <v>0</v>
      </c>
      <c r="Q527" s="3">
        <v>12</v>
      </c>
      <c r="R527" s="3">
        <v>4</v>
      </c>
      <c r="T527">
        <f t="shared" si="8"/>
        <v>1</v>
      </c>
    </row>
    <row r="528" spans="1:20">
      <c r="A528" s="5" t="s">
        <v>1099</v>
      </c>
      <c r="B528" s="5" t="s">
        <v>1100</v>
      </c>
      <c r="C528" s="6">
        <v>44931</v>
      </c>
      <c r="D528" s="5">
        <v>18</v>
      </c>
      <c r="E528" s="5" t="s">
        <v>36</v>
      </c>
      <c r="F528" s="5" t="s">
        <v>59</v>
      </c>
      <c r="G528" s="5" t="s">
        <v>22</v>
      </c>
      <c r="H528" s="7">
        <v>746.9</v>
      </c>
      <c r="I528" s="3">
        <v>1</v>
      </c>
      <c r="J528" s="4">
        <v>0</v>
      </c>
      <c r="K528" s="7">
        <v>746.9</v>
      </c>
      <c r="L528" s="5" t="s">
        <v>692</v>
      </c>
      <c r="M528" s="5" t="s">
        <v>33</v>
      </c>
      <c r="N528" s="3">
        <v>13</v>
      </c>
      <c r="O528" s="3">
        <v>6</v>
      </c>
      <c r="P528" s="5" t="b">
        <v>1</v>
      </c>
      <c r="Q528" s="3">
        <v>8</v>
      </c>
      <c r="R528" s="3">
        <v>5</v>
      </c>
      <c r="T528">
        <f t="shared" si="8"/>
        <v>1</v>
      </c>
    </row>
    <row r="529" spans="1:20">
      <c r="A529" s="5" t="s">
        <v>1280</v>
      </c>
      <c r="B529" s="5" t="s">
        <v>1281</v>
      </c>
      <c r="C529" s="6">
        <v>44984</v>
      </c>
      <c r="D529" s="5">
        <v>35</v>
      </c>
      <c r="E529" s="5" t="s">
        <v>20</v>
      </c>
      <c r="F529" s="5" t="s">
        <v>76</v>
      </c>
      <c r="G529" s="5" t="s">
        <v>64</v>
      </c>
      <c r="H529" s="7">
        <v>1122.1199999999999</v>
      </c>
      <c r="I529" s="3">
        <v>2</v>
      </c>
      <c r="J529" s="4">
        <v>0</v>
      </c>
      <c r="K529" s="7">
        <v>2244.2399999999998</v>
      </c>
      <c r="L529" s="5" t="s">
        <v>1231</v>
      </c>
      <c r="M529" s="5" t="s">
        <v>29</v>
      </c>
      <c r="N529" s="3">
        <v>29</v>
      </c>
      <c r="O529" s="3">
        <v>8</v>
      </c>
      <c r="P529" s="5" t="b">
        <v>0</v>
      </c>
      <c r="Q529" s="3">
        <v>3</v>
      </c>
      <c r="R529" s="3">
        <v>4</v>
      </c>
      <c r="T529">
        <f t="shared" si="8"/>
        <v>1</v>
      </c>
    </row>
    <row r="530" spans="1:20">
      <c r="A530" s="5" t="s">
        <v>592</v>
      </c>
      <c r="B530" s="5" t="s">
        <v>593</v>
      </c>
      <c r="C530" s="6">
        <v>44965</v>
      </c>
      <c r="D530" s="5">
        <v>38</v>
      </c>
      <c r="E530" s="5" t="s">
        <v>36</v>
      </c>
      <c r="F530" s="5" t="s">
        <v>59</v>
      </c>
      <c r="G530" s="5" t="s">
        <v>28</v>
      </c>
      <c r="H530" s="7">
        <v>116.84</v>
      </c>
      <c r="I530" s="3">
        <v>1</v>
      </c>
      <c r="J530" s="4">
        <v>0</v>
      </c>
      <c r="K530" s="7">
        <v>116.84</v>
      </c>
      <c r="L530" s="5" t="s">
        <v>327</v>
      </c>
      <c r="M530" s="5" t="s">
        <v>29</v>
      </c>
      <c r="N530" s="3">
        <v>32</v>
      </c>
      <c r="O530" s="3">
        <v>6</v>
      </c>
      <c r="P530" s="5" t="b">
        <v>1</v>
      </c>
      <c r="Q530" s="3">
        <v>3</v>
      </c>
      <c r="R530" s="3">
        <v>5</v>
      </c>
      <c r="T530">
        <f t="shared" si="8"/>
        <v>1</v>
      </c>
    </row>
    <row r="531" spans="1:20">
      <c r="A531" s="5" t="s">
        <v>1101</v>
      </c>
      <c r="B531" s="5" t="s">
        <v>1102</v>
      </c>
      <c r="C531" s="6">
        <v>45280</v>
      </c>
      <c r="D531" s="5">
        <v>24</v>
      </c>
      <c r="E531" s="5" t="s">
        <v>20</v>
      </c>
      <c r="F531" s="5" t="s">
        <v>32</v>
      </c>
      <c r="G531" s="5" t="s">
        <v>28</v>
      </c>
      <c r="H531" s="7">
        <v>55.84</v>
      </c>
      <c r="I531" s="3">
        <v>1</v>
      </c>
      <c r="J531" s="4">
        <v>0</v>
      </c>
      <c r="K531" s="7">
        <v>55.84</v>
      </c>
      <c r="L531" s="5" t="s">
        <v>692</v>
      </c>
      <c r="M531" s="5" t="s">
        <v>24</v>
      </c>
      <c r="N531" s="3">
        <v>11</v>
      </c>
      <c r="O531" s="3">
        <v>10</v>
      </c>
      <c r="P531" s="5" t="b">
        <v>0</v>
      </c>
      <c r="Q531" s="3">
        <v>3</v>
      </c>
      <c r="R531" s="3">
        <v>4</v>
      </c>
      <c r="T531">
        <f t="shared" si="8"/>
        <v>1</v>
      </c>
    </row>
    <row r="532" spans="1:20">
      <c r="A532" s="5" t="s">
        <v>594</v>
      </c>
      <c r="B532" s="5" t="s">
        <v>595</v>
      </c>
      <c r="C532" s="6">
        <v>45003</v>
      </c>
      <c r="D532" s="5">
        <v>42</v>
      </c>
      <c r="E532" s="5" t="s">
        <v>20</v>
      </c>
      <c r="F532" s="5" t="s">
        <v>32</v>
      </c>
      <c r="G532" s="5" t="s">
        <v>28</v>
      </c>
      <c r="H532" s="7">
        <v>153.72</v>
      </c>
      <c r="I532" s="3">
        <v>1</v>
      </c>
      <c r="J532" s="4">
        <v>45.44</v>
      </c>
      <c r="K532" s="7">
        <v>108.28</v>
      </c>
      <c r="L532" s="5" t="s">
        <v>327</v>
      </c>
      <c r="M532" s="5" t="s">
        <v>33</v>
      </c>
      <c r="N532" s="3">
        <v>17</v>
      </c>
      <c r="O532" s="3">
        <v>8</v>
      </c>
      <c r="P532" s="5" t="b">
        <v>0</v>
      </c>
      <c r="Q532" s="3">
        <v>5</v>
      </c>
      <c r="R532" s="3">
        <v>3</v>
      </c>
      <c r="T532">
        <f t="shared" si="8"/>
        <v>1</v>
      </c>
    </row>
    <row r="533" spans="1:20">
      <c r="A533" s="5" t="s">
        <v>596</v>
      </c>
      <c r="B533" s="5" t="s">
        <v>597</v>
      </c>
      <c r="C533" s="6">
        <v>45206</v>
      </c>
      <c r="D533" s="5">
        <v>18</v>
      </c>
      <c r="E533" s="5" t="s">
        <v>20</v>
      </c>
      <c r="F533" s="5" t="s">
        <v>32</v>
      </c>
      <c r="G533" s="5" t="s">
        <v>37</v>
      </c>
      <c r="H533" s="7">
        <v>281.38</v>
      </c>
      <c r="I533" s="3">
        <v>3</v>
      </c>
      <c r="J533" s="4">
        <v>0</v>
      </c>
      <c r="K533" s="7">
        <v>844.14</v>
      </c>
      <c r="L533" s="5" t="s">
        <v>327</v>
      </c>
      <c r="M533" s="5" t="s">
        <v>24</v>
      </c>
      <c r="N533" s="3">
        <v>12</v>
      </c>
      <c r="O533" s="3">
        <v>6</v>
      </c>
      <c r="P533" s="5" t="b">
        <v>1</v>
      </c>
      <c r="Q533" s="3">
        <v>4</v>
      </c>
      <c r="R533" s="3">
        <v>4</v>
      </c>
      <c r="T533">
        <f t="shared" si="8"/>
        <v>1</v>
      </c>
    </row>
    <row r="534" spans="1:20">
      <c r="A534" s="5" t="s">
        <v>259</v>
      </c>
      <c r="B534" s="5" t="s">
        <v>260</v>
      </c>
      <c r="C534" s="6">
        <v>44945</v>
      </c>
      <c r="D534" s="5">
        <v>34</v>
      </c>
      <c r="E534" s="5" t="s">
        <v>36</v>
      </c>
      <c r="F534" s="5" t="s">
        <v>49</v>
      </c>
      <c r="G534" s="5" t="s">
        <v>115</v>
      </c>
      <c r="H534" s="7">
        <v>61.34</v>
      </c>
      <c r="I534" s="3">
        <v>1</v>
      </c>
      <c r="J534" s="4">
        <v>13.77</v>
      </c>
      <c r="K534" s="7">
        <v>47.57</v>
      </c>
      <c r="L534" s="5" t="s">
        <v>23</v>
      </c>
      <c r="M534" s="5" t="s">
        <v>24</v>
      </c>
      <c r="N534" s="3">
        <v>27</v>
      </c>
      <c r="O534" s="3">
        <v>9</v>
      </c>
      <c r="P534" s="5" t="b">
        <v>0</v>
      </c>
      <c r="Q534" s="3">
        <v>16</v>
      </c>
      <c r="R534" s="3">
        <v>4</v>
      </c>
      <c r="T534">
        <f t="shared" si="8"/>
        <v>1</v>
      </c>
    </row>
    <row r="535" spans="1:20">
      <c r="A535" s="5" t="s">
        <v>1409</v>
      </c>
      <c r="B535" s="5" t="s">
        <v>1410</v>
      </c>
      <c r="C535" s="6">
        <v>45354</v>
      </c>
      <c r="D535" s="5">
        <v>20</v>
      </c>
      <c r="E535" s="5" t="s">
        <v>36</v>
      </c>
      <c r="F535" s="5" t="s">
        <v>49</v>
      </c>
      <c r="G535" s="5" t="s">
        <v>37</v>
      </c>
      <c r="H535" s="7">
        <v>52.53</v>
      </c>
      <c r="I535" s="3">
        <v>1</v>
      </c>
      <c r="J535" s="4">
        <v>6.69</v>
      </c>
      <c r="K535" s="7">
        <v>45.84</v>
      </c>
      <c r="L535" s="5" t="s">
        <v>1298</v>
      </c>
      <c r="M535" s="5" t="s">
        <v>24</v>
      </c>
      <c r="N535" s="3">
        <v>15</v>
      </c>
      <c r="O535" s="3">
        <v>11</v>
      </c>
      <c r="P535" s="5" t="b">
        <v>1</v>
      </c>
      <c r="Q535" s="3">
        <v>4</v>
      </c>
      <c r="R535" s="3">
        <v>3</v>
      </c>
      <c r="T535">
        <f t="shared" si="8"/>
        <v>1</v>
      </c>
    </row>
    <row r="536" spans="1:20">
      <c r="A536" s="5" t="s">
        <v>1411</v>
      </c>
      <c r="B536" s="5" t="s">
        <v>1412</v>
      </c>
      <c r="C536" s="6">
        <v>45116</v>
      </c>
      <c r="D536" s="5">
        <v>27</v>
      </c>
      <c r="E536" s="5" t="s">
        <v>36</v>
      </c>
      <c r="F536" s="5" t="s">
        <v>83</v>
      </c>
      <c r="G536" s="5" t="s">
        <v>56</v>
      </c>
      <c r="H536" s="7">
        <v>339.98</v>
      </c>
      <c r="I536" s="3">
        <v>1</v>
      </c>
      <c r="J536" s="4">
        <v>0</v>
      </c>
      <c r="K536" s="7">
        <v>339.98</v>
      </c>
      <c r="L536" s="5" t="s">
        <v>1298</v>
      </c>
      <c r="M536" s="5" t="s">
        <v>33</v>
      </c>
      <c r="N536" s="3">
        <v>9</v>
      </c>
      <c r="O536" s="3">
        <v>8</v>
      </c>
      <c r="P536" s="5" t="b">
        <v>0</v>
      </c>
      <c r="Q536" s="3">
        <v>7</v>
      </c>
      <c r="R536" s="3">
        <v>2</v>
      </c>
      <c r="T536">
        <f t="shared" si="8"/>
        <v>1</v>
      </c>
    </row>
    <row r="537" spans="1:20">
      <c r="A537" s="5" t="s">
        <v>1413</v>
      </c>
      <c r="B537" s="5" t="s">
        <v>1414</v>
      </c>
      <c r="C537" s="6">
        <v>45225</v>
      </c>
      <c r="D537" s="5">
        <v>35</v>
      </c>
      <c r="E537" s="5" t="s">
        <v>20</v>
      </c>
      <c r="F537" s="5" t="s">
        <v>52</v>
      </c>
      <c r="G537" s="5" t="s">
        <v>56</v>
      </c>
      <c r="H537" s="7">
        <v>353.29</v>
      </c>
      <c r="I537" s="3">
        <v>4</v>
      </c>
      <c r="J537" s="4">
        <v>0</v>
      </c>
      <c r="K537" s="7">
        <v>1413.16</v>
      </c>
      <c r="L537" s="5" t="s">
        <v>1298</v>
      </c>
      <c r="M537" s="5" t="s">
        <v>24</v>
      </c>
      <c r="N537" s="3">
        <v>18</v>
      </c>
      <c r="O537" s="3">
        <v>6</v>
      </c>
      <c r="P537" s="5" t="b">
        <v>0</v>
      </c>
      <c r="Q537" s="3">
        <v>4</v>
      </c>
      <c r="R537" s="3">
        <v>3</v>
      </c>
      <c r="T537">
        <f t="shared" si="8"/>
        <v>1</v>
      </c>
    </row>
    <row r="538" spans="1:20">
      <c r="A538" s="5" t="s">
        <v>1103</v>
      </c>
      <c r="B538" s="5" t="s">
        <v>1104</v>
      </c>
      <c r="C538" s="6">
        <v>45209</v>
      </c>
      <c r="D538" s="5">
        <v>24</v>
      </c>
      <c r="E538" s="5" t="s">
        <v>36</v>
      </c>
      <c r="F538" s="5" t="s">
        <v>52</v>
      </c>
      <c r="G538" s="5" t="s">
        <v>115</v>
      </c>
      <c r="H538" s="7">
        <v>155.32</v>
      </c>
      <c r="I538" s="3">
        <v>4</v>
      </c>
      <c r="J538" s="4">
        <v>18.670000000000002</v>
      </c>
      <c r="K538" s="7">
        <v>602.61</v>
      </c>
      <c r="L538" s="5" t="s">
        <v>692</v>
      </c>
      <c r="M538" s="5" t="s">
        <v>24</v>
      </c>
      <c r="N538" s="3">
        <v>18</v>
      </c>
      <c r="O538" s="3">
        <v>3</v>
      </c>
      <c r="P538" s="5" t="b">
        <v>1</v>
      </c>
      <c r="Q538" s="3">
        <v>9</v>
      </c>
      <c r="R538" s="3">
        <v>5</v>
      </c>
      <c r="T538">
        <f t="shared" si="8"/>
        <v>1</v>
      </c>
    </row>
    <row r="539" spans="1:20">
      <c r="A539" s="5" t="s">
        <v>261</v>
      </c>
      <c r="B539" s="5" t="s">
        <v>262</v>
      </c>
      <c r="C539" s="6">
        <v>45002</v>
      </c>
      <c r="D539" s="5">
        <v>30</v>
      </c>
      <c r="E539" s="5" t="s">
        <v>20</v>
      </c>
      <c r="F539" s="5" t="s">
        <v>49</v>
      </c>
      <c r="G539" s="5" t="s">
        <v>22</v>
      </c>
      <c r="H539" s="7">
        <v>712.9</v>
      </c>
      <c r="I539" s="3">
        <v>1</v>
      </c>
      <c r="J539" s="4">
        <v>0</v>
      </c>
      <c r="K539" s="7">
        <v>712.9</v>
      </c>
      <c r="L539" s="5" t="s">
        <v>23</v>
      </c>
      <c r="M539" s="5" t="s">
        <v>24</v>
      </c>
      <c r="N539" s="3">
        <v>13</v>
      </c>
      <c r="O539" s="3">
        <v>11</v>
      </c>
      <c r="P539" s="5" t="b">
        <v>0</v>
      </c>
      <c r="Q539" s="3">
        <v>4</v>
      </c>
      <c r="R539" s="3">
        <v>5</v>
      </c>
      <c r="T539">
        <f t="shared" si="8"/>
        <v>1</v>
      </c>
    </row>
    <row r="540" spans="1:20">
      <c r="A540" s="5" t="s">
        <v>1105</v>
      </c>
      <c r="B540" s="5" t="s">
        <v>1106</v>
      </c>
      <c r="C540" s="6">
        <v>45147</v>
      </c>
      <c r="D540" s="5">
        <v>47</v>
      </c>
      <c r="E540" s="5" t="s">
        <v>36</v>
      </c>
      <c r="F540" s="5" t="s">
        <v>59</v>
      </c>
      <c r="G540" s="5" t="s">
        <v>56</v>
      </c>
      <c r="H540" s="7">
        <v>159.22</v>
      </c>
      <c r="I540" s="3">
        <v>2</v>
      </c>
      <c r="J540" s="4">
        <v>31.31</v>
      </c>
      <c r="K540" s="7">
        <v>287.13</v>
      </c>
      <c r="L540" s="5" t="s">
        <v>692</v>
      </c>
      <c r="M540" s="5" t="s">
        <v>33</v>
      </c>
      <c r="N540" s="3">
        <v>12</v>
      </c>
      <c r="O540" s="3">
        <v>7</v>
      </c>
      <c r="P540" s="5" t="b">
        <v>0</v>
      </c>
      <c r="Q540" s="3">
        <v>3</v>
      </c>
      <c r="R540" s="3">
        <v>5</v>
      </c>
      <c r="T540">
        <f t="shared" si="8"/>
        <v>1</v>
      </c>
    </row>
    <row r="541" spans="1:20">
      <c r="A541" s="5" t="s">
        <v>1107</v>
      </c>
      <c r="B541" s="5" t="s">
        <v>1108</v>
      </c>
      <c r="C541" s="6">
        <v>44992</v>
      </c>
      <c r="D541" s="5">
        <v>28</v>
      </c>
      <c r="E541" s="5" t="s">
        <v>20</v>
      </c>
      <c r="F541" s="5" t="s">
        <v>76</v>
      </c>
      <c r="G541" s="5" t="s">
        <v>64</v>
      </c>
      <c r="H541" s="7">
        <v>549.32000000000005</v>
      </c>
      <c r="I541" s="3">
        <v>3</v>
      </c>
      <c r="J541" s="4">
        <v>155.63999999999999</v>
      </c>
      <c r="K541" s="7">
        <v>1492.32</v>
      </c>
      <c r="L541" s="5" t="s">
        <v>692</v>
      </c>
      <c r="M541" s="5" t="s">
        <v>24</v>
      </c>
      <c r="N541" s="3">
        <v>27</v>
      </c>
      <c r="O541" s="3">
        <v>9</v>
      </c>
      <c r="P541" s="5" t="b">
        <v>1</v>
      </c>
      <c r="Q541" s="3">
        <v>4</v>
      </c>
      <c r="R541" s="3">
        <v>3</v>
      </c>
      <c r="T541">
        <f t="shared" si="8"/>
        <v>1</v>
      </c>
    </row>
    <row r="542" spans="1:20">
      <c r="A542" s="5" t="s">
        <v>263</v>
      </c>
      <c r="B542" s="5" t="s">
        <v>264</v>
      </c>
      <c r="C542" s="6">
        <v>44948</v>
      </c>
      <c r="D542" s="5">
        <v>45</v>
      </c>
      <c r="E542" s="5" t="s">
        <v>20</v>
      </c>
      <c r="F542" s="5" t="s">
        <v>59</v>
      </c>
      <c r="G542" s="5" t="s">
        <v>64</v>
      </c>
      <c r="H542" s="7">
        <v>609.04</v>
      </c>
      <c r="I542" s="3">
        <v>1</v>
      </c>
      <c r="J542" s="4">
        <v>0</v>
      </c>
      <c r="K542" s="7">
        <v>609.04</v>
      </c>
      <c r="L542" s="5" t="s">
        <v>23</v>
      </c>
      <c r="M542" s="5" t="s">
        <v>33</v>
      </c>
      <c r="N542" s="3">
        <v>15</v>
      </c>
      <c r="O542" s="3">
        <v>14</v>
      </c>
      <c r="P542" s="5" t="b">
        <v>1</v>
      </c>
      <c r="Q542" s="3">
        <v>4</v>
      </c>
      <c r="R542" s="3">
        <v>5</v>
      </c>
      <c r="T542">
        <f t="shared" si="8"/>
        <v>1</v>
      </c>
    </row>
    <row r="543" spans="1:20">
      <c r="A543" s="5" t="s">
        <v>598</v>
      </c>
      <c r="B543" s="5" t="s">
        <v>599</v>
      </c>
      <c r="C543" s="6">
        <v>45084</v>
      </c>
      <c r="D543" s="5">
        <v>21</v>
      </c>
      <c r="E543" s="5" t="s">
        <v>20</v>
      </c>
      <c r="F543" s="5" t="s">
        <v>21</v>
      </c>
      <c r="G543" s="5" t="s">
        <v>28</v>
      </c>
      <c r="H543" s="7">
        <v>94.67</v>
      </c>
      <c r="I543" s="3">
        <v>3</v>
      </c>
      <c r="J543" s="4">
        <v>0</v>
      </c>
      <c r="K543" s="7">
        <v>284.01</v>
      </c>
      <c r="L543" s="5" t="s">
        <v>327</v>
      </c>
      <c r="M543" s="5" t="s">
        <v>24</v>
      </c>
      <c r="N543" s="3">
        <v>5</v>
      </c>
      <c r="O543" s="3">
        <v>9</v>
      </c>
      <c r="P543" s="5" t="b">
        <v>1</v>
      </c>
      <c r="Q543" s="3">
        <v>7</v>
      </c>
      <c r="R543" s="3">
        <v>3</v>
      </c>
      <c r="T543">
        <f t="shared" si="8"/>
        <v>1</v>
      </c>
    </row>
    <row r="544" spans="1:20">
      <c r="A544" s="5" t="s">
        <v>1415</v>
      </c>
      <c r="B544" s="5" t="s">
        <v>1416</v>
      </c>
      <c r="C544" s="6">
        <v>45113</v>
      </c>
      <c r="D544" s="5">
        <v>41</v>
      </c>
      <c r="E544" s="5" t="s">
        <v>36</v>
      </c>
      <c r="F544" s="5" t="s">
        <v>49</v>
      </c>
      <c r="G544" s="5" t="s">
        <v>53</v>
      </c>
      <c r="H544" s="7">
        <v>150.69</v>
      </c>
      <c r="I544" s="3">
        <v>4</v>
      </c>
      <c r="J544" s="4">
        <v>0</v>
      </c>
      <c r="K544" s="7">
        <v>602.76</v>
      </c>
      <c r="L544" s="5" t="s">
        <v>1298</v>
      </c>
      <c r="M544" s="5" t="s">
        <v>24</v>
      </c>
      <c r="N544" s="3">
        <v>7</v>
      </c>
      <c r="O544" s="3">
        <v>9</v>
      </c>
      <c r="P544" s="5" t="b">
        <v>1</v>
      </c>
      <c r="Q544" s="3">
        <v>6</v>
      </c>
      <c r="R544" s="3">
        <v>4</v>
      </c>
      <c r="T544">
        <f t="shared" si="8"/>
        <v>1</v>
      </c>
    </row>
    <row r="545" spans="1:20">
      <c r="A545" s="5" t="s">
        <v>1109</v>
      </c>
      <c r="B545" s="5" t="s">
        <v>1110</v>
      </c>
      <c r="C545" s="6">
        <v>45334</v>
      </c>
      <c r="D545" s="5">
        <v>52</v>
      </c>
      <c r="E545" s="5" t="s">
        <v>20</v>
      </c>
      <c r="F545" s="5" t="s">
        <v>88</v>
      </c>
      <c r="G545" s="5" t="s">
        <v>46</v>
      </c>
      <c r="H545" s="7">
        <v>1385.22</v>
      </c>
      <c r="I545" s="3">
        <v>5</v>
      </c>
      <c r="J545" s="4">
        <v>148.16999999999999</v>
      </c>
      <c r="K545" s="7">
        <v>6777.93</v>
      </c>
      <c r="L545" s="5" t="s">
        <v>692</v>
      </c>
      <c r="M545" s="5" t="s">
        <v>33</v>
      </c>
      <c r="N545" s="3">
        <v>15</v>
      </c>
      <c r="O545" s="3">
        <v>8</v>
      </c>
      <c r="P545" s="5" t="b">
        <v>1</v>
      </c>
      <c r="Q545" s="3">
        <v>7</v>
      </c>
      <c r="R545" s="3">
        <v>5</v>
      </c>
      <c r="T545">
        <f t="shared" si="8"/>
        <v>1</v>
      </c>
    </row>
    <row r="546" spans="1:20">
      <c r="A546" s="5" t="s">
        <v>265</v>
      </c>
      <c r="B546" s="5" t="s">
        <v>266</v>
      </c>
      <c r="C546" s="6">
        <v>45367</v>
      </c>
      <c r="D546" s="5">
        <v>18</v>
      </c>
      <c r="E546" s="5" t="s">
        <v>36</v>
      </c>
      <c r="F546" s="5" t="s">
        <v>21</v>
      </c>
      <c r="G546" s="5" t="s">
        <v>56</v>
      </c>
      <c r="H546" s="7">
        <v>574.49</v>
      </c>
      <c r="I546" s="3">
        <v>4</v>
      </c>
      <c r="J546" s="4">
        <v>0</v>
      </c>
      <c r="K546" s="7">
        <v>2297.96</v>
      </c>
      <c r="L546" s="5" t="s">
        <v>23</v>
      </c>
      <c r="M546" s="5" t="s">
        <v>24</v>
      </c>
      <c r="N546" s="3">
        <v>13</v>
      </c>
      <c r="O546" s="3">
        <v>8</v>
      </c>
      <c r="P546" s="5" t="b">
        <v>1</v>
      </c>
      <c r="Q546" s="3">
        <v>9</v>
      </c>
      <c r="R546" s="3">
        <v>1</v>
      </c>
      <c r="T546">
        <f t="shared" si="8"/>
        <v>1</v>
      </c>
    </row>
    <row r="547" spans="1:20">
      <c r="A547" s="5" t="s">
        <v>1111</v>
      </c>
      <c r="B547" s="5" t="s">
        <v>1112</v>
      </c>
      <c r="C547" s="6">
        <v>44947</v>
      </c>
      <c r="D547" s="5">
        <v>25</v>
      </c>
      <c r="E547" s="5" t="s">
        <v>20</v>
      </c>
      <c r="F547" s="5" t="s">
        <v>32</v>
      </c>
      <c r="G547" s="5" t="s">
        <v>22</v>
      </c>
      <c r="H547" s="7">
        <v>169.49</v>
      </c>
      <c r="I547" s="3">
        <v>1</v>
      </c>
      <c r="J547" s="4">
        <v>0</v>
      </c>
      <c r="K547" s="7">
        <v>169.49</v>
      </c>
      <c r="L547" s="5" t="s">
        <v>692</v>
      </c>
      <c r="M547" s="5" t="s">
        <v>24</v>
      </c>
      <c r="N547" s="3">
        <v>12</v>
      </c>
      <c r="O547" s="3">
        <v>9</v>
      </c>
      <c r="P547" s="5" t="b">
        <v>1</v>
      </c>
      <c r="Q547" s="3">
        <v>2</v>
      </c>
      <c r="R547" s="3">
        <v>5</v>
      </c>
      <c r="T547">
        <f t="shared" si="8"/>
        <v>1</v>
      </c>
    </row>
    <row r="548" spans="1:20">
      <c r="A548" s="5" t="s">
        <v>1113</v>
      </c>
      <c r="B548" s="5" t="s">
        <v>1114</v>
      </c>
      <c r="C548" s="6">
        <v>45110</v>
      </c>
      <c r="D548" s="5">
        <v>41</v>
      </c>
      <c r="E548" s="5" t="s">
        <v>20</v>
      </c>
      <c r="F548" s="5" t="s">
        <v>32</v>
      </c>
      <c r="G548" s="5" t="s">
        <v>28</v>
      </c>
      <c r="H548" s="7">
        <v>25.17</v>
      </c>
      <c r="I548" s="3">
        <v>4</v>
      </c>
      <c r="J548" s="4">
        <v>0</v>
      </c>
      <c r="K548" s="7">
        <v>100.68</v>
      </c>
      <c r="L548" s="5" t="s">
        <v>692</v>
      </c>
      <c r="M548" s="5" t="s">
        <v>33</v>
      </c>
      <c r="N548" s="3">
        <v>6</v>
      </c>
      <c r="O548" s="3">
        <v>11</v>
      </c>
      <c r="P548" s="5" t="b">
        <v>1</v>
      </c>
      <c r="Q548" s="3">
        <v>5</v>
      </c>
      <c r="R548" s="3">
        <v>5</v>
      </c>
      <c r="T548">
        <f t="shared" si="8"/>
        <v>1</v>
      </c>
    </row>
    <row r="549" spans="1:20">
      <c r="A549" s="5" t="s">
        <v>600</v>
      </c>
      <c r="B549" s="5" t="s">
        <v>601</v>
      </c>
      <c r="C549" s="6">
        <v>45034</v>
      </c>
      <c r="D549" s="5">
        <v>32</v>
      </c>
      <c r="E549" s="5" t="s">
        <v>20</v>
      </c>
      <c r="F549" s="5" t="s">
        <v>32</v>
      </c>
      <c r="G549" s="5" t="s">
        <v>115</v>
      </c>
      <c r="H549" s="7">
        <v>68.3</v>
      </c>
      <c r="I549" s="3">
        <v>1</v>
      </c>
      <c r="J549" s="4">
        <v>0</v>
      </c>
      <c r="K549" s="7">
        <v>68.3</v>
      </c>
      <c r="L549" s="5" t="s">
        <v>327</v>
      </c>
      <c r="M549" s="5" t="s">
        <v>33</v>
      </c>
      <c r="N549" s="3">
        <v>19</v>
      </c>
      <c r="O549" s="3">
        <v>11</v>
      </c>
      <c r="P549" s="5" t="b">
        <v>1</v>
      </c>
      <c r="Q549" s="3">
        <v>4</v>
      </c>
      <c r="R549" s="3">
        <v>5</v>
      </c>
      <c r="T549">
        <f t="shared" si="8"/>
        <v>1</v>
      </c>
    </row>
    <row r="550" spans="1:20">
      <c r="A550" s="5" t="s">
        <v>1115</v>
      </c>
      <c r="B550" s="5" t="s">
        <v>1116</v>
      </c>
      <c r="C550" s="6">
        <v>45276</v>
      </c>
      <c r="D550" s="5">
        <v>39</v>
      </c>
      <c r="E550" s="5" t="s">
        <v>36</v>
      </c>
      <c r="F550" s="5" t="s">
        <v>27</v>
      </c>
      <c r="G550" s="5" t="s">
        <v>37</v>
      </c>
      <c r="H550" s="7">
        <v>99.77</v>
      </c>
      <c r="I550" s="3">
        <v>2</v>
      </c>
      <c r="J550" s="4">
        <v>0</v>
      </c>
      <c r="K550" s="7">
        <v>199.54</v>
      </c>
      <c r="L550" s="5" t="s">
        <v>692</v>
      </c>
      <c r="M550" s="5" t="s">
        <v>33</v>
      </c>
      <c r="N550" s="3">
        <v>16</v>
      </c>
      <c r="O550" s="3">
        <v>9</v>
      </c>
      <c r="P550" s="5" t="b">
        <v>1</v>
      </c>
      <c r="Q550" s="3">
        <v>7</v>
      </c>
      <c r="R550" s="3">
        <v>5</v>
      </c>
      <c r="T550">
        <f t="shared" si="8"/>
        <v>1</v>
      </c>
    </row>
    <row r="551" spans="1:20">
      <c r="A551" s="5" t="s">
        <v>602</v>
      </c>
      <c r="B551" s="5" t="s">
        <v>603</v>
      </c>
      <c r="C551" s="6">
        <v>45054</v>
      </c>
      <c r="D551" s="5">
        <v>27</v>
      </c>
      <c r="E551" s="5" t="s">
        <v>36</v>
      </c>
      <c r="F551" s="5" t="s">
        <v>32</v>
      </c>
      <c r="G551" s="5" t="s">
        <v>115</v>
      </c>
      <c r="H551" s="7">
        <v>22.56</v>
      </c>
      <c r="I551" s="3">
        <v>1</v>
      </c>
      <c r="J551" s="4">
        <v>0</v>
      </c>
      <c r="K551" s="7">
        <v>22.56</v>
      </c>
      <c r="L551" s="5" t="s">
        <v>327</v>
      </c>
      <c r="M551" s="5" t="s">
        <v>33</v>
      </c>
      <c r="N551" s="3">
        <v>14</v>
      </c>
      <c r="O551" s="3">
        <v>5</v>
      </c>
      <c r="P551" s="5" t="b">
        <v>0</v>
      </c>
      <c r="Q551" s="3">
        <v>7</v>
      </c>
      <c r="R551" s="3">
        <v>5</v>
      </c>
      <c r="T551">
        <f t="shared" si="8"/>
        <v>1</v>
      </c>
    </row>
    <row r="552" spans="1:20">
      <c r="A552" s="5" t="s">
        <v>1417</v>
      </c>
      <c r="B552" s="5" t="s">
        <v>1418</v>
      </c>
      <c r="C552" s="6">
        <v>45268</v>
      </c>
      <c r="D552" s="5">
        <v>36</v>
      </c>
      <c r="E552" s="5" t="s">
        <v>20</v>
      </c>
      <c r="F552" s="5" t="s">
        <v>32</v>
      </c>
      <c r="G552" s="5" t="s">
        <v>64</v>
      </c>
      <c r="H552" s="7">
        <v>1911.31</v>
      </c>
      <c r="I552" s="3">
        <v>3</v>
      </c>
      <c r="J552" s="4">
        <v>0</v>
      </c>
      <c r="K552" s="7">
        <v>5733.93</v>
      </c>
      <c r="L552" s="5" t="s">
        <v>1298</v>
      </c>
      <c r="M552" s="5" t="s">
        <v>33</v>
      </c>
      <c r="N552" s="3">
        <v>5</v>
      </c>
      <c r="O552" s="3">
        <v>8</v>
      </c>
      <c r="P552" s="5" t="b">
        <v>0</v>
      </c>
      <c r="Q552" s="3">
        <v>2</v>
      </c>
      <c r="R552" s="3">
        <v>5</v>
      </c>
      <c r="T552">
        <f t="shared" si="8"/>
        <v>1</v>
      </c>
    </row>
    <row r="553" spans="1:20">
      <c r="A553" s="5" t="s">
        <v>267</v>
      </c>
      <c r="B553" s="5" t="s">
        <v>268</v>
      </c>
      <c r="C553" s="6">
        <v>44979</v>
      </c>
      <c r="D553" s="5">
        <v>33</v>
      </c>
      <c r="E553" s="5" t="s">
        <v>20</v>
      </c>
      <c r="F553" s="5" t="s">
        <v>52</v>
      </c>
      <c r="G553" s="5" t="s">
        <v>64</v>
      </c>
      <c r="H553" s="7">
        <v>2717.55</v>
      </c>
      <c r="I553" s="3">
        <v>4</v>
      </c>
      <c r="J553" s="4">
        <v>0</v>
      </c>
      <c r="K553" s="7">
        <v>10870.2</v>
      </c>
      <c r="L553" s="5" t="s">
        <v>23</v>
      </c>
      <c r="M553" s="5" t="s">
        <v>33</v>
      </c>
      <c r="N553" s="3">
        <v>8</v>
      </c>
      <c r="O553" s="3">
        <v>7</v>
      </c>
      <c r="P553" s="5" t="b">
        <v>1</v>
      </c>
      <c r="Q553" s="3">
        <v>7</v>
      </c>
      <c r="R553" s="3">
        <v>5</v>
      </c>
      <c r="T553">
        <f t="shared" si="8"/>
        <v>1</v>
      </c>
    </row>
    <row r="554" spans="1:20">
      <c r="A554" s="5" t="s">
        <v>1117</v>
      </c>
      <c r="B554" s="5" t="s">
        <v>1118</v>
      </c>
      <c r="C554" s="6">
        <v>45108</v>
      </c>
      <c r="D554" s="5">
        <v>49</v>
      </c>
      <c r="E554" s="5" t="s">
        <v>20</v>
      </c>
      <c r="F554" s="5" t="s">
        <v>73</v>
      </c>
      <c r="G554" s="5" t="s">
        <v>64</v>
      </c>
      <c r="H554" s="7">
        <v>489.75</v>
      </c>
      <c r="I554" s="3">
        <v>2</v>
      </c>
      <c r="J554" s="4">
        <v>0</v>
      </c>
      <c r="K554" s="7">
        <v>979.5</v>
      </c>
      <c r="L554" s="5" t="s">
        <v>692</v>
      </c>
      <c r="M554" s="5" t="s">
        <v>24</v>
      </c>
      <c r="N554" s="3">
        <v>5</v>
      </c>
      <c r="O554" s="3">
        <v>11</v>
      </c>
      <c r="P554" s="5" t="b">
        <v>0</v>
      </c>
      <c r="Q554" s="3">
        <v>4</v>
      </c>
      <c r="R554" s="3">
        <v>4</v>
      </c>
      <c r="T554">
        <f t="shared" si="8"/>
        <v>1</v>
      </c>
    </row>
    <row r="555" spans="1:20">
      <c r="A555" s="5" t="s">
        <v>1119</v>
      </c>
      <c r="B555" s="5" t="s">
        <v>1120</v>
      </c>
      <c r="C555" s="6">
        <v>45326</v>
      </c>
      <c r="D555" s="5">
        <v>38</v>
      </c>
      <c r="E555" s="5" t="s">
        <v>36</v>
      </c>
      <c r="F555" s="5" t="s">
        <v>52</v>
      </c>
      <c r="G555" s="5" t="s">
        <v>46</v>
      </c>
      <c r="H555" s="7">
        <v>292.22000000000003</v>
      </c>
      <c r="I555" s="3">
        <v>1</v>
      </c>
      <c r="J555" s="4">
        <v>0</v>
      </c>
      <c r="K555" s="7">
        <v>292.22000000000003</v>
      </c>
      <c r="L555" s="5" t="s">
        <v>692</v>
      </c>
      <c r="M555" s="5" t="s">
        <v>24</v>
      </c>
      <c r="N555" s="3">
        <v>6</v>
      </c>
      <c r="O555" s="3">
        <v>10</v>
      </c>
      <c r="P555" s="5" t="b">
        <v>1</v>
      </c>
      <c r="Q555" s="3">
        <v>11</v>
      </c>
      <c r="R555" s="3">
        <v>4</v>
      </c>
      <c r="T555">
        <f t="shared" si="8"/>
        <v>1</v>
      </c>
    </row>
    <row r="556" spans="1:20">
      <c r="A556" s="5" t="s">
        <v>604</v>
      </c>
      <c r="B556" s="5" t="s">
        <v>605</v>
      </c>
      <c r="C556" s="6">
        <v>45213</v>
      </c>
      <c r="D556" s="5">
        <v>39</v>
      </c>
      <c r="E556" s="5" t="s">
        <v>20</v>
      </c>
      <c r="F556" s="5" t="s">
        <v>49</v>
      </c>
      <c r="G556" s="5" t="s">
        <v>46</v>
      </c>
      <c r="H556" s="7">
        <v>791.79</v>
      </c>
      <c r="I556" s="3">
        <v>4</v>
      </c>
      <c r="J556" s="4">
        <v>0</v>
      </c>
      <c r="K556" s="7">
        <v>3167.16</v>
      </c>
      <c r="L556" s="5" t="s">
        <v>327</v>
      </c>
      <c r="M556" s="5" t="s">
        <v>24</v>
      </c>
      <c r="N556" s="3">
        <v>7</v>
      </c>
      <c r="O556" s="3">
        <v>7</v>
      </c>
      <c r="P556" s="5" t="b">
        <v>1</v>
      </c>
      <c r="Q556" s="3">
        <v>5</v>
      </c>
      <c r="R556" s="3">
        <v>4</v>
      </c>
      <c r="T556">
        <f t="shared" si="8"/>
        <v>1</v>
      </c>
    </row>
    <row r="557" spans="1:20">
      <c r="A557" s="5" t="s">
        <v>606</v>
      </c>
      <c r="B557" s="5" t="s">
        <v>607</v>
      </c>
      <c r="C557" s="6">
        <v>45374</v>
      </c>
      <c r="D557" s="5">
        <v>30</v>
      </c>
      <c r="E557" s="5" t="s">
        <v>36</v>
      </c>
      <c r="F557" s="5" t="s">
        <v>32</v>
      </c>
      <c r="G557" s="5" t="s">
        <v>56</v>
      </c>
      <c r="H557" s="7">
        <v>325.14</v>
      </c>
      <c r="I557" s="3">
        <v>3</v>
      </c>
      <c r="J557" s="4">
        <v>0</v>
      </c>
      <c r="K557" s="7">
        <v>975.42</v>
      </c>
      <c r="L557" s="5" t="s">
        <v>327</v>
      </c>
      <c r="M557" s="5" t="s">
        <v>33</v>
      </c>
      <c r="N557" s="3">
        <v>6</v>
      </c>
      <c r="O557" s="3">
        <v>7</v>
      </c>
      <c r="P557" s="5" t="b">
        <v>0</v>
      </c>
      <c r="Q557" s="3">
        <v>4</v>
      </c>
      <c r="R557" s="3">
        <v>5</v>
      </c>
      <c r="T557">
        <f t="shared" si="8"/>
        <v>1</v>
      </c>
    </row>
    <row r="558" spans="1:20">
      <c r="A558" s="5" t="s">
        <v>608</v>
      </c>
      <c r="B558" s="5" t="s">
        <v>609</v>
      </c>
      <c r="C558" s="6">
        <v>45135</v>
      </c>
      <c r="D558" s="5">
        <v>29</v>
      </c>
      <c r="E558" s="5" t="s">
        <v>36</v>
      </c>
      <c r="F558" s="5" t="s">
        <v>32</v>
      </c>
      <c r="G558" s="5" t="s">
        <v>37</v>
      </c>
      <c r="H558" s="7">
        <v>64.760000000000005</v>
      </c>
      <c r="I558" s="3">
        <v>4</v>
      </c>
      <c r="J558" s="4">
        <v>0</v>
      </c>
      <c r="K558" s="7">
        <v>259.04000000000002</v>
      </c>
      <c r="L558" s="5" t="s">
        <v>327</v>
      </c>
      <c r="M558" s="5" t="s">
        <v>33</v>
      </c>
      <c r="N558" s="3">
        <v>8</v>
      </c>
      <c r="O558" s="3">
        <v>3</v>
      </c>
      <c r="P558" s="5" t="b">
        <v>0</v>
      </c>
      <c r="Q558" s="3">
        <v>11</v>
      </c>
      <c r="R558" s="3">
        <v>5</v>
      </c>
      <c r="T558">
        <f t="shared" si="8"/>
        <v>1</v>
      </c>
    </row>
    <row r="559" spans="1:20">
      <c r="A559" s="5" t="s">
        <v>1121</v>
      </c>
      <c r="B559" s="5" t="s">
        <v>1122</v>
      </c>
      <c r="C559" s="6">
        <v>45244</v>
      </c>
      <c r="D559" s="5">
        <v>29</v>
      </c>
      <c r="E559" s="5" t="s">
        <v>20</v>
      </c>
      <c r="F559" s="5" t="s">
        <v>21</v>
      </c>
      <c r="G559" s="5" t="s">
        <v>22</v>
      </c>
      <c r="H559" s="7">
        <v>164.08</v>
      </c>
      <c r="I559" s="3">
        <v>3</v>
      </c>
      <c r="J559" s="4">
        <v>0</v>
      </c>
      <c r="K559" s="7">
        <v>492.24</v>
      </c>
      <c r="L559" s="5" t="s">
        <v>692</v>
      </c>
      <c r="M559" s="5" t="s">
        <v>33</v>
      </c>
      <c r="N559" s="3">
        <v>34</v>
      </c>
      <c r="O559" s="3">
        <v>9</v>
      </c>
      <c r="P559" s="5" t="b">
        <v>0</v>
      </c>
      <c r="Q559" s="3">
        <v>3</v>
      </c>
      <c r="R559" s="3">
        <v>4</v>
      </c>
      <c r="T559">
        <f t="shared" si="8"/>
        <v>1</v>
      </c>
    </row>
    <row r="560" spans="1:20">
      <c r="A560" s="5" t="s">
        <v>269</v>
      </c>
      <c r="B560" s="5" t="s">
        <v>270</v>
      </c>
      <c r="C560" s="6">
        <v>45310</v>
      </c>
      <c r="D560" s="5">
        <v>39</v>
      </c>
      <c r="E560" s="5" t="s">
        <v>36</v>
      </c>
      <c r="F560" s="5" t="s">
        <v>52</v>
      </c>
      <c r="G560" s="5" t="s">
        <v>46</v>
      </c>
      <c r="H560" s="7">
        <v>598.76</v>
      </c>
      <c r="I560" s="3">
        <v>1</v>
      </c>
      <c r="J560" s="4">
        <v>0</v>
      </c>
      <c r="K560" s="7">
        <v>598.76</v>
      </c>
      <c r="L560" s="5" t="s">
        <v>23</v>
      </c>
      <c r="M560" s="5" t="s">
        <v>33</v>
      </c>
      <c r="N560" s="3">
        <v>14</v>
      </c>
      <c r="O560" s="3">
        <v>7</v>
      </c>
      <c r="P560" s="5" t="b">
        <v>0</v>
      </c>
      <c r="Q560" s="3">
        <v>9</v>
      </c>
      <c r="R560" s="3">
        <v>5</v>
      </c>
      <c r="T560">
        <f t="shared" si="8"/>
        <v>1</v>
      </c>
    </row>
    <row r="561" spans="1:20">
      <c r="A561" s="5" t="s">
        <v>1123</v>
      </c>
      <c r="B561" s="5" t="s">
        <v>1124</v>
      </c>
      <c r="C561" s="6">
        <v>45006</v>
      </c>
      <c r="D561" s="5">
        <v>29</v>
      </c>
      <c r="E561" s="5" t="s">
        <v>36</v>
      </c>
      <c r="F561" s="5" t="s">
        <v>52</v>
      </c>
      <c r="G561" s="5" t="s">
        <v>115</v>
      </c>
      <c r="H561" s="7">
        <v>120.51</v>
      </c>
      <c r="I561" s="3">
        <v>1</v>
      </c>
      <c r="J561" s="4">
        <v>0</v>
      </c>
      <c r="K561" s="7">
        <v>120.51</v>
      </c>
      <c r="L561" s="5" t="s">
        <v>692</v>
      </c>
      <c r="M561" s="5" t="s">
        <v>24</v>
      </c>
      <c r="N561" s="3">
        <v>11</v>
      </c>
      <c r="O561" s="3">
        <v>13</v>
      </c>
      <c r="P561" s="5" t="b">
        <v>0</v>
      </c>
      <c r="Q561" s="3">
        <v>8</v>
      </c>
      <c r="R561" s="3">
        <v>5</v>
      </c>
      <c r="T561">
        <f t="shared" si="8"/>
        <v>1</v>
      </c>
    </row>
    <row r="562" spans="1:20">
      <c r="A562" s="5" t="s">
        <v>610</v>
      </c>
      <c r="B562" s="5" t="s">
        <v>611</v>
      </c>
      <c r="C562" s="6">
        <v>45048</v>
      </c>
      <c r="D562" s="5">
        <v>38</v>
      </c>
      <c r="E562" s="5" t="s">
        <v>36</v>
      </c>
      <c r="F562" s="5" t="s">
        <v>32</v>
      </c>
      <c r="G562" s="5" t="s">
        <v>53</v>
      </c>
      <c r="H562" s="7">
        <v>124.09</v>
      </c>
      <c r="I562" s="3">
        <v>5</v>
      </c>
      <c r="J562" s="4">
        <v>13.36</v>
      </c>
      <c r="K562" s="7">
        <v>607.09</v>
      </c>
      <c r="L562" s="5" t="s">
        <v>327</v>
      </c>
      <c r="M562" s="5" t="s">
        <v>33</v>
      </c>
      <c r="N562" s="3">
        <v>18</v>
      </c>
      <c r="O562" s="3">
        <v>7</v>
      </c>
      <c r="P562" s="5" t="b">
        <v>0</v>
      </c>
      <c r="Q562" s="3">
        <v>11</v>
      </c>
      <c r="R562" s="3">
        <v>3</v>
      </c>
      <c r="T562">
        <f t="shared" si="8"/>
        <v>1</v>
      </c>
    </row>
    <row r="563" spans="1:20">
      <c r="A563" s="5" t="s">
        <v>612</v>
      </c>
      <c r="B563" s="5" t="s">
        <v>613</v>
      </c>
      <c r="C563" s="6">
        <v>45369</v>
      </c>
      <c r="D563" s="5">
        <v>59</v>
      </c>
      <c r="E563" s="5" t="s">
        <v>20</v>
      </c>
      <c r="F563" s="5" t="s">
        <v>88</v>
      </c>
      <c r="G563" s="5" t="s">
        <v>46</v>
      </c>
      <c r="H563" s="7">
        <v>854.83</v>
      </c>
      <c r="I563" s="3">
        <v>3</v>
      </c>
      <c r="J563" s="4">
        <v>0</v>
      </c>
      <c r="K563" s="7">
        <v>2564.4899999999998</v>
      </c>
      <c r="L563" s="5" t="s">
        <v>327</v>
      </c>
      <c r="M563" s="5" t="s">
        <v>33</v>
      </c>
      <c r="N563" s="3">
        <v>3</v>
      </c>
      <c r="O563" s="3">
        <v>8</v>
      </c>
      <c r="P563" s="5" t="b">
        <v>1</v>
      </c>
      <c r="Q563" s="3">
        <v>8</v>
      </c>
      <c r="R563" s="3">
        <v>4</v>
      </c>
      <c r="T563">
        <f t="shared" si="8"/>
        <v>1</v>
      </c>
    </row>
    <row r="564" spans="1:20">
      <c r="A564" s="5" t="s">
        <v>1125</v>
      </c>
      <c r="B564" s="5" t="s">
        <v>1126</v>
      </c>
      <c r="C564" s="6">
        <v>45010</v>
      </c>
      <c r="D564" s="5">
        <v>45</v>
      </c>
      <c r="E564" s="5" t="s">
        <v>20</v>
      </c>
      <c r="F564" s="5" t="s">
        <v>49</v>
      </c>
      <c r="G564" s="5" t="s">
        <v>64</v>
      </c>
      <c r="H564" s="7">
        <v>1407.18</v>
      </c>
      <c r="I564" s="3">
        <v>1</v>
      </c>
      <c r="J564" s="4">
        <v>0</v>
      </c>
      <c r="K564" s="7">
        <v>1407.18</v>
      </c>
      <c r="L564" s="5" t="s">
        <v>692</v>
      </c>
      <c r="M564" s="5" t="s">
        <v>33</v>
      </c>
      <c r="N564" s="3">
        <v>13</v>
      </c>
      <c r="O564" s="3">
        <v>7</v>
      </c>
      <c r="P564" s="5" t="b">
        <v>1</v>
      </c>
      <c r="Q564" s="3">
        <v>10</v>
      </c>
      <c r="R564" s="3">
        <v>4</v>
      </c>
      <c r="T564">
        <f t="shared" si="8"/>
        <v>1</v>
      </c>
    </row>
    <row r="565" spans="1:20">
      <c r="A565" s="5" t="s">
        <v>271</v>
      </c>
      <c r="B565" s="5" t="s">
        <v>272</v>
      </c>
      <c r="C565" s="6">
        <v>45336</v>
      </c>
      <c r="D565" s="5">
        <v>31</v>
      </c>
      <c r="E565" s="5" t="s">
        <v>20</v>
      </c>
      <c r="F565" s="5" t="s">
        <v>32</v>
      </c>
      <c r="G565" s="5" t="s">
        <v>115</v>
      </c>
      <c r="H565" s="7">
        <v>90.82</v>
      </c>
      <c r="I565" s="3">
        <v>1</v>
      </c>
      <c r="J565" s="4">
        <v>0</v>
      </c>
      <c r="K565" s="7">
        <v>90.82</v>
      </c>
      <c r="L565" s="5" t="s">
        <v>23</v>
      </c>
      <c r="M565" s="5" t="s">
        <v>33</v>
      </c>
      <c r="N565" s="3">
        <v>19</v>
      </c>
      <c r="O565" s="3">
        <v>8</v>
      </c>
      <c r="P565" s="5" t="b">
        <v>1</v>
      </c>
      <c r="Q565" s="3">
        <v>6</v>
      </c>
      <c r="R565" s="3">
        <v>5</v>
      </c>
      <c r="T565">
        <f t="shared" si="8"/>
        <v>1</v>
      </c>
    </row>
    <row r="566" spans="1:20">
      <c r="A566" s="5" t="s">
        <v>614</v>
      </c>
      <c r="B566" s="5" t="s">
        <v>615</v>
      </c>
      <c r="C566" s="6">
        <v>45342</v>
      </c>
      <c r="D566" s="5">
        <v>49</v>
      </c>
      <c r="E566" s="5" t="s">
        <v>20</v>
      </c>
      <c r="F566" s="5" t="s">
        <v>32</v>
      </c>
      <c r="G566" s="5" t="s">
        <v>22</v>
      </c>
      <c r="H566" s="7">
        <v>84.47</v>
      </c>
      <c r="I566" s="3">
        <v>1</v>
      </c>
      <c r="J566" s="4">
        <v>15.05</v>
      </c>
      <c r="K566" s="7">
        <v>69.42</v>
      </c>
      <c r="L566" s="5" t="s">
        <v>327</v>
      </c>
      <c r="M566" s="5" t="s">
        <v>33</v>
      </c>
      <c r="N566" s="3">
        <v>32</v>
      </c>
      <c r="O566" s="3">
        <v>7</v>
      </c>
      <c r="P566" s="5" t="b">
        <v>0</v>
      </c>
      <c r="Q566" s="3">
        <v>13</v>
      </c>
      <c r="R566" s="3">
        <v>4</v>
      </c>
      <c r="T566">
        <f t="shared" si="8"/>
        <v>1</v>
      </c>
    </row>
    <row r="567" spans="1:20">
      <c r="A567" s="5" t="s">
        <v>616</v>
      </c>
      <c r="B567" s="5" t="s">
        <v>617</v>
      </c>
      <c r="C567" s="6">
        <v>45017</v>
      </c>
      <c r="D567" s="5">
        <v>30</v>
      </c>
      <c r="E567" s="5" t="s">
        <v>20</v>
      </c>
      <c r="F567" s="5" t="s">
        <v>83</v>
      </c>
      <c r="G567" s="5" t="s">
        <v>56</v>
      </c>
      <c r="H567" s="7">
        <v>2182.37</v>
      </c>
      <c r="I567" s="3">
        <v>2</v>
      </c>
      <c r="J567" s="4">
        <v>0</v>
      </c>
      <c r="K567" s="7">
        <v>4364.74</v>
      </c>
      <c r="L567" s="5" t="s">
        <v>327</v>
      </c>
      <c r="M567" s="5" t="s">
        <v>29</v>
      </c>
      <c r="N567" s="3">
        <v>13</v>
      </c>
      <c r="O567" s="3">
        <v>9</v>
      </c>
      <c r="P567" s="5" t="b">
        <v>1</v>
      </c>
      <c r="Q567" s="3">
        <v>5</v>
      </c>
      <c r="R567" s="3">
        <v>5</v>
      </c>
      <c r="T567">
        <f t="shared" si="8"/>
        <v>1</v>
      </c>
    </row>
    <row r="568" spans="1:20">
      <c r="A568" s="5" t="s">
        <v>618</v>
      </c>
      <c r="B568" s="5" t="s">
        <v>619</v>
      </c>
      <c r="C568" s="6">
        <v>45138</v>
      </c>
      <c r="D568" s="5">
        <v>18</v>
      </c>
      <c r="E568" s="5" t="s">
        <v>20</v>
      </c>
      <c r="F568" s="5" t="s">
        <v>49</v>
      </c>
      <c r="G568" s="5" t="s">
        <v>46</v>
      </c>
      <c r="H568" s="7">
        <v>227.16</v>
      </c>
      <c r="I568" s="3">
        <v>1</v>
      </c>
      <c r="J568" s="4">
        <v>0</v>
      </c>
      <c r="K568" s="7">
        <v>227.16</v>
      </c>
      <c r="L568" s="5" t="s">
        <v>327</v>
      </c>
      <c r="M568" s="5" t="s">
        <v>33</v>
      </c>
      <c r="N568" s="3">
        <v>9</v>
      </c>
      <c r="O568" s="3">
        <v>6</v>
      </c>
      <c r="P568" s="5" t="b">
        <v>0</v>
      </c>
      <c r="Q568" s="3">
        <v>3</v>
      </c>
      <c r="R568" s="3">
        <v>4</v>
      </c>
      <c r="T568">
        <f t="shared" si="8"/>
        <v>1</v>
      </c>
    </row>
    <row r="569" spans="1:20">
      <c r="A569" s="5" t="s">
        <v>1419</v>
      </c>
      <c r="B569" s="5" t="s">
        <v>1420</v>
      </c>
      <c r="C569" s="6">
        <v>44939</v>
      </c>
      <c r="D569" s="5">
        <v>22</v>
      </c>
      <c r="E569" s="5" t="s">
        <v>36</v>
      </c>
      <c r="F569" s="5" t="s">
        <v>21</v>
      </c>
      <c r="G569" s="5" t="s">
        <v>64</v>
      </c>
      <c r="H569" s="7">
        <v>2111.5700000000002</v>
      </c>
      <c r="I569" s="3">
        <v>3</v>
      </c>
      <c r="J569" s="4">
        <v>0</v>
      </c>
      <c r="K569" s="7">
        <v>6334.71</v>
      </c>
      <c r="L569" s="5" t="s">
        <v>1298</v>
      </c>
      <c r="M569" s="5" t="s">
        <v>29</v>
      </c>
      <c r="N569" s="3">
        <v>6</v>
      </c>
      <c r="O569" s="3">
        <v>7</v>
      </c>
      <c r="P569" s="5" t="b">
        <v>0</v>
      </c>
      <c r="Q569" s="3">
        <v>3</v>
      </c>
      <c r="R569" s="3">
        <v>2</v>
      </c>
      <c r="T569">
        <f t="shared" si="8"/>
        <v>1</v>
      </c>
    </row>
    <row r="570" spans="1:20">
      <c r="A570" s="5" t="s">
        <v>273</v>
      </c>
      <c r="B570" s="5" t="s">
        <v>274</v>
      </c>
      <c r="C570" s="6">
        <v>45018</v>
      </c>
      <c r="D570" s="5">
        <v>18</v>
      </c>
      <c r="E570" s="5" t="s">
        <v>20</v>
      </c>
      <c r="F570" s="5" t="s">
        <v>27</v>
      </c>
      <c r="G570" s="5" t="s">
        <v>28</v>
      </c>
      <c r="H570" s="7">
        <v>161.71</v>
      </c>
      <c r="I570" s="3">
        <v>4</v>
      </c>
      <c r="J570" s="4">
        <v>0</v>
      </c>
      <c r="K570" s="7">
        <v>646.84</v>
      </c>
      <c r="L570" s="5" t="s">
        <v>23</v>
      </c>
      <c r="M570" s="5" t="s">
        <v>33</v>
      </c>
      <c r="N570" s="3">
        <v>13</v>
      </c>
      <c r="O570" s="3">
        <v>8</v>
      </c>
      <c r="P570" s="5" t="b">
        <v>0</v>
      </c>
      <c r="Q570" s="3">
        <v>2</v>
      </c>
      <c r="R570" s="3">
        <v>2</v>
      </c>
      <c r="T570">
        <f t="shared" si="8"/>
        <v>1</v>
      </c>
    </row>
    <row r="571" spans="1:20">
      <c r="A571" s="5" t="s">
        <v>1127</v>
      </c>
      <c r="B571" s="5" t="s">
        <v>1128</v>
      </c>
      <c r="C571" s="6">
        <v>45304</v>
      </c>
      <c r="D571" s="5">
        <v>30</v>
      </c>
      <c r="E571" s="5" t="s">
        <v>20</v>
      </c>
      <c r="F571" s="5" t="s">
        <v>27</v>
      </c>
      <c r="G571" s="5" t="s">
        <v>53</v>
      </c>
      <c r="H571" s="7">
        <v>20.37</v>
      </c>
      <c r="I571" s="3">
        <v>2</v>
      </c>
      <c r="J571" s="4">
        <v>3.95</v>
      </c>
      <c r="K571" s="7">
        <v>36.79</v>
      </c>
      <c r="L571" s="5" t="s">
        <v>692</v>
      </c>
      <c r="M571" s="5" t="s">
        <v>24</v>
      </c>
      <c r="N571" s="3">
        <v>9</v>
      </c>
      <c r="O571" s="3">
        <v>10</v>
      </c>
      <c r="P571" s="5" t="b">
        <v>1</v>
      </c>
      <c r="Q571" s="3">
        <v>14</v>
      </c>
      <c r="R571" s="3">
        <v>2</v>
      </c>
      <c r="T571">
        <f t="shared" si="8"/>
        <v>1</v>
      </c>
    </row>
    <row r="572" spans="1:20">
      <c r="A572" s="5" t="s">
        <v>1129</v>
      </c>
      <c r="B572" s="5" t="s">
        <v>1130</v>
      </c>
      <c r="C572" s="6">
        <v>45097</v>
      </c>
      <c r="D572" s="5">
        <v>35</v>
      </c>
      <c r="E572" s="5" t="s">
        <v>20</v>
      </c>
      <c r="F572" s="5" t="s">
        <v>27</v>
      </c>
      <c r="G572" s="5" t="s">
        <v>53</v>
      </c>
      <c r="H572" s="7">
        <v>29.29</v>
      </c>
      <c r="I572" s="3">
        <v>2</v>
      </c>
      <c r="J572" s="4">
        <v>0</v>
      </c>
      <c r="K572" s="7">
        <v>58.58</v>
      </c>
      <c r="L572" s="5" t="s">
        <v>692</v>
      </c>
      <c r="M572" s="5" t="s">
        <v>33</v>
      </c>
      <c r="N572" s="3">
        <v>10</v>
      </c>
      <c r="O572" s="3">
        <v>10</v>
      </c>
      <c r="P572" s="5" t="b">
        <v>0</v>
      </c>
      <c r="Q572" s="3">
        <v>6</v>
      </c>
      <c r="R572" s="3">
        <v>1</v>
      </c>
      <c r="T572">
        <f t="shared" si="8"/>
        <v>1</v>
      </c>
    </row>
    <row r="573" spans="1:20">
      <c r="A573" s="5" t="s">
        <v>1131</v>
      </c>
      <c r="B573" s="5" t="s">
        <v>1132</v>
      </c>
      <c r="C573" s="6">
        <v>45327</v>
      </c>
      <c r="D573" s="5">
        <v>55</v>
      </c>
      <c r="E573" s="5" t="s">
        <v>36</v>
      </c>
      <c r="F573" s="5" t="s">
        <v>21</v>
      </c>
      <c r="G573" s="5" t="s">
        <v>28</v>
      </c>
      <c r="H573" s="7">
        <v>313.64</v>
      </c>
      <c r="I573" s="3">
        <v>1</v>
      </c>
      <c r="J573" s="4">
        <v>89.14</v>
      </c>
      <c r="K573" s="7">
        <v>224.5</v>
      </c>
      <c r="L573" s="5" t="s">
        <v>692</v>
      </c>
      <c r="M573" s="5" t="s">
        <v>33</v>
      </c>
      <c r="N573" s="3">
        <v>14</v>
      </c>
      <c r="O573" s="3">
        <v>10</v>
      </c>
      <c r="P573" s="5" t="b">
        <v>1</v>
      </c>
      <c r="Q573" s="3">
        <v>2</v>
      </c>
      <c r="R573" s="3">
        <v>4</v>
      </c>
      <c r="T573">
        <f t="shared" si="8"/>
        <v>1</v>
      </c>
    </row>
    <row r="574" spans="1:20">
      <c r="A574" s="5" t="s">
        <v>1133</v>
      </c>
      <c r="B574" s="5" t="s">
        <v>1134</v>
      </c>
      <c r="C574" s="6">
        <v>45137</v>
      </c>
      <c r="D574" s="5">
        <v>38</v>
      </c>
      <c r="E574" s="5" t="s">
        <v>36</v>
      </c>
      <c r="F574" s="5" t="s">
        <v>21</v>
      </c>
      <c r="G574" s="5" t="s">
        <v>56</v>
      </c>
      <c r="H574" s="7">
        <v>516.20000000000005</v>
      </c>
      <c r="I574" s="3">
        <v>5</v>
      </c>
      <c r="J574" s="4">
        <v>0</v>
      </c>
      <c r="K574" s="7">
        <v>2581</v>
      </c>
      <c r="L574" s="5" t="s">
        <v>692</v>
      </c>
      <c r="M574" s="5" t="s">
        <v>33</v>
      </c>
      <c r="N574" s="3">
        <v>9</v>
      </c>
      <c r="O574" s="3">
        <v>9</v>
      </c>
      <c r="P574" s="5" t="b">
        <v>1</v>
      </c>
      <c r="Q574" s="3">
        <v>8</v>
      </c>
      <c r="R574" s="3">
        <v>5</v>
      </c>
      <c r="T574">
        <f t="shared" si="8"/>
        <v>1</v>
      </c>
    </row>
    <row r="575" spans="1:20">
      <c r="A575" s="5" t="s">
        <v>1282</v>
      </c>
      <c r="B575" s="5" t="s">
        <v>1283</v>
      </c>
      <c r="C575" s="6">
        <v>45337</v>
      </c>
      <c r="D575" s="5">
        <v>32</v>
      </c>
      <c r="E575" s="5" t="s">
        <v>36</v>
      </c>
      <c r="F575" s="5" t="s">
        <v>32</v>
      </c>
      <c r="G575" s="5" t="s">
        <v>56</v>
      </c>
      <c r="H575" s="7">
        <v>261</v>
      </c>
      <c r="I575" s="3">
        <v>4</v>
      </c>
      <c r="J575" s="4">
        <v>0</v>
      </c>
      <c r="K575" s="7">
        <v>1044</v>
      </c>
      <c r="L575" s="5" t="s">
        <v>1231</v>
      </c>
      <c r="M575" s="5" t="s">
        <v>33</v>
      </c>
      <c r="N575" s="3">
        <v>5</v>
      </c>
      <c r="O575" s="3">
        <v>9</v>
      </c>
      <c r="P575" s="5" t="b">
        <v>0</v>
      </c>
      <c r="Q575" s="3">
        <v>5</v>
      </c>
      <c r="R575" s="3">
        <v>2</v>
      </c>
      <c r="T575">
        <f t="shared" si="8"/>
        <v>1</v>
      </c>
    </row>
    <row r="576" spans="1:20">
      <c r="A576" s="5" t="s">
        <v>620</v>
      </c>
      <c r="B576" s="5" t="s">
        <v>621</v>
      </c>
      <c r="C576" s="6">
        <v>45269</v>
      </c>
      <c r="D576" s="5">
        <v>44</v>
      </c>
      <c r="E576" s="5" t="s">
        <v>20</v>
      </c>
      <c r="F576" s="5" t="s">
        <v>76</v>
      </c>
      <c r="G576" s="5" t="s">
        <v>46</v>
      </c>
      <c r="H576" s="7">
        <v>345.82</v>
      </c>
      <c r="I576" s="3">
        <v>2</v>
      </c>
      <c r="J576" s="4">
        <v>0</v>
      </c>
      <c r="K576" s="7">
        <v>691.64</v>
      </c>
      <c r="L576" s="5" t="s">
        <v>327</v>
      </c>
      <c r="M576" s="5" t="s">
        <v>33</v>
      </c>
      <c r="N576" s="3">
        <v>15</v>
      </c>
      <c r="O576" s="3">
        <v>5</v>
      </c>
      <c r="P576" s="5" t="b">
        <v>1</v>
      </c>
      <c r="Q576" s="3">
        <v>11</v>
      </c>
      <c r="R576" s="3">
        <v>4</v>
      </c>
      <c r="T576">
        <f t="shared" si="8"/>
        <v>1</v>
      </c>
    </row>
    <row r="577" spans="1:20">
      <c r="A577" s="5" t="s">
        <v>1421</v>
      </c>
      <c r="B577" s="5" t="s">
        <v>1422</v>
      </c>
      <c r="C577" s="6">
        <v>45369</v>
      </c>
      <c r="D577" s="5">
        <v>18</v>
      </c>
      <c r="E577" s="5" t="s">
        <v>36</v>
      </c>
      <c r="F577" s="5" t="s">
        <v>73</v>
      </c>
      <c r="G577" s="5" t="s">
        <v>56</v>
      </c>
      <c r="H577" s="7">
        <v>260.91000000000003</v>
      </c>
      <c r="I577" s="3">
        <v>1</v>
      </c>
      <c r="J577" s="4">
        <v>0</v>
      </c>
      <c r="K577" s="7">
        <v>260.91000000000003</v>
      </c>
      <c r="L577" s="5" t="s">
        <v>1298</v>
      </c>
      <c r="M577" s="5" t="s">
        <v>24</v>
      </c>
      <c r="N577" s="3">
        <v>8</v>
      </c>
      <c r="O577" s="3">
        <v>12</v>
      </c>
      <c r="P577" s="5" t="b">
        <v>1</v>
      </c>
      <c r="Q577" s="3">
        <v>8</v>
      </c>
      <c r="R577" s="3">
        <v>4</v>
      </c>
      <c r="T577">
        <f t="shared" si="8"/>
        <v>1</v>
      </c>
    </row>
    <row r="578" spans="1:20">
      <c r="A578" s="5" t="s">
        <v>1135</v>
      </c>
      <c r="B578" s="5" t="s">
        <v>1136</v>
      </c>
      <c r="C578" s="6">
        <v>45303</v>
      </c>
      <c r="D578" s="5">
        <v>37</v>
      </c>
      <c r="E578" s="5" t="s">
        <v>20</v>
      </c>
      <c r="F578" s="5" t="s">
        <v>32</v>
      </c>
      <c r="G578" s="5" t="s">
        <v>115</v>
      </c>
      <c r="H578" s="7">
        <v>38.729999999999997</v>
      </c>
      <c r="I578" s="3">
        <v>4</v>
      </c>
      <c r="J578" s="4">
        <v>0</v>
      </c>
      <c r="K578" s="7">
        <v>154.91999999999999</v>
      </c>
      <c r="L578" s="5" t="s">
        <v>692</v>
      </c>
      <c r="M578" s="5" t="s">
        <v>33</v>
      </c>
      <c r="N578" s="3">
        <v>20</v>
      </c>
      <c r="O578" s="3">
        <v>11</v>
      </c>
      <c r="P578" s="5" t="b">
        <v>0</v>
      </c>
      <c r="Q578" s="3">
        <v>7</v>
      </c>
      <c r="R578" s="3">
        <v>3</v>
      </c>
      <c r="T578">
        <f t="shared" si="8"/>
        <v>1</v>
      </c>
    </row>
    <row r="579" spans="1:20">
      <c r="A579" s="5" t="s">
        <v>622</v>
      </c>
      <c r="B579" s="5" t="s">
        <v>623</v>
      </c>
      <c r="C579" s="6">
        <v>45342</v>
      </c>
      <c r="D579" s="5">
        <v>44</v>
      </c>
      <c r="E579" s="5" t="s">
        <v>20</v>
      </c>
      <c r="F579" s="5" t="s">
        <v>76</v>
      </c>
      <c r="G579" s="5" t="s">
        <v>37</v>
      </c>
      <c r="H579" s="7">
        <v>31.21</v>
      </c>
      <c r="I579" s="3">
        <v>4</v>
      </c>
      <c r="J579" s="4">
        <v>0</v>
      </c>
      <c r="K579" s="7">
        <v>124.84</v>
      </c>
      <c r="L579" s="5" t="s">
        <v>327</v>
      </c>
      <c r="M579" s="5" t="s">
        <v>33</v>
      </c>
      <c r="N579" s="3">
        <v>7</v>
      </c>
      <c r="O579" s="3">
        <v>13</v>
      </c>
      <c r="P579" s="5" t="b">
        <v>1</v>
      </c>
      <c r="Q579" s="3">
        <v>4</v>
      </c>
      <c r="R579" s="3">
        <v>4</v>
      </c>
      <c r="T579">
        <f t="shared" ref="T579:T642" si="9">COUNTIF(A579:A1277,A579)</f>
        <v>1</v>
      </c>
    </row>
    <row r="580" spans="1:20">
      <c r="A580" s="5" t="s">
        <v>1284</v>
      </c>
      <c r="B580" s="5" t="s">
        <v>1285</v>
      </c>
      <c r="C580" s="6">
        <v>45054</v>
      </c>
      <c r="D580" s="5">
        <v>18</v>
      </c>
      <c r="E580" s="5" t="s">
        <v>20</v>
      </c>
      <c r="F580" s="5" t="s">
        <v>76</v>
      </c>
      <c r="G580" s="5" t="s">
        <v>37</v>
      </c>
      <c r="H580" s="7">
        <v>93.11</v>
      </c>
      <c r="I580" s="3">
        <v>3</v>
      </c>
      <c r="J580" s="4">
        <v>12.18</v>
      </c>
      <c r="K580" s="7">
        <v>267.14999999999998</v>
      </c>
      <c r="L580" s="5" t="s">
        <v>1231</v>
      </c>
      <c r="M580" s="5" t="s">
        <v>24</v>
      </c>
      <c r="N580" s="3">
        <v>24</v>
      </c>
      <c r="O580" s="3">
        <v>7</v>
      </c>
      <c r="P580" s="5" t="b">
        <v>0</v>
      </c>
      <c r="Q580" s="3">
        <v>15</v>
      </c>
      <c r="R580" s="3">
        <v>5</v>
      </c>
      <c r="T580">
        <f t="shared" si="9"/>
        <v>1</v>
      </c>
    </row>
    <row r="581" spans="1:20">
      <c r="A581" s="5" t="s">
        <v>1137</v>
      </c>
      <c r="B581" s="5" t="s">
        <v>1138</v>
      </c>
      <c r="C581" s="6">
        <v>45063</v>
      </c>
      <c r="D581" s="5">
        <v>48</v>
      </c>
      <c r="E581" s="5" t="s">
        <v>20</v>
      </c>
      <c r="F581" s="5" t="s">
        <v>83</v>
      </c>
      <c r="G581" s="5" t="s">
        <v>64</v>
      </c>
      <c r="H581" s="7">
        <v>1571.22</v>
      </c>
      <c r="I581" s="3">
        <v>3</v>
      </c>
      <c r="J581" s="4">
        <v>0</v>
      </c>
      <c r="K581" s="7">
        <v>4713.66</v>
      </c>
      <c r="L581" s="5" t="s">
        <v>692</v>
      </c>
      <c r="M581" s="5" t="s">
        <v>33</v>
      </c>
      <c r="N581" s="3">
        <v>9</v>
      </c>
      <c r="O581" s="3">
        <v>14</v>
      </c>
      <c r="P581" s="5" t="b">
        <v>0</v>
      </c>
      <c r="Q581" s="3">
        <v>6</v>
      </c>
      <c r="R581" s="3">
        <v>1</v>
      </c>
      <c r="T581">
        <f t="shared" si="9"/>
        <v>1</v>
      </c>
    </row>
    <row r="582" spans="1:20">
      <c r="A582" s="5" t="s">
        <v>624</v>
      </c>
      <c r="B582" s="5" t="s">
        <v>625</v>
      </c>
      <c r="C582" s="6">
        <v>45008</v>
      </c>
      <c r="D582" s="5">
        <v>39</v>
      </c>
      <c r="E582" s="5" t="s">
        <v>20</v>
      </c>
      <c r="F582" s="5" t="s">
        <v>88</v>
      </c>
      <c r="G582" s="5" t="s">
        <v>64</v>
      </c>
      <c r="H582" s="7">
        <v>918.11</v>
      </c>
      <c r="I582" s="3">
        <v>4</v>
      </c>
      <c r="J582" s="4">
        <v>144.07</v>
      </c>
      <c r="K582" s="7">
        <v>3528.37</v>
      </c>
      <c r="L582" s="5" t="s">
        <v>327</v>
      </c>
      <c r="M582" s="5" t="s">
        <v>33</v>
      </c>
      <c r="N582" s="3">
        <v>30</v>
      </c>
      <c r="O582" s="3">
        <v>9</v>
      </c>
      <c r="P582" s="5" t="b">
        <v>1</v>
      </c>
      <c r="Q582" s="3">
        <v>8</v>
      </c>
      <c r="R582" s="3">
        <v>3</v>
      </c>
      <c r="T582">
        <f t="shared" si="9"/>
        <v>1</v>
      </c>
    </row>
    <row r="583" spans="1:20">
      <c r="A583" s="5" t="s">
        <v>1423</v>
      </c>
      <c r="B583" s="5" t="s">
        <v>1424</v>
      </c>
      <c r="C583" s="6">
        <v>45330</v>
      </c>
      <c r="D583" s="5">
        <v>30</v>
      </c>
      <c r="E583" s="5" t="s">
        <v>36</v>
      </c>
      <c r="F583" s="5" t="s">
        <v>83</v>
      </c>
      <c r="G583" s="5" t="s">
        <v>115</v>
      </c>
      <c r="H583" s="7">
        <v>125.42</v>
      </c>
      <c r="I583" s="3">
        <v>1</v>
      </c>
      <c r="J583" s="4">
        <v>17.46</v>
      </c>
      <c r="K583" s="7">
        <v>107.96</v>
      </c>
      <c r="L583" s="5" t="s">
        <v>1298</v>
      </c>
      <c r="M583" s="5" t="s">
        <v>33</v>
      </c>
      <c r="N583" s="3">
        <v>5</v>
      </c>
      <c r="O583" s="3">
        <v>5</v>
      </c>
      <c r="P583" s="5" t="b">
        <v>1</v>
      </c>
      <c r="Q583" s="3">
        <v>4</v>
      </c>
      <c r="R583" s="3">
        <v>5</v>
      </c>
      <c r="T583">
        <f t="shared" si="9"/>
        <v>1</v>
      </c>
    </row>
    <row r="584" spans="1:20">
      <c r="A584" s="5" t="s">
        <v>1425</v>
      </c>
      <c r="B584" s="5" t="s">
        <v>1426</v>
      </c>
      <c r="C584" s="6">
        <v>45286</v>
      </c>
      <c r="D584" s="5">
        <v>42</v>
      </c>
      <c r="E584" s="5" t="s">
        <v>36</v>
      </c>
      <c r="F584" s="5" t="s">
        <v>32</v>
      </c>
      <c r="G584" s="5" t="s">
        <v>64</v>
      </c>
      <c r="H584" s="7">
        <v>962.37</v>
      </c>
      <c r="I584" s="3">
        <v>1</v>
      </c>
      <c r="J584" s="4">
        <v>0</v>
      </c>
      <c r="K584" s="7">
        <v>962.37</v>
      </c>
      <c r="L584" s="5" t="s">
        <v>1298</v>
      </c>
      <c r="M584" s="5" t="s">
        <v>33</v>
      </c>
      <c r="N584" s="3">
        <v>23</v>
      </c>
      <c r="O584" s="3">
        <v>5</v>
      </c>
      <c r="P584" s="5" t="b">
        <v>0</v>
      </c>
      <c r="Q584" s="3">
        <v>5</v>
      </c>
      <c r="R584" s="3">
        <v>5</v>
      </c>
      <c r="T584">
        <f t="shared" si="9"/>
        <v>1</v>
      </c>
    </row>
    <row r="585" spans="1:20">
      <c r="A585" s="5" t="s">
        <v>275</v>
      </c>
      <c r="B585" s="5" t="s">
        <v>276</v>
      </c>
      <c r="C585" s="6">
        <v>44982</v>
      </c>
      <c r="D585" s="5">
        <v>62</v>
      </c>
      <c r="E585" s="5" t="s">
        <v>20</v>
      </c>
      <c r="F585" s="5" t="s">
        <v>59</v>
      </c>
      <c r="G585" s="5" t="s">
        <v>37</v>
      </c>
      <c r="H585" s="7">
        <v>85.3</v>
      </c>
      <c r="I585" s="3">
        <v>1</v>
      </c>
      <c r="J585" s="4">
        <v>0</v>
      </c>
      <c r="K585" s="7">
        <v>85.3</v>
      </c>
      <c r="L585" s="5" t="s">
        <v>23</v>
      </c>
      <c r="M585" s="5" t="s">
        <v>33</v>
      </c>
      <c r="N585" s="3">
        <v>8</v>
      </c>
      <c r="O585" s="3">
        <v>9</v>
      </c>
      <c r="P585" s="5" t="b">
        <v>0</v>
      </c>
      <c r="Q585" s="3">
        <v>2</v>
      </c>
      <c r="R585" s="3">
        <v>4</v>
      </c>
      <c r="T585">
        <f t="shared" si="9"/>
        <v>1</v>
      </c>
    </row>
    <row r="586" spans="1:20">
      <c r="A586" s="5" t="s">
        <v>1427</v>
      </c>
      <c r="B586" s="5" t="s">
        <v>1428</v>
      </c>
      <c r="C586" s="6">
        <v>45122</v>
      </c>
      <c r="D586" s="5">
        <v>37</v>
      </c>
      <c r="E586" s="5" t="s">
        <v>36</v>
      </c>
      <c r="F586" s="5" t="s">
        <v>59</v>
      </c>
      <c r="G586" s="5" t="s">
        <v>46</v>
      </c>
      <c r="H586" s="7">
        <v>270.27999999999997</v>
      </c>
      <c r="I586" s="3">
        <v>2</v>
      </c>
      <c r="J586" s="4">
        <v>0</v>
      </c>
      <c r="K586" s="7">
        <v>540.55999999999995</v>
      </c>
      <c r="L586" s="5" t="s">
        <v>1298</v>
      </c>
      <c r="M586" s="5" t="s">
        <v>33</v>
      </c>
      <c r="N586" s="3">
        <v>4</v>
      </c>
      <c r="O586" s="3">
        <v>9</v>
      </c>
      <c r="P586" s="5" t="b">
        <v>1</v>
      </c>
      <c r="Q586" s="3">
        <v>5</v>
      </c>
      <c r="R586" s="3">
        <v>4</v>
      </c>
      <c r="T586">
        <f t="shared" si="9"/>
        <v>1</v>
      </c>
    </row>
    <row r="587" spans="1:20">
      <c r="A587" s="5" t="s">
        <v>277</v>
      </c>
      <c r="B587" s="5" t="s">
        <v>278</v>
      </c>
      <c r="C587" s="6">
        <v>45373</v>
      </c>
      <c r="D587" s="5">
        <v>37</v>
      </c>
      <c r="E587" s="5" t="s">
        <v>20</v>
      </c>
      <c r="F587" s="5" t="s">
        <v>32</v>
      </c>
      <c r="G587" s="5" t="s">
        <v>46</v>
      </c>
      <c r="H587" s="7">
        <v>319.39999999999998</v>
      </c>
      <c r="I587" s="3">
        <v>5</v>
      </c>
      <c r="J587" s="4">
        <v>0</v>
      </c>
      <c r="K587" s="7">
        <v>1597</v>
      </c>
      <c r="L587" s="5" t="s">
        <v>23</v>
      </c>
      <c r="M587" s="5" t="s">
        <v>33</v>
      </c>
      <c r="N587" s="3">
        <v>7</v>
      </c>
      <c r="O587" s="3">
        <v>12</v>
      </c>
      <c r="P587" s="5" t="b">
        <v>1</v>
      </c>
      <c r="Q587" s="3">
        <v>7</v>
      </c>
      <c r="R587" s="3">
        <v>5</v>
      </c>
      <c r="T587">
        <f t="shared" si="9"/>
        <v>1</v>
      </c>
    </row>
    <row r="588" spans="1:20">
      <c r="A588" s="5" t="s">
        <v>1139</v>
      </c>
      <c r="B588" s="5" t="s">
        <v>1140</v>
      </c>
      <c r="C588" s="6">
        <v>44946</v>
      </c>
      <c r="D588" s="5">
        <v>29</v>
      </c>
      <c r="E588" s="5" t="s">
        <v>20</v>
      </c>
      <c r="F588" s="5" t="s">
        <v>32</v>
      </c>
      <c r="G588" s="5" t="s">
        <v>56</v>
      </c>
      <c r="H588" s="7">
        <v>923.93</v>
      </c>
      <c r="I588" s="3">
        <v>1</v>
      </c>
      <c r="J588" s="4">
        <v>0</v>
      </c>
      <c r="K588" s="7">
        <v>923.93</v>
      </c>
      <c r="L588" s="5" t="s">
        <v>692</v>
      </c>
      <c r="M588" s="5" t="s">
        <v>33</v>
      </c>
      <c r="N588" s="3">
        <v>30</v>
      </c>
      <c r="O588" s="3">
        <v>11</v>
      </c>
      <c r="P588" s="5" t="b">
        <v>0</v>
      </c>
      <c r="Q588" s="3">
        <v>2</v>
      </c>
      <c r="R588" s="3">
        <v>5</v>
      </c>
      <c r="T588">
        <f t="shared" si="9"/>
        <v>1</v>
      </c>
    </row>
    <row r="589" spans="1:20">
      <c r="A589" s="5" t="s">
        <v>279</v>
      </c>
      <c r="B589" s="5" t="s">
        <v>280</v>
      </c>
      <c r="C589" s="6">
        <v>45366</v>
      </c>
      <c r="D589" s="5">
        <v>24</v>
      </c>
      <c r="E589" s="5" t="s">
        <v>36</v>
      </c>
      <c r="F589" s="5" t="s">
        <v>83</v>
      </c>
      <c r="G589" s="5" t="s">
        <v>46</v>
      </c>
      <c r="H589" s="7">
        <v>150.93</v>
      </c>
      <c r="I589" s="3">
        <v>2</v>
      </c>
      <c r="J589" s="4">
        <v>0</v>
      </c>
      <c r="K589" s="7">
        <v>301.86</v>
      </c>
      <c r="L589" s="5" t="s">
        <v>23</v>
      </c>
      <c r="M589" s="5" t="s">
        <v>24</v>
      </c>
      <c r="N589" s="3">
        <v>10</v>
      </c>
      <c r="O589" s="3">
        <v>12</v>
      </c>
      <c r="P589" s="5" t="b">
        <v>1</v>
      </c>
      <c r="Q589" s="3">
        <v>3</v>
      </c>
      <c r="R589" s="3">
        <v>4</v>
      </c>
      <c r="T589">
        <f t="shared" si="9"/>
        <v>1</v>
      </c>
    </row>
    <row r="590" spans="1:20">
      <c r="A590" s="5" t="s">
        <v>1286</v>
      </c>
      <c r="B590" s="5" t="s">
        <v>1287</v>
      </c>
      <c r="C590" s="6">
        <v>45167</v>
      </c>
      <c r="D590" s="5">
        <v>44</v>
      </c>
      <c r="E590" s="5" t="s">
        <v>36</v>
      </c>
      <c r="F590" s="5" t="s">
        <v>52</v>
      </c>
      <c r="G590" s="5" t="s">
        <v>64</v>
      </c>
      <c r="H590" s="7">
        <v>1897.92</v>
      </c>
      <c r="I590" s="3">
        <v>5</v>
      </c>
      <c r="J590" s="4">
        <v>443.01</v>
      </c>
      <c r="K590" s="7">
        <v>9046.59</v>
      </c>
      <c r="L590" s="5" t="s">
        <v>1231</v>
      </c>
      <c r="M590" s="5" t="s">
        <v>33</v>
      </c>
      <c r="N590" s="3">
        <v>16</v>
      </c>
      <c r="O590" s="3">
        <v>13</v>
      </c>
      <c r="P590" s="5" t="b">
        <v>0</v>
      </c>
      <c r="Q590" s="3">
        <v>4</v>
      </c>
      <c r="R590" s="3">
        <v>4</v>
      </c>
      <c r="T590">
        <f t="shared" si="9"/>
        <v>1</v>
      </c>
    </row>
    <row r="591" spans="1:20">
      <c r="A591" s="5" t="s">
        <v>626</v>
      </c>
      <c r="B591" s="5" t="s">
        <v>627</v>
      </c>
      <c r="C591" s="6">
        <v>45040</v>
      </c>
      <c r="D591" s="5">
        <v>24</v>
      </c>
      <c r="E591" s="5" t="s">
        <v>20</v>
      </c>
      <c r="F591" s="5" t="s">
        <v>88</v>
      </c>
      <c r="G591" s="5" t="s">
        <v>22</v>
      </c>
      <c r="H591" s="7">
        <v>136.07</v>
      </c>
      <c r="I591" s="3">
        <v>5</v>
      </c>
      <c r="J591" s="4">
        <v>0</v>
      </c>
      <c r="K591" s="7">
        <v>680.35</v>
      </c>
      <c r="L591" s="5" t="s">
        <v>327</v>
      </c>
      <c r="M591" s="5" t="s">
        <v>33</v>
      </c>
      <c r="N591" s="3">
        <v>10</v>
      </c>
      <c r="O591" s="3">
        <v>9</v>
      </c>
      <c r="P591" s="5" t="b">
        <v>0</v>
      </c>
      <c r="Q591" s="3">
        <v>3</v>
      </c>
      <c r="R591" s="3">
        <v>5</v>
      </c>
      <c r="T591">
        <f t="shared" si="9"/>
        <v>1</v>
      </c>
    </row>
    <row r="592" spans="1:20">
      <c r="A592" s="5" t="s">
        <v>1141</v>
      </c>
      <c r="B592" s="5" t="s">
        <v>1142</v>
      </c>
      <c r="C592" s="6">
        <v>45029</v>
      </c>
      <c r="D592" s="5">
        <v>35</v>
      </c>
      <c r="E592" s="5" t="s">
        <v>20</v>
      </c>
      <c r="F592" s="5" t="s">
        <v>32</v>
      </c>
      <c r="G592" s="5" t="s">
        <v>64</v>
      </c>
      <c r="H592" s="7">
        <v>491.74</v>
      </c>
      <c r="I592" s="3">
        <v>2</v>
      </c>
      <c r="J592" s="4">
        <v>68.33</v>
      </c>
      <c r="K592" s="7">
        <v>915.15</v>
      </c>
      <c r="L592" s="5" t="s">
        <v>692</v>
      </c>
      <c r="M592" s="5" t="s">
        <v>33</v>
      </c>
      <c r="N592" s="3">
        <v>13</v>
      </c>
      <c r="O592" s="3">
        <v>13</v>
      </c>
      <c r="P592" s="5" t="b">
        <v>1</v>
      </c>
      <c r="Q592" s="3">
        <v>3</v>
      </c>
      <c r="R592" s="3">
        <v>2</v>
      </c>
      <c r="T592">
        <f t="shared" si="9"/>
        <v>1</v>
      </c>
    </row>
    <row r="593" spans="1:20">
      <c r="A593" s="5" t="s">
        <v>628</v>
      </c>
      <c r="B593" s="5" t="s">
        <v>629</v>
      </c>
      <c r="C593" s="6">
        <v>45345</v>
      </c>
      <c r="D593" s="5">
        <v>29</v>
      </c>
      <c r="E593" s="5" t="s">
        <v>36</v>
      </c>
      <c r="F593" s="5" t="s">
        <v>32</v>
      </c>
      <c r="G593" s="5" t="s">
        <v>37</v>
      </c>
      <c r="H593" s="7">
        <v>73.459999999999994</v>
      </c>
      <c r="I593" s="3">
        <v>2</v>
      </c>
      <c r="J593" s="4">
        <v>0</v>
      </c>
      <c r="K593" s="7">
        <v>146.91999999999999</v>
      </c>
      <c r="L593" s="5" t="s">
        <v>327</v>
      </c>
      <c r="M593" s="5" t="s">
        <v>29</v>
      </c>
      <c r="N593" s="3">
        <v>10</v>
      </c>
      <c r="O593" s="3">
        <v>9</v>
      </c>
      <c r="P593" s="5" t="b">
        <v>1</v>
      </c>
      <c r="Q593" s="3">
        <v>4</v>
      </c>
      <c r="R593" s="3">
        <v>5</v>
      </c>
      <c r="T593">
        <f t="shared" si="9"/>
        <v>1</v>
      </c>
    </row>
    <row r="594" spans="1:20">
      <c r="A594" s="5" t="s">
        <v>281</v>
      </c>
      <c r="B594" s="5" t="s">
        <v>282</v>
      </c>
      <c r="C594" s="6">
        <v>45162</v>
      </c>
      <c r="D594" s="5">
        <v>40</v>
      </c>
      <c r="E594" s="5" t="s">
        <v>36</v>
      </c>
      <c r="F594" s="5" t="s">
        <v>21</v>
      </c>
      <c r="G594" s="5" t="s">
        <v>28</v>
      </c>
      <c r="H594" s="7">
        <v>212.57</v>
      </c>
      <c r="I594" s="3">
        <v>1</v>
      </c>
      <c r="J594" s="4">
        <v>0</v>
      </c>
      <c r="K594" s="7">
        <v>212.57</v>
      </c>
      <c r="L594" s="5" t="s">
        <v>23</v>
      </c>
      <c r="M594" s="5" t="s">
        <v>24</v>
      </c>
      <c r="N594" s="3">
        <v>8</v>
      </c>
      <c r="O594" s="3">
        <v>8</v>
      </c>
      <c r="P594" s="5" t="b">
        <v>1</v>
      </c>
      <c r="Q594" s="3">
        <v>7</v>
      </c>
      <c r="R594" s="3">
        <v>4</v>
      </c>
      <c r="T594">
        <f t="shared" si="9"/>
        <v>1</v>
      </c>
    </row>
    <row r="595" spans="1:20">
      <c r="A595" s="5" t="s">
        <v>1143</v>
      </c>
      <c r="B595" s="5" t="s">
        <v>1144</v>
      </c>
      <c r="C595" s="6">
        <v>45106</v>
      </c>
      <c r="D595" s="5">
        <v>39</v>
      </c>
      <c r="E595" s="5" t="s">
        <v>36</v>
      </c>
      <c r="F595" s="5" t="s">
        <v>32</v>
      </c>
      <c r="G595" s="5" t="s">
        <v>22</v>
      </c>
      <c r="H595" s="7">
        <v>177.03</v>
      </c>
      <c r="I595" s="3">
        <v>2</v>
      </c>
      <c r="J595" s="4">
        <v>0</v>
      </c>
      <c r="K595" s="7">
        <v>354.06</v>
      </c>
      <c r="L595" s="5" t="s">
        <v>692</v>
      </c>
      <c r="M595" s="5" t="s">
        <v>24</v>
      </c>
      <c r="N595" s="3">
        <v>17</v>
      </c>
      <c r="O595" s="3">
        <v>10</v>
      </c>
      <c r="P595" s="5" t="b">
        <v>1</v>
      </c>
      <c r="Q595" s="3">
        <v>2</v>
      </c>
      <c r="R595" s="3">
        <v>4</v>
      </c>
      <c r="T595">
        <f t="shared" si="9"/>
        <v>1</v>
      </c>
    </row>
    <row r="596" spans="1:20">
      <c r="A596" s="5" t="s">
        <v>283</v>
      </c>
      <c r="B596" s="5" t="s">
        <v>284</v>
      </c>
      <c r="C596" s="6">
        <v>45083</v>
      </c>
      <c r="D596" s="5">
        <v>47</v>
      </c>
      <c r="E596" s="5" t="s">
        <v>20</v>
      </c>
      <c r="F596" s="5" t="s">
        <v>49</v>
      </c>
      <c r="G596" s="5" t="s">
        <v>56</v>
      </c>
      <c r="H596" s="7">
        <v>269.47000000000003</v>
      </c>
      <c r="I596" s="3">
        <v>1</v>
      </c>
      <c r="J596" s="4">
        <v>0</v>
      </c>
      <c r="K596" s="7">
        <v>269.47000000000003</v>
      </c>
      <c r="L596" s="5" t="s">
        <v>23</v>
      </c>
      <c r="M596" s="5" t="s">
        <v>24</v>
      </c>
      <c r="N596" s="3">
        <v>4</v>
      </c>
      <c r="O596" s="3">
        <v>9</v>
      </c>
      <c r="P596" s="5" t="b">
        <v>1</v>
      </c>
      <c r="Q596" s="3">
        <v>3</v>
      </c>
      <c r="R596" s="3">
        <v>5</v>
      </c>
      <c r="T596">
        <f t="shared" si="9"/>
        <v>1</v>
      </c>
    </row>
    <row r="597" spans="1:20">
      <c r="A597" s="5" t="s">
        <v>630</v>
      </c>
      <c r="B597" s="5" t="s">
        <v>631</v>
      </c>
      <c r="C597" s="6">
        <v>45347</v>
      </c>
      <c r="D597" s="5">
        <v>28</v>
      </c>
      <c r="E597" s="5" t="s">
        <v>20</v>
      </c>
      <c r="F597" s="5" t="s">
        <v>73</v>
      </c>
      <c r="G597" s="5" t="s">
        <v>53</v>
      </c>
      <c r="H597" s="7">
        <v>136.05000000000001</v>
      </c>
      <c r="I597" s="3">
        <v>2</v>
      </c>
      <c r="J597" s="4">
        <v>0</v>
      </c>
      <c r="K597" s="7">
        <v>272.10000000000002</v>
      </c>
      <c r="L597" s="5" t="s">
        <v>327</v>
      </c>
      <c r="M597" s="5" t="s">
        <v>24</v>
      </c>
      <c r="N597" s="3">
        <v>6</v>
      </c>
      <c r="O597" s="3">
        <v>16</v>
      </c>
      <c r="P597" s="5" t="b">
        <v>1</v>
      </c>
      <c r="Q597" s="3">
        <v>6</v>
      </c>
      <c r="R597" s="3">
        <v>2</v>
      </c>
      <c r="T597">
        <f t="shared" si="9"/>
        <v>1</v>
      </c>
    </row>
    <row r="598" spans="1:20">
      <c r="A598" s="5" t="s">
        <v>632</v>
      </c>
      <c r="B598" s="5" t="s">
        <v>633</v>
      </c>
      <c r="C598" s="6">
        <v>45334</v>
      </c>
      <c r="D598" s="5">
        <v>31</v>
      </c>
      <c r="E598" s="5" t="s">
        <v>20</v>
      </c>
      <c r="F598" s="5" t="s">
        <v>32</v>
      </c>
      <c r="G598" s="5" t="s">
        <v>28</v>
      </c>
      <c r="H598" s="7">
        <v>175.34</v>
      </c>
      <c r="I598" s="3">
        <v>1</v>
      </c>
      <c r="J598" s="4">
        <v>27.85</v>
      </c>
      <c r="K598" s="7">
        <v>147.49</v>
      </c>
      <c r="L598" s="5" t="s">
        <v>327</v>
      </c>
      <c r="M598" s="5" t="s">
        <v>33</v>
      </c>
      <c r="N598" s="3">
        <v>18</v>
      </c>
      <c r="O598" s="3">
        <v>15</v>
      </c>
      <c r="P598" s="5" t="b">
        <v>0</v>
      </c>
      <c r="Q598" s="3">
        <v>10</v>
      </c>
      <c r="R598" s="3">
        <v>1</v>
      </c>
      <c r="T598">
        <f t="shared" si="9"/>
        <v>1</v>
      </c>
    </row>
    <row r="599" spans="1:20">
      <c r="A599" s="5" t="s">
        <v>1145</v>
      </c>
      <c r="B599" s="5" t="s">
        <v>1146</v>
      </c>
      <c r="C599" s="6">
        <v>45373</v>
      </c>
      <c r="D599" s="5">
        <v>23</v>
      </c>
      <c r="E599" s="5" t="s">
        <v>20</v>
      </c>
      <c r="F599" s="5" t="s">
        <v>32</v>
      </c>
      <c r="G599" s="5" t="s">
        <v>46</v>
      </c>
      <c r="H599" s="7">
        <v>440.72</v>
      </c>
      <c r="I599" s="3">
        <v>2</v>
      </c>
      <c r="J599" s="4">
        <v>0</v>
      </c>
      <c r="K599" s="7">
        <v>881.44</v>
      </c>
      <c r="L599" s="5" t="s">
        <v>692</v>
      </c>
      <c r="M599" s="5" t="s">
        <v>24</v>
      </c>
      <c r="N599" s="3">
        <v>12</v>
      </c>
      <c r="O599" s="3">
        <v>8</v>
      </c>
      <c r="P599" s="5" t="b">
        <v>0</v>
      </c>
      <c r="Q599" s="3">
        <v>14</v>
      </c>
      <c r="R599" s="3">
        <v>5</v>
      </c>
      <c r="T599">
        <f t="shared" si="9"/>
        <v>1</v>
      </c>
    </row>
    <row r="600" spans="1:20">
      <c r="A600" s="5" t="s">
        <v>1147</v>
      </c>
      <c r="B600" s="5" t="s">
        <v>1148</v>
      </c>
      <c r="C600" s="6">
        <v>45043</v>
      </c>
      <c r="D600" s="5">
        <v>29</v>
      </c>
      <c r="E600" s="5" t="s">
        <v>36</v>
      </c>
      <c r="F600" s="5" t="s">
        <v>52</v>
      </c>
      <c r="G600" s="5" t="s">
        <v>46</v>
      </c>
      <c r="H600" s="7">
        <v>621.79</v>
      </c>
      <c r="I600" s="3">
        <v>3</v>
      </c>
      <c r="J600" s="4">
        <v>87.78</v>
      </c>
      <c r="K600" s="7">
        <v>1777.59</v>
      </c>
      <c r="L600" s="5" t="s">
        <v>692</v>
      </c>
      <c r="M600" s="5" t="s">
        <v>29</v>
      </c>
      <c r="N600" s="3">
        <v>21</v>
      </c>
      <c r="O600" s="3">
        <v>8</v>
      </c>
      <c r="P600" s="5" t="b">
        <v>0</v>
      </c>
      <c r="Q600" s="3">
        <v>3</v>
      </c>
      <c r="R600" s="3">
        <v>4</v>
      </c>
      <c r="T600">
        <f t="shared" si="9"/>
        <v>1</v>
      </c>
    </row>
    <row r="601" spans="1:20">
      <c r="A601" s="5" t="s">
        <v>634</v>
      </c>
      <c r="B601" s="5" t="s">
        <v>635</v>
      </c>
      <c r="C601" s="6">
        <v>45041</v>
      </c>
      <c r="D601" s="5">
        <v>39</v>
      </c>
      <c r="E601" s="5" t="s">
        <v>20</v>
      </c>
      <c r="F601" s="5" t="s">
        <v>32</v>
      </c>
      <c r="G601" s="5" t="s">
        <v>37</v>
      </c>
      <c r="H601" s="7">
        <v>139.36000000000001</v>
      </c>
      <c r="I601" s="3">
        <v>1</v>
      </c>
      <c r="J601" s="4">
        <v>0</v>
      </c>
      <c r="K601" s="7">
        <v>139.36000000000001</v>
      </c>
      <c r="L601" s="5" t="s">
        <v>327</v>
      </c>
      <c r="M601" s="5" t="s">
        <v>33</v>
      </c>
      <c r="N601" s="3">
        <v>4</v>
      </c>
      <c r="O601" s="3">
        <v>14</v>
      </c>
      <c r="P601" s="5" t="b">
        <v>1</v>
      </c>
      <c r="Q601" s="3">
        <v>3</v>
      </c>
      <c r="R601" s="3">
        <v>5</v>
      </c>
      <c r="T601">
        <f t="shared" si="9"/>
        <v>1</v>
      </c>
    </row>
    <row r="602" spans="1:20">
      <c r="A602" s="5" t="s">
        <v>636</v>
      </c>
      <c r="B602" s="5" t="s">
        <v>637</v>
      </c>
      <c r="C602" s="6">
        <v>44939</v>
      </c>
      <c r="D602" s="5">
        <v>44</v>
      </c>
      <c r="E602" s="5" t="s">
        <v>20</v>
      </c>
      <c r="F602" s="5" t="s">
        <v>59</v>
      </c>
      <c r="G602" s="5" t="s">
        <v>64</v>
      </c>
      <c r="H602" s="7">
        <v>952.19</v>
      </c>
      <c r="I602" s="3">
        <v>1</v>
      </c>
      <c r="J602" s="4">
        <v>0</v>
      </c>
      <c r="K602" s="7">
        <v>952.19</v>
      </c>
      <c r="L602" s="5" t="s">
        <v>327</v>
      </c>
      <c r="M602" s="5" t="s">
        <v>33</v>
      </c>
      <c r="N602" s="3">
        <v>33</v>
      </c>
      <c r="O602" s="3">
        <v>8</v>
      </c>
      <c r="P602" s="5" t="b">
        <v>1</v>
      </c>
      <c r="Q602" s="3">
        <v>3</v>
      </c>
      <c r="R602" s="3">
        <v>2</v>
      </c>
      <c r="T602">
        <f t="shared" si="9"/>
        <v>1</v>
      </c>
    </row>
    <row r="603" spans="1:20">
      <c r="A603" s="5" t="s">
        <v>1149</v>
      </c>
      <c r="B603" s="5" t="s">
        <v>1150</v>
      </c>
      <c r="C603" s="6">
        <v>45264</v>
      </c>
      <c r="D603" s="5">
        <v>23</v>
      </c>
      <c r="E603" s="5" t="s">
        <v>36</v>
      </c>
      <c r="F603" s="5" t="s">
        <v>21</v>
      </c>
      <c r="G603" s="5" t="s">
        <v>64</v>
      </c>
      <c r="H603" s="7">
        <v>2518.4299999999998</v>
      </c>
      <c r="I603" s="3">
        <v>5</v>
      </c>
      <c r="J603" s="4">
        <v>0</v>
      </c>
      <c r="K603" s="7">
        <v>12592.15</v>
      </c>
      <c r="L603" s="5" t="s">
        <v>692</v>
      </c>
      <c r="M603" s="5" t="s">
        <v>33</v>
      </c>
      <c r="N603" s="3">
        <v>18</v>
      </c>
      <c r="O603" s="3">
        <v>16</v>
      </c>
      <c r="P603" s="5" t="b">
        <v>1</v>
      </c>
      <c r="Q603" s="3">
        <v>19</v>
      </c>
      <c r="R603" s="3">
        <v>4</v>
      </c>
      <c r="T603">
        <f t="shared" si="9"/>
        <v>1</v>
      </c>
    </row>
    <row r="604" spans="1:20">
      <c r="A604" s="5" t="s">
        <v>1151</v>
      </c>
      <c r="B604" s="5" t="s">
        <v>1152</v>
      </c>
      <c r="C604" s="6">
        <v>45025</v>
      </c>
      <c r="D604" s="5">
        <v>45</v>
      </c>
      <c r="E604" s="5" t="s">
        <v>36</v>
      </c>
      <c r="F604" s="5" t="s">
        <v>32</v>
      </c>
      <c r="G604" s="5" t="s">
        <v>22</v>
      </c>
      <c r="H604" s="7">
        <v>75.25</v>
      </c>
      <c r="I604" s="3">
        <v>4</v>
      </c>
      <c r="J604" s="4">
        <v>0</v>
      </c>
      <c r="K604" s="7">
        <v>301</v>
      </c>
      <c r="L604" s="5" t="s">
        <v>692</v>
      </c>
      <c r="M604" s="5" t="s">
        <v>33</v>
      </c>
      <c r="N604" s="3">
        <v>33</v>
      </c>
      <c r="O604" s="3">
        <v>8</v>
      </c>
      <c r="P604" s="5" t="b">
        <v>1</v>
      </c>
      <c r="Q604" s="3">
        <v>4</v>
      </c>
      <c r="R604" s="3">
        <v>3</v>
      </c>
      <c r="T604">
        <f t="shared" si="9"/>
        <v>1</v>
      </c>
    </row>
    <row r="605" spans="1:20">
      <c r="A605" s="5" t="s">
        <v>1153</v>
      </c>
      <c r="B605" s="5" t="s">
        <v>1154</v>
      </c>
      <c r="C605" s="6">
        <v>45131</v>
      </c>
      <c r="D605" s="5">
        <v>51</v>
      </c>
      <c r="E605" s="5" t="s">
        <v>20</v>
      </c>
      <c r="F605" s="5" t="s">
        <v>21</v>
      </c>
      <c r="G605" s="5" t="s">
        <v>46</v>
      </c>
      <c r="H605" s="7">
        <v>648.30999999999995</v>
      </c>
      <c r="I605" s="3">
        <v>1</v>
      </c>
      <c r="J605" s="4">
        <v>0</v>
      </c>
      <c r="K605" s="7">
        <v>648.30999999999995</v>
      </c>
      <c r="L605" s="5" t="s">
        <v>692</v>
      </c>
      <c r="M605" s="5" t="s">
        <v>24</v>
      </c>
      <c r="N605" s="3">
        <v>22</v>
      </c>
      <c r="O605" s="3">
        <v>11</v>
      </c>
      <c r="P605" s="5" t="b">
        <v>1</v>
      </c>
      <c r="Q605" s="3">
        <v>17</v>
      </c>
      <c r="R605" s="3">
        <v>5</v>
      </c>
      <c r="T605">
        <f t="shared" si="9"/>
        <v>1</v>
      </c>
    </row>
    <row r="606" spans="1:20">
      <c r="A606" s="5" t="s">
        <v>638</v>
      </c>
      <c r="B606" s="5" t="s">
        <v>639</v>
      </c>
      <c r="C606" s="6">
        <v>45095</v>
      </c>
      <c r="D606" s="5">
        <v>39</v>
      </c>
      <c r="E606" s="5" t="s">
        <v>36</v>
      </c>
      <c r="F606" s="5" t="s">
        <v>32</v>
      </c>
      <c r="G606" s="5" t="s">
        <v>28</v>
      </c>
      <c r="H606" s="7">
        <v>104.19</v>
      </c>
      <c r="I606" s="3">
        <v>4</v>
      </c>
      <c r="J606" s="4">
        <v>0</v>
      </c>
      <c r="K606" s="7">
        <v>416.76</v>
      </c>
      <c r="L606" s="5" t="s">
        <v>327</v>
      </c>
      <c r="M606" s="5" t="s">
        <v>24</v>
      </c>
      <c r="N606" s="3">
        <v>10</v>
      </c>
      <c r="O606" s="3">
        <v>11</v>
      </c>
      <c r="P606" s="5" t="b">
        <v>0</v>
      </c>
      <c r="Q606" s="3">
        <v>7</v>
      </c>
      <c r="R606" s="3">
        <v>3</v>
      </c>
      <c r="T606">
        <f t="shared" si="9"/>
        <v>1</v>
      </c>
    </row>
    <row r="607" spans="1:20">
      <c r="A607" s="5" t="s">
        <v>1288</v>
      </c>
      <c r="B607" s="5" t="s">
        <v>1289</v>
      </c>
      <c r="C607" s="6">
        <v>45069</v>
      </c>
      <c r="D607" s="5">
        <v>57</v>
      </c>
      <c r="E607" s="5" t="s">
        <v>36</v>
      </c>
      <c r="F607" s="5" t="s">
        <v>32</v>
      </c>
      <c r="G607" s="5" t="s">
        <v>37</v>
      </c>
      <c r="H607" s="7">
        <v>194.88</v>
      </c>
      <c r="I607" s="3">
        <v>4</v>
      </c>
      <c r="J607" s="4">
        <v>11.1</v>
      </c>
      <c r="K607" s="7">
        <v>768.42</v>
      </c>
      <c r="L607" s="5" t="s">
        <v>1231</v>
      </c>
      <c r="M607" s="5" t="s">
        <v>24</v>
      </c>
      <c r="N607" s="3">
        <v>20</v>
      </c>
      <c r="O607" s="3">
        <v>10</v>
      </c>
      <c r="P607" s="5" t="b">
        <v>1</v>
      </c>
      <c r="Q607" s="3">
        <v>10</v>
      </c>
      <c r="R607" s="3">
        <v>4</v>
      </c>
      <c r="T607">
        <f t="shared" si="9"/>
        <v>1</v>
      </c>
    </row>
    <row r="608" spans="1:20">
      <c r="A608" s="5" t="s">
        <v>285</v>
      </c>
      <c r="B608" s="5" t="s">
        <v>286</v>
      </c>
      <c r="C608" s="6">
        <v>45369</v>
      </c>
      <c r="D608" s="5">
        <v>25</v>
      </c>
      <c r="E608" s="5" t="s">
        <v>36</v>
      </c>
      <c r="F608" s="5" t="s">
        <v>32</v>
      </c>
      <c r="G608" s="5" t="s">
        <v>28</v>
      </c>
      <c r="H608" s="7">
        <v>98.78</v>
      </c>
      <c r="I608" s="3">
        <v>2</v>
      </c>
      <c r="J608" s="4">
        <v>0</v>
      </c>
      <c r="K608" s="7">
        <v>197.56</v>
      </c>
      <c r="L608" s="5" t="s">
        <v>23</v>
      </c>
      <c r="M608" s="5" t="s">
        <v>33</v>
      </c>
      <c r="N608" s="3">
        <v>29</v>
      </c>
      <c r="O608" s="3">
        <v>6</v>
      </c>
      <c r="P608" s="5" t="b">
        <v>1</v>
      </c>
      <c r="Q608" s="3">
        <v>7</v>
      </c>
      <c r="R608" s="3">
        <v>5</v>
      </c>
      <c r="T608">
        <f t="shared" si="9"/>
        <v>1</v>
      </c>
    </row>
    <row r="609" spans="1:20">
      <c r="A609" s="5" t="s">
        <v>1429</v>
      </c>
      <c r="B609" s="5" t="s">
        <v>1430</v>
      </c>
      <c r="C609" s="6">
        <v>44962</v>
      </c>
      <c r="D609" s="5">
        <v>20</v>
      </c>
      <c r="E609" s="5" t="s">
        <v>20</v>
      </c>
      <c r="F609" s="5" t="s">
        <v>88</v>
      </c>
      <c r="G609" s="5" t="s">
        <v>56</v>
      </c>
      <c r="H609" s="7">
        <v>1119.96</v>
      </c>
      <c r="I609" s="3">
        <v>1</v>
      </c>
      <c r="J609" s="4">
        <v>0</v>
      </c>
      <c r="K609" s="7">
        <v>1119.96</v>
      </c>
      <c r="L609" s="5" t="s">
        <v>1298</v>
      </c>
      <c r="M609" s="5" t="s">
        <v>24</v>
      </c>
      <c r="N609" s="3">
        <v>16</v>
      </c>
      <c r="O609" s="3">
        <v>12</v>
      </c>
      <c r="P609" s="5" t="b">
        <v>0</v>
      </c>
      <c r="Q609" s="3">
        <v>5</v>
      </c>
      <c r="R609" s="3">
        <v>5</v>
      </c>
      <c r="T609">
        <f t="shared" si="9"/>
        <v>1</v>
      </c>
    </row>
    <row r="610" spans="1:20">
      <c r="A610" s="5" t="s">
        <v>640</v>
      </c>
      <c r="B610" s="5" t="s">
        <v>641</v>
      </c>
      <c r="C610" s="6">
        <v>45322</v>
      </c>
      <c r="D610" s="5">
        <v>18</v>
      </c>
      <c r="E610" s="5" t="s">
        <v>36</v>
      </c>
      <c r="F610" s="5" t="s">
        <v>76</v>
      </c>
      <c r="G610" s="5" t="s">
        <v>64</v>
      </c>
      <c r="H610" s="7">
        <v>1760.08</v>
      </c>
      <c r="I610" s="3">
        <v>1</v>
      </c>
      <c r="J610" s="4">
        <v>0</v>
      </c>
      <c r="K610" s="7">
        <v>1760.08</v>
      </c>
      <c r="L610" s="5" t="s">
        <v>327</v>
      </c>
      <c r="M610" s="5" t="s">
        <v>33</v>
      </c>
      <c r="N610" s="3">
        <v>18</v>
      </c>
      <c r="O610" s="3">
        <v>5</v>
      </c>
      <c r="P610" s="5" t="b">
        <v>0</v>
      </c>
      <c r="Q610" s="3">
        <v>5</v>
      </c>
      <c r="R610" s="3">
        <v>5</v>
      </c>
      <c r="T610">
        <f t="shared" si="9"/>
        <v>1</v>
      </c>
    </row>
    <row r="611" spans="1:20">
      <c r="A611" s="5" t="s">
        <v>642</v>
      </c>
      <c r="B611" s="5" t="s">
        <v>643</v>
      </c>
      <c r="C611" s="6">
        <v>45069</v>
      </c>
      <c r="D611" s="5">
        <v>52</v>
      </c>
      <c r="E611" s="5" t="s">
        <v>36</v>
      </c>
      <c r="F611" s="5" t="s">
        <v>59</v>
      </c>
      <c r="G611" s="5" t="s">
        <v>115</v>
      </c>
      <c r="H611" s="7">
        <v>99.44</v>
      </c>
      <c r="I611" s="3">
        <v>1</v>
      </c>
      <c r="J611" s="4">
        <v>0</v>
      </c>
      <c r="K611" s="7">
        <v>99.44</v>
      </c>
      <c r="L611" s="5" t="s">
        <v>327</v>
      </c>
      <c r="M611" s="5" t="s">
        <v>24</v>
      </c>
      <c r="N611" s="3">
        <v>7</v>
      </c>
      <c r="O611" s="3">
        <v>10</v>
      </c>
      <c r="P611" s="5" t="b">
        <v>0</v>
      </c>
      <c r="Q611" s="3">
        <v>2</v>
      </c>
      <c r="R611" s="3">
        <v>4</v>
      </c>
      <c r="T611">
        <f t="shared" si="9"/>
        <v>1</v>
      </c>
    </row>
    <row r="612" spans="1:20">
      <c r="A612" s="5" t="s">
        <v>1155</v>
      </c>
      <c r="B612" s="5" t="s">
        <v>1156</v>
      </c>
      <c r="C612" s="6">
        <v>45106</v>
      </c>
      <c r="D612" s="5">
        <v>42</v>
      </c>
      <c r="E612" s="5" t="s">
        <v>20</v>
      </c>
      <c r="F612" s="5" t="s">
        <v>52</v>
      </c>
      <c r="G612" s="5" t="s">
        <v>28</v>
      </c>
      <c r="H612" s="7">
        <v>150.49</v>
      </c>
      <c r="I612" s="3">
        <v>1</v>
      </c>
      <c r="J612" s="4">
        <v>0</v>
      </c>
      <c r="K612" s="7">
        <v>150.49</v>
      </c>
      <c r="L612" s="5" t="s">
        <v>692</v>
      </c>
      <c r="M612" s="5" t="s">
        <v>24</v>
      </c>
      <c r="N612" s="3">
        <v>18</v>
      </c>
      <c r="O612" s="3">
        <v>8</v>
      </c>
      <c r="P612" s="5" t="b">
        <v>0</v>
      </c>
      <c r="Q612" s="3">
        <v>8</v>
      </c>
      <c r="R612" s="3">
        <v>4</v>
      </c>
      <c r="T612">
        <f t="shared" si="9"/>
        <v>1</v>
      </c>
    </row>
    <row r="613" spans="1:20">
      <c r="A613" s="5" t="s">
        <v>287</v>
      </c>
      <c r="B613" s="5" t="s">
        <v>288</v>
      </c>
      <c r="C613" s="6">
        <v>45255</v>
      </c>
      <c r="D613" s="5">
        <v>34</v>
      </c>
      <c r="E613" s="5" t="s">
        <v>20</v>
      </c>
      <c r="F613" s="5" t="s">
        <v>52</v>
      </c>
      <c r="G613" s="5" t="s">
        <v>46</v>
      </c>
      <c r="H613" s="7">
        <v>96.64</v>
      </c>
      <c r="I613" s="3">
        <v>1</v>
      </c>
      <c r="J613" s="4">
        <v>0</v>
      </c>
      <c r="K613" s="7">
        <v>96.64</v>
      </c>
      <c r="L613" s="5" t="s">
        <v>23</v>
      </c>
      <c r="M613" s="5" t="s">
        <v>24</v>
      </c>
      <c r="N613" s="3">
        <v>13</v>
      </c>
      <c r="O613" s="3">
        <v>3</v>
      </c>
      <c r="P613" s="5" t="b">
        <v>0</v>
      </c>
      <c r="Q613" s="3">
        <v>11</v>
      </c>
      <c r="R613" s="3">
        <v>5</v>
      </c>
      <c r="T613">
        <f t="shared" si="9"/>
        <v>1</v>
      </c>
    </row>
    <row r="614" spans="1:20">
      <c r="A614" s="5" t="s">
        <v>644</v>
      </c>
      <c r="B614" s="5" t="s">
        <v>645</v>
      </c>
      <c r="C614" s="6">
        <v>45187</v>
      </c>
      <c r="D614" s="5">
        <v>38</v>
      </c>
      <c r="E614" s="5" t="s">
        <v>36</v>
      </c>
      <c r="F614" s="5" t="s">
        <v>73</v>
      </c>
      <c r="G614" s="5" t="s">
        <v>53</v>
      </c>
      <c r="H614" s="7">
        <v>93.94</v>
      </c>
      <c r="I614" s="3">
        <v>5</v>
      </c>
      <c r="J614" s="4">
        <v>0</v>
      </c>
      <c r="K614" s="7">
        <v>469.7</v>
      </c>
      <c r="L614" s="5" t="s">
        <v>327</v>
      </c>
      <c r="M614" s="5" t="s">
        <v>33</v>
      </c>
      <c r="N614" s="3">
        <v>10</v>
      </c>
      <c r="O614" s="3">
        <v>10</v>
      </c>
      <c r="P614" s="5" t="b">
        <v>0</v>
      </c>
      <c r="Q614" s="3">
        <v>2</v>
      </c>
      <c r="R614" s="3">
        <v>5</v>
      </c>
      <c r="T614">
        <f t="shared" si="9"/>
        <v>1</v>
      </c>
    </row>
    <row r="615" spans="1:20">
      <c r="A615" s="5" t="s">
        <v>289</v>
      </c>
      <c r="B615" s="5" t="s">
        <v>290</v>
      </c>
      <c r="C615" s="6">
        <v>45131</v>
      </c>
      <c r="D615" s="5">
        <v>21</v>
      </c>
      <c r="E615" s="5" t="s">
        <v>20</v>
      </c>
      <c r="F615" s="5" t="s">
        <v>27</v>
      </c>
      <c r="G615" s="5" t="s">
        <v>37</v>
      </c>
      <c r="H615" s="7">
        <v>193.69</v>
      </c>
      <c r="I615" s="3">
        <v>1</v>
      </c>
      <c r="J615" s="4">
        <v>0</v>
      </c>
      <c r="K615" s="7">
        <v>193.69</v>
      </c>
      <c r="L615" s="5" t="s">
        <v>23</v>
      </c>
      <c r="M615" s="5" t="s">
        <v>33</v>
      </c>
      <c r="N615" s="3">
        <v>24</v>
      </c>
      <c r="O615" s="3">
        <v>13</v>
      </c>
      <c r="P615" s="5" t="b">
        <v>1</v>
      </c>
      <c r="Q615" s="3">
        <v>4</v>
      </c>
      <c r="R615" s="3">
        <v>5</v>
      </c>
      <c r="T615">
        <f t="shared" si="9"/>
        <v>1</v>
      </c>
    </row>
    <row r="616" spans="1:20">
      <c r="A616" s="5" t="s">
        <v>646</v>
      </c>
      <c r="B616" s="5" t="s">
        <v>647</v>
      </c>
      <c r="C616" s="6">
        <v>45274</v>
      </c>
      <c r="D616" s="5">
        <v>64</v>
      </c>
      <c r="E616" s="5" t="s">
        <v>36</v>
      </c>
      <c r="F616" s="5" t="s">
        <v>83</v>
      </c>
      <c r="G616" s="5" t="s">
        <v>22</v>
      </c>
      <c r="H616" s="7">
        <v>182.17</v>
      </c>
      <c r="I616" s="3">
        <v>2</v>
      </c>
      <c r="J616" s="4">
        <v>0</v>
      </c>
      <c r="K616" s="7">
        <v>364.34</v>
      </c>
      <c r="L616" s="5" t="s">
        <v>327</v>
      </c>
      <c r="M616" s="5" t="s">
        <v>33</v>
      </c>
      <c r="N616" s="3">
        <v>4</v>
      </c>
      <c r="O616" s="3">
        <v>5</v>
      </c>
      <c r="P616" s="5" t="b">
        <v>1</v>
      </c>
      <c r="Q616" s="3">
        <v>3</v>
      </c>
      <c r="R616" s="3">
        <v>5</v>
      </c>
      <c r="T616">
        <f t="shared" si="9"/>
        <v>1</v>
      </c>
    </row>
    <row r="617" spans="1:20">
      <c r="A617" s="5" t="s">
        <v>1157</v>
      </c>
      <c r="B617" s="5" t="s">
        <v>1158</v>
      </c>
      <c r="C617" s="6">
        <v>45358</v>
      </c>
      <c r="D617" s="5">
        <v>36</v>
      </c>
      <c r="E617" s="5" t="s">
        <v>20</v>
      </c>
      <c r="F617" s="5" t="s">
        <v>32</v>
      </c>
      <c r="G617" s="5" t="s">
        <v>64</v>
      </c>
      <c r="H617" s="7">
        <v>810.6</v>
      </c>
      <c r="I617" s="3">
        <v>2</v>
      </c>
      <c r="J617" s="4">
        <v>0</v>
      </c>
      <c r="K617" s="7">
        <v>1621.2</v>
      </c>
      <c r="L617" s="5" t="s">
        <v>692</v>
      </c>
      <c r="M617" s="5" t="s">
        <v>24</v>
      </c>
      <c r="N617" s="3">
        <v>17</v>
      </c>
      <c r="O617" s="3">
        <v>5</v>
      </c>
      <c r="P617" s="5" t="b">
        <v>0</v>
      </c>
      <c r="Q617" s="3">
        <v>10</v>
      </c>
      <c r="R617" s="3">
        <v>5</v>
      </c>
      <c r="T617">
        <f t="shared" si="9"/>
        <v>1</v>
      </c>
    </row>
    <row r="618" spans="1:20">
      <c r="A618" s="5" t="s">
        <v>1159</v>
      </c>
      <c r="B618" s="5" t="s">
        <v>1160</v>
      </c>
      <c r="C618" s="6">
        <v>45201</v>
      </c>
      <c r="D618" s="5">
        <v>36</v>
      </c>
      <c r="E618" s="5" t="s">
        <v>20</v>
      </c>
      <c r="F618" s="5" t="s">
        <v>32</v>
      </c>
      <c r="G618" s="5" t="s">
        <v>64</v>
      </c>
      <c r="H618" s="7">
        <v>2590.17</v>
      </c>
      <c r="I618" s="3">
        <v>1</v>
      </c>
      <c r="J618" s="4">
        <v>480.47</v>
      </c>
      <c r="K618" s="7">
        <v>2109.6999999999998</v>
      </c>
      <c r="L618" s="5" t="s">
        <v>692</v>
      </c>
      <c r="M618" s="5" t="s">
        <v>33</v>
      </c>
      <c r="N618" s="3">
        <v>20</v>
      </c>
      <c r="O618" s="3">
        <v>7</v>
      </c>
      <c r="P618" s="5" t="b">
        <v>1</v>
      </c>
      <c r="Q618" s="3">
        <v>2</v>
      </c>
      <c r="R618" s="3">
        <v>3</v>
      </c>
      <c r="T618">
        <f t="shared" si="9"/>
        <v>1</v>
      </c>
    </row>
    <row r="619" spans="1:20">
      <c r="A619" s="5" t="s">
        <v>291</v>
      </c>
      <c r="B619" s="5" t="s">
        <v>292</v>
      </c>
      <c r="C619" s="6">
        <v>45096</v>
      </c>
      <c r="D619" s="5">
        <v>43</v>
      </c>
      <c r="E619" s="5" t="s">
        <v>20</v>
      </c>
      <c r="F619" s="5" t="s">
        <v>49</v>
      </c>
      <c r="G619" s="5" t="s">
        <v>56</v>
      </c>
      <c r="H619" s="7">
        <v>702.02</v>
      </c>
      <c r="I619" s="3">
        <v>2</v>
      </c>
      <c r="J619" s="4">
        <v>104.29</v>
      </c>
      <c r="K619" s="7">
        <v>1299.75</v>
      </c>
      <c r="L619" s="5" t="s">
        <v>23</v>
      </c>
      <c r="M619" s="5" t="s">
        <v>29</v>
      </c>
      <c r="N619" s="3">
        <v>12</v>
      </c>
      <c r="O619" s="3">
        <v>11</v>
      </c>
      <c r="P619" s="5" t="b">
        <v>1</v>
      </c>
      <c r="Q619" s="3">
        <v>6</v>
      </c>
      <c r="R619" s="3">
        <v>5</v>
      </c>
      <c r="T619">
        <f t="shared" si="9"/>
        <v>1</v>
      </c>
    </row>
    <row r="620" spans="1:20">
      <c r="A620" s="5" t="s">
        <v>1161</v>
      </c>
      <c r="B620" s="5" t="s">
        <v>1162</v>
      </c>
      <c r="C620" s="6">
        <v>44941</v>
      </c>
      <c r="D620" s="5">
        <v>40</v>
      </c>
      <c r="E620" s="5" t="s">
        <v>36</v>
      </c>
      <c r="F620" s="5" t="s">
        <v>59</v>
      </c>
      <c r="G620" s="5" t="s">
        <v>64</v>
      </c>
      <c r="H620" s="7">
        <v>1239.23</v>
      </c>
      <c r="I620" s="3">
        <v>1</v>
      </c>
      <c r="J620" s="4">
        <v>0</v>
      </c>
      <c r="K620" s="7">
        <v>1239.23</v>
      </c>
      <c r="L620" s="5" t="s">
        <v>692</v>
      </c>
      <c r="M620" s="5" t="s">
        <v>24</v>
      </c>
      <c r="N620" s="3">
        <v>31</v>
      </c>
      <c r="O620" s="3">
        <v>13</v>
      </c>
      <c r="P620" s="5" t="b">
        <v>1</v>
      </c>
      <c r="Q620" s="3">
        <v>12</v>
      </c>
      <c r="R620" s="3">
        <v>5</v>
      </c>
      <c r="T620">
        <f t="shared" si="9"/>
        <v>1</v>
      </c>
    </row>
    <row r="621" spans="1:20">
      <c r="A621" s="5" t="s">
        <v>1163</v>
      </c>
      <c r="B621" s="5" t="s">
        <v>1164</v>
      </c>
      <c r="C621" s="6">
        <v>44986</v>
      </c>
      <c r="D621" s="5">
        <v>37</v>
      </c>
      <c r="E621" s="5" t="s">
        <v>20</v>
      </c>
      <c r="F621" s="5" t="s">
        <v>59</v>
      </c>
      <c r="G621" s="5" t="s">
        <v>37</v>
      </c>
      <c r="H621" s="7">
        <v>126.2</v>
      </c>
      <c r="I621" s="3">
        <v>5</v>
      </c>
      <c r="J621" s="4">
        <v>0</v>
      </c>
      <c r="K621" s="7">
        <v>631</v>
      </c>
      <c r="L621" s="5" t="s">
        <v>692</v>
      </c>
      <c r="M621" s="5" t="s">
        <v>33</v>
      </c>
      <c r="N621" s="3">
        <v>13</v>
      </c>
      <c r="O621" s="3">
        <v>13</v>
      </c>
      <c r="P621" s="5" t="b">
        <v>0</v>
      </c>
      <c r="Q621" s="3">
        <v>5</v>
      </c>
      <c r="R621" s="3">
        <v>5</v>
      </c>
      <c r="T621">
        <f t="shared" si="9"/>
        <v>1</v>
      </c>
    </row>
    <row r="622" spans="1:20">
      <c r="A622" s="5" t="s">
        <v>1431</v>
      </c>
      <c r="B622" s="5" t="s">
        <v>1432</v>
      </c>
      <c r="C622" s="6">
        <v>45376</v>
      </c>
      <c r="D622" s="5">
        <v>25</v>
      </c>
      <c r="E622" s="5" t="s">
        <v>36</v>
      </c>
      <c r="F622" s="5" t="s">
        <v>49</v>
      </c>
      <c r="G622" s="5" t="s">
        <v>46</v>
      </c>
      <c r="H622" s="7">
        <v>330.82</v>
      </c>
      <c r="I622" s="3">
        <v>3</v>
      </c>
      <c r="J622" s="4">
        <v>0</v>
      </c>
      <c r="K622" s="7">
        <v>992.46</v>
      </c>
      <c r="L622" s="5" t="s">
        <v>1298</v>
      </c>
      <c r="M622" s="5" t="s">
        <v>33</v>
      </c>
      <c r="N622" s="3">
        <v>7</v>
      </c>
      <c r="O622" s="3">
        <v>12</v>
      </c>
      <c r="P622" s="5" t="b">
        <v>0</v>
      </c>
      <c r="Q622" s="3">
        <v>6</v>
      </c>
      <c r="R622" s="3">
        <v>5</v>
      </c>
      <c r="T622">
        <f t="shared" si="9"/>
        <v>1</v>
      </c>
    </row>
    <row r="623" spans="1:20">
      <c r="A623" s="5" t="s">
        <v>293</v>
      </c>
      <c r="B623" s="5" t="s">
        <v>294</v>
      </c>
      <c r="C623" s="6">
        <v>45060</v>
      </c>
      <c r="D623" s="5">
        <v>40</v>
      </c>
      <c r="E623" s="5" t="s">
        <v>36</v>
      </c>
      <c r="F623" s="5" t="s">
        <v>76</v>
      </c>
      <c r="G623" s="5" t="s">
        <v>46</v>
      </c>
      <c r="H623" s="7">
        <v>940.51</v>
      </c>
      <c r="I623" s="3">
        <v>1</v>
      </c>
      <c r="J623" s="4">
        <v>77.459999999999994</v>
      </c>
      <c r="K623" s="7">
        <v>863.05</v>
      </c>
      <c r="L623" s="5" t="s">
        <v>23</v>
      </c>
      <c r="M623" s="5" t="s">
        <v>24</v>
      </c>
      <c r="N623" s="3">
        <v>7</v>
      </c>
      <c r="O623" s="3">
        <v>9</v>
      </c>
      <c r="P623" s="5" t="b">
        <v>0</v>
      </c>
      <c r="Q623" s="3">
        <v>3</v>
      </c>
      <c r="R623" s="3">
        <v>4</v>
      </c>
      <c r="T623">
        <f t="shared" si="9"/>
        <v>1</v>
      </c>
    </row>
    <row r="624" spans="1:20">
      <c r="A624" s="5" t="s">
        <v>1165</v>
      </c>
      <c r="B624" s="5" t="s">
        <v>1166</v>
      </c>
      <c r="C624" s="6">
        <v>45018</v>
      </c>
      <c r="D624" s="5">
        <v>57</v>
      </c>
      <c r="E624" s="5" t="s">
        <v>36</v>
      </c>
      <c r="F624" s="5" t="s">
        <v>21</v>
      </c>
      <c r="G624" s="5" t="s">
        <v>46</v>
      </c>
      <c r="H624" s="7">
        <v>351.37</v>
      </c>
      <c r="I624" s="3">
        <v>1</v>
      </c>
      <c r="J624" s="4">
        <v>0</v>
      </c>
      <c r="K624" s="7">
        <v>351.37</v>
      </c>
      <c r="L624" s="5" t="s">
        <v>692</v>
      </c>
      <c r="M624" s="5" t="s">
        <v>24</v>
      </c>
      <c r="N624" s="3">
        <v>13</v>
      </c>
      <c r="O624" s="3">
        <v>6</v>
      </c>
      <c r="P624" s="5" t="b">
        <v>0</v>
      </c>
      <c r="Q624" s="3">
        <v>6</v>
      </c>
      <c r="R624" s="3">
        <v>5</v>
      </c>
      <c r="T624">
        <f t="shared" si="9"/>
        <v>1</v>
      </c>
    </row>
    <row r="625" spans="1:20">
      <c r="A625" s="5" t="s">
        <v>1167</v>
      </c>
      <c r="B625" s="5" t="s">
        <v>1168</v>
      </c>
      <c r="C625" s="6">
        <v>45224</v>
      </c>
      <c r="D625" s="5">
        <v>51</v>
      </c>
      <c r="E625" s="5" t="s">
        <v>36</v>
      </c>
      <c r="F625" s="5" t="s">
        <v>76</v>
      </c>
      <c r="G625" s="5" t="s">
        <v>115</v>
      </c>
      <c r="H625" s="7">
        <v>105.07</v>
      </c>
      <c r="I625" s="3">
        <v>1</v>
      </c>
      <c r="J625" s="4">
        <v>21.03</v>
      </c>
      <c r="K625" s="7">
        <v>84.04</v>
      </c>
      <c r="L625" s="5" t="s">
        <v>692</v>
      </c>
      <c r="M625" s="5" t="s">
        <v>33</v>
      </c>
      <c r="N625" s="3">
        <v>6</v>
      </c>
      <c r="O625" s="3">
        <v>7</v>
      </c>
      <c r="P625" s="5" t="b">
        <v>1</v>
      </c>
      <c r="Q625" s="3">
        <v>4</v>
      </c>
      <c r="R625" s="3">
        <v>1</v>
      </c>
      <c r="T625">
        <f t="shared" si="9"/>
        <v>1</v>
      </c>
    </row>
    <row r="626" spans="1:20">
      <c r="A626" s="5" t="s">
        <v>1169</v>
      </c>
      <c r="B626" s="5" t="s">
        <v>1170</v>
      </c>
      <c r="C626" s="6">
        <v>45062</v>
      </c>
      <c r="D626" s="5">
        <v>54</v>
      </c>
      <c r="E626" s="5" t="s">
        <v>36</v>
      </c>
      <c r="F626" s="5" t="s">
        <v>83</v>
      </c>
      <c r="G626" s="5" t="s">
        <v>53</v>
      </c>
      <c r="H626" s="7">
        <v>50.09</v>
      </c>
      <c r="I626" s="3">
        <v>2</v>
      </c>
      <c r="J626" s="4">
        <v>0</v>
      </c>
      <c r="K626" s="7">
        <v>100.18</v>
      </c>
      <c r="L626" s="5" t="s">
        <v>692</v>
      </c>
      <c r="M626" s="5" t="s">
        <v>24</v>
      </c>
      <c r="N626" s="3">
        <v>36</v>
      </c>
      <c r="O626" s="3">
        <v>14</v>
      </c>
      <c r="P626" s="5" t="b">
        <v>1</v>
      </c>
      <c r="Q626" s="3">
        <v>5</v>
      </c>
      <c r="R626" s="3">
        <v>4</v>
      </c>
      <c r="T626">
        <f t="shared" si="9"/>
        <v>1</v>
      </c>
    </row>
    <row r="627" spans="1:20">
      <c r="A627" s="5" t="s">
        <v>648</v>
      </c>
      <c r="B627" s="5" t="s">
        <v>649</v>
      </c>
      <c r="C627" s="6">
        <v>44946</v>
      </c>
      <c r="D627" s="5">
        <v>28</v>
      </c>
      <c r="E627" s="5" t="s">
        <v>20</v>
      </c>
      <c r="F627" s="5" t="s">
        <v>59</v>
      </c>
      <c r="G627" s="5" t="s">
        <v>53</v>
      </c>
      <c r="H627" s="7">
        <v>60.16</v>
      </c>
      <c r="I627" s="3">
        <v>1</v>
      </c>
      <c r="J627" s="4">
        <v>13.38</v>
      </c>
      <c r="K627" s="7">
        <v>46.78</v>
      </c>
      <c r="L627" s="5" t="s">
        <v>327</v>
      </c>
      <c r="M627" s="5" t="s">
        <v>24</v>
      </c>
      <c r="N627" s="3">
        <v>10</v>
      </c>
      <c r="O627" s="3">
        <v>3</v>
      </c>
      <c r="P627" s="5" t="b">
        <v>1</v>
      </c>
      <c r="Q627" s="3">
        <v>16</v>
      </c>
      <c r="R627" s="3">
        <v>4</v>
      </c>
      <c r="T627">
        <f t="shared" si="9"/>
        <v>1</v>
      </c>
    </row>
    <row r="628" spans="1:20">
      <c r="A628" s="5" t="s">
        <v>295</v>
      </c>
      <c r="B628" s="5" t="s">
        <v>296</v>
      </c>
      <c r="C628" s="6">
        <v>44982</v>
      </c>
      <c r="D628" s="5">
        <v>23</v>
      </c>
      <c r="E628" s="5" t="s">
        <v>36</v>
      </c>
      <c r="F628" s="5" t="s">
        <v>52</v>
      </c>
      <c r="G628" s="5" t="s">
        <v>115</v>
      </c>
      <c r="H628" s="7">
        <v>176.9</v>
      </c>
      <c r="I628" s="3">
        <v>1</v>
      </c>
      <c r="J628" s="4">
        <v>31.48</v>
      </c>
      <c r="K628" s="7">
        <v>145.41999999999999</v>
      </c>
      <c r="L628" s="5" t="s">
        <v>23</v>
      </c>
      <c r="M628" s="5" t="s">
        <v>24</v>
      </c>
      <c r="N628" s="3">
        <v>28</v>
      </c>
      <c r="O628" s="3">
        <v>14</v>
      </c>
      <c r="P628" s="5" t="b">
        <v>1</v>
      </c>
      <c r="Q628" s="3">
        <v>14</v>
      </c>
      <c r="R628" s="3">
        <v>5</v>
      </c>
      <c r="T628">
        <f t="shared" si="9"/>
        <v>1</v>
      </c>
    </row>
    <row r="629" spans="1:20">
      <c r="A629" s="5" t="s">
        <v>1171</v>
      </c>
      <c r="B629" s="5" t="s">
        <v>1172</v>
      </c>
      <c r="C629" s="6">
        <v>45232</v>
      </c>
      <c r="D629" s="5">
        <v>33</v>
      </c>
      <c r="E629" s="5" t="s">
        <v>36</v>
      </c>
      <c r="F629" s="5" t="s">
        <v>32</v>
      </c>
      <c r="G629" s="5" t="s">
        <v>64</v>
      </c>
      <c r="H629" s="7">
        <v>971.23</v>
      </c>
      <c r="I629" s="3">
        <v>2</v>
      </c>
      <c r="J629" s="4">
        <v>108.91</v>
      </c>
      <c r="K629" s="7">
        <v>1833.55</v>
      </c>
      <c r="L629" s="5" t="s">
        <v>692</v>
      </c>
      <c r="M629" s="5" t="s">
        <v>33</v>
      </c>
      <c r="N629" s="3">
        <v>25</v>
      </c>
      <c r="O629" s="3">
        <v>6</v>
      </c>
      <c r="P629" s="5" t="b">
        <v>1</v>
      </c>
      <c r="Q629" s="3">
        <v>12</v>
      </c>
      <c r="R629" s="3">
        <v>5</v>
      </c>
      <c r="T629">
        <f t="shared" si="9"/>
        <v>1</v>
      </c>
    </row>
    <row r="630" spans="1:20">
      <c r="A630" s="5" t="s">
        <v>1433</v>
      </c>
      <c r="B630" s="5" t="s">
        <v>1434</v>
      </c>
      <c r="C630" s="6">
        <v>45149</v>
      </c>
      <c r="D630" s="5">
        <v>35</v>
      </c>
      <c r="E630" s="5" t="s">
        <v>20</v>
      </c>
      <c r="F630" s="5" t="s">
        <v>73</v>
      </c>
      <c r="G630" s="5" t="s">
        <v>28</v>
      </c>
      <c r="H630" s="7">
        <v>249.81</v>
      </c>
      <c r="I630" s="3">
        <v>4</v>
      </c>
      <c r="J630" s="4">
        <v>0</v>
      </c>
      <c r="K630" s="7">
        <v>999.24</v>
      </c>
      <c r="L630" s="5" t="s">
        <v>1298</v>
      </c>
      <c r="M630" s="5" t="s">
        <v>33</v>
      </c>
      <c r="N630" s="3">
        <v>16</v>
      </c>
      <c r="O630" s="3">
        <v>9</v>
      </c>
      <c r="P630" s="5" t="b">
        <v>0</v>
      </c>
      <c r="Q630" s="3">
        <v>6</v>
      </c>
      <c r="R630" s="3">
        <v>5</v>
      </c>
      <c r="T630">
        <f t="shared" si="9"/>
        <v>1</v>
      </c>
    </row>
    <row r="631" spans="1:20">
      <c r="A631" s="5" t="s">
        <v>1173</v>
      </c>
      <c r="B631" s="5" t="s">
        <v>1174</v>
      </c>
      <c r="C631" s="6">
        <v>45103</v>
      </c>
      <c r="D631" s="5">
        <v>48</v>
      </c>
      <c r="E631" s="5" t="s">
        <v>20</v>
      </c>
      <c r="F631" s="5" t="s">
        <v>21</v>
      </c>
      <c r="G631" s="5" t="s">
        <v>53</v>
      </c>
      <c r="H631" s="7">
        <v>114.73</v>
      </c>
      <c r="I631" s="3">
        <v>1</v>
      </c>
      <c r="J631" s="4">
        <v>21.05</v>
      </c>
      <c r="K631" s="7">
        <v>93.68</v>
      </c>
      <c r="L631" s="5" t="s">
        <v>692</v>
      </c>
      <c r="M631" s="5" t="s">
        <v>24</v>
      </c>
      <c r="N631" s="3">
        <v>12</v>
      </c>
      <c r="O631" s="3">
        <v>13</v>
      </c>
      <c r="P631" s="5" t="b">
        <v>0</v>
      </c>
      <c r="Q631" s="3">
        <v>5</v>
      </c>
      <c r="R631" s="3">
        <v>2</v>
      </c>
      <c r="T631">
        <f t="shared" si="9"/>
        <v>1</v>
      </c>
    </row>
    <row r="632" spans="1:20">
      <c r="A632" s="5" t="s">
        <v>1175</v>
      </c>
      <c r="B632" s="5" t="s">
        <v>1176</v>
      </c>
      <c r="C632" s="6">
        <v>45300</v>
      </c>
      <c r="D632" s="5">
        <v>18</v>
      </c>
      <c r="E632" s="5" t="s">
        <v>36</v>
      </c>
      <c r="F632" s="5" t="s">
        <v>88</v>
      </c>
      <c r="G632" s="5" t="s">
        <v>28</v>
      </c>
      <c r="H632" s="7">
        <v>243.64</v>
      </c>
      <c r="I632" s="3">
        <v>2</v>
      </c>
      <c r="J632" s="4">
        <v>29.1</v>
      </c>
      <c r="K632" s="7">
        <v>458.18</v>
      </c>
      <c r="L632" s="5" t="s">
        <v>692</v>
      </c>
      <c r="M632" s="5" t="s">
        <v>33</v>
      </c>
      <c r="N632" s="3">
        <v>13</v>
      </c>
      <c r="O632" s="3">
        <v>11</v>
      </c>
      <c r="P632" s="5" t="b">
        <v>1</v>
      </c>
      <c r="Q632" s="3">
        <v>3</v>
      </c>
      <c r="R632" s="3">
        <v>4</v>
      </c>
      <c r="T632">
        <f t="shared" si="9"/>
        <v>1</v>
      </c>
    </row>
    <row r="633" spans="1:20">
      <c r="A633" s="5" t="s">
        <v>1290</v>
      </c>
      <c r="B633" s="5" t="s">
        <v>1291</v>
      </c>
      <c r="C633" s="6">
        <v>45329</v>
      </c>
      <c r="D633" s="5">
        <v>53</v>
      </c>
      <c r="E633" s="5" t="s">
        <v>20</v>
      </c>
      <c r="F633" s="5" t="s">
        <v>32</v>
      </c>
      <c r="G633" s="5" t="s">
        <v>28</v>
      </c>
      <c r="H633" s="7">
        <v>326.16000000000003</v>
      </c>
      <c r="I633" s="3">
        <v>1</v>
      </c>
      <c r="J633" s="4">
        <v>28.55</v>
      </c>
      <c r="K633" s="7">
        <v>297.61</v>
      </c>
      <c r="L633" s="5" t="s">
        <v>1231</v>
      </c>
      <c r="M633" s="5" t="s">
        <v>24</v>
      </c>
      <c r="N633" s="3">
        <v>22</v>
      </c>
      <c r="O633" s="3">
        <v>5</v>
      </c>
      <c r="P633" s="5" t="b">
        <v>1</v>
      </c>
      <c r="Q633" s="3">
        <v>7</v>
      </c>
      <c r="R633" s="3">
        <v>5</v>
      </c>
      <c r="T633">
        <f t="shared" si="9"/>
        <v>1</v>
      </c>
    </row>
    <row r="634" spans="1:20">
      <c r="A634" s="5" t="s">
        <v>1177</v>
      </c>
      <c r="B634" s="5" t="s">
        <v>1178</v>
      </c>
      <c r="C634" s="6">
        <v>45087</v>
      </c>
      <c r="D634" s="5">
        <v>33</v>
      </c>
      <c r="E634" s="5" t="s">
        <v>36</v>
      </c>
      <c r="F634" s="5" t="s">
        <v>52</v>
      </c>
      <c r="G634" s="5" t="s">
        <v>53</v>
      </c>
      <c r="H634" s="7">
        <v>53.32</v>
      </c>
      <c r="I634" s="3">
        <v>5</v>
      </c>
      <c r="J634" s="4">
        <v>0</v>
      </c>
      <c r="K634" s="7">
        <v>266.60000000000002</v>
      </c>
      <c r="L634" s="5" t="s">
        <v>692</v>
      </c>
      <c r="M634" s="5" t="s">
        <v>24</v>
      </c>
      <c r="N634" s="3">
        <v>15</v>
      </c>
      <c r="O634" s="3">
        <v>6</v>
      </c>
      <c r="P634" s="5" t="b">
        <v>1</v>
      </c>
      <c r="Q634" s="3">
        <v>2</v>
      </c>
      <c r="R634" s="3">
        <v>1</v>
      </c>
      <c r="T634">
        <f t="shared" si="9"/>
        <v>1</v>
      </c>
    </row>
    <row r="635" spans="1:20">
      <c r="A635" s="5" t="s">
        <v>1435</v>
      </c>
      <c r="B635" s="5" t="s">
        <v>1436</v>
      </c>
      <c r="C635" s="6">
        <v>45150</v>
      </c>
      <c r="D635" s="5">
        <v>29</v>
      </c>
      <c r="E635" s="5" t="s">
        <v>20</v>
      </c>
      <c r="F635" s="5" t="s">
        <v>27</v>
      </c>
      <c r="G635" s="5" t="s">
        <v>115</v>
      </c>
      <c r="H635" s="7">
        <v>94.37</v>
      </c>
      <c r="I635" s="3">
        <v>1</v>
      </c>
      <c r="J635" s="4">
        <v>6.99</v>
      </c>
      <c r="K635" s="7">
        <v>87.38</v>
      </c>
      <c r="L635" s="5" t="s">
        <v>1298</v>
      </c>
      <c r="M635" s="5" t="s">
        <v>33</v>
      </c>
      <c r="N635" s="3">
        <v>24</v>
      </c>
      <c r="O635" s="3">
        <v>10</v>
      </c>
      <c r="P635" s="5" t="b">
        <v>0</v>
      </c>
      <c r="Q635" s="3">
        <v>6</v>
      </c>
      <c r="R635" s="3">
        <v>3</v>
      </c>
      <c r="T635">
        <f t="shared" si="9"/>
        <v>1</v>
      </c>
    </row>
    <row r="636" spans="1:20">
      <c r="A636" s="5" t="s">
        <v>297</v>
      </c>
      <c r="B636" s="5" t="s">
        <v>298</v>
      </c>
      <c r="C636" s="6">
        <v>45237</v>
      </c>
      <c r="D636" s="5">
        <v>22</v>
      </c>
      <c r="E636" s="5" t="s">
        <v>20</v>
      </c>
      <c r="F636" s="5" t="s">
        <v>32</v>
      </c>
      <c r="G636" s="5" t="s">
        <v>56</v>
      </c>
      <c r="H636" s="7">
        <v>1116.22</v>
      </c>
      <c r="I636" s="3">
        <v>1</v>
      </c>
      <c r="J636" s="4">
        <v>0</v>
      </c>
      <c r="K636" s="7">
        <v>1116.22</v>
      </c>
      <c r="L636" s="5" t="s">
        <v>23</v>
      </c>
      <c r="M636" s="5" t="s">
        <v>24</v>
      </c>
      <c r="N636" s="3">
        <v>8</v>
      </c>
      <c r="O636" s="3">
        <v>16</v>
      </c>
      <c r="P636" s="5" t="b">
        <v>1</v>
      </c>
      <c r="Q636" s="3">
        <v>6</v>
      </c>
      <c r="R636" s="3">
        <v>5</v>
      </c>
      <c r="T636">
        <f t="shared" si="9"/>
        <v>1</v>
      </c>
    </row>
    <row r="637" spans="1:20">
      <c r="A637" s="5" t="s">
        <v>1179</v>
      </c>
      <c r="B637" s="5" t="s">
        <v>1180</v>
      </c>
      <c r="C637" s="6">
        <v>45188</v>
      </c>
      <c r="D637" s="5">
        <v>18</v>
      </c>
      <c r="E637" s="5" t="s">
        <v>36</v>
      </c>
      <c r="F637" s="5" t="s">
        <v>52</v>
      </c>
      <c r="G637" s="5" t="s">
        <v>53</v>
      </c>
      <c r="H637" s="7">
        <v>49.43</v>
      </c>
      <c r="I637" s="3">
        <v>1</v>
      </c>
      <c r="J637" s="4">
        <v>0</v>
      </c>
      <c r="K637" s="7">
        <v>49.43</v>
      </c>
      <c r="L637" s="5" t="s">
        <v>692</v>
      </c>
      <c r="M637" s="5" t="s">
        <v>24</v>
      </c>
      <c r="N637" s="3">
        <v>16</v>
      </c>
      <c r="O637" s="3">
        <v>6</v>
      </c>
      <c r="P637" s="5" t="b">
        <v>1</v>
      </c>
      <c r="Q637" s="3">
        <v>3</v>
      </c>
      <c r="R637" s="3">
        <v>2</v>
      </c>
      <c r="T637">
        <f t="shared" si="9"/>
        <v>1</v>
      </c>
    </row>
    <row r="638" spans="1:20">
      <c r="A638" s="5" t="s">
        <v>650</v>
      </c>
      <c r="B638" s="5" t="s">
        <v>651</v>
      </c>
      <c r="C638" s="6">
        <v>44986</v>
      </c>
      <c r="D638" s="5">
        <v>44</v>
      </c>
      <c r="E638" s="5" t="s">
        <v>20</v>
      </c>
      <c r="F638" s="5" t="s">
        <v>52</v>
      </c>
      <c r="G638" s="5" t="s">
        <v>22</v>
      </c>
      <c r="H638" s="7">
        <v>126.58</v>
      </c>
      <c r="I638" s="3">
        <v>4</v>
      </c>
      <c r="J638" s="4">
        <v>0</v>
      </c>
      <c r="K638" s="7">
        <v>506.32</v>
      </c>
      <c r="L638" s="5" t="s">
        <v>327</v>
      </c>
      <c r="M638" s="5" t="s">
        <v>29</v>
      </c>
      <c r="N638" s="3">
        <v>10</v>
      </c>
      <c r="O638" s="3">
        <v>12</v>
      </c>
      <c r="P638" s="5" t="b">
        <v>1</v>
      </c>
      <c r="Q638" s="3">
        <v>7</v>
      </c>
      <c r="R638" s="3">
        <v>2</v>
      </c>
      <c r="T638">
        <f t="shared" si="9"/>
        <v>1</v>
      </c>
    </row>
    <row r="639" spans="1:20">
      <c r="A639" s="5" t="s">
        <v>652</v>
      </c>
      <c r="B639" s="5" t="s">
        <v>653</v>
      </c>
      <c r="C639" s="6">
        <v>45124</v>
      </c>
      <c r="D639" s="5">
        <v>35</v>
      </c>
      <c r="E639" s="5" t="s">
        <v>20</v>
      </c>
      <c r="F639" s="5" t="s">
        <v>49</v>
      </c>
      <c r="G639" s="5" t="s">
        <v>115</v>
      </c>
      <c r="H639" s="7">
        <v>27.7</v>
      </c>
      <c r="I639" s="3">
        <v>1</v>
      </c>
      <c r="J639" s="4">
        <v>0</v>
      </c>
      <c r="K639" s="7">
        <v>27.7</v>
      </c>
      <c r="L639" s="5" t="s">
        <v>327</v>
      </c>
      <c r="M639" s="5" t="s">
        <v>33</v>
      </c>
      <c r="N639" s="3">
        <v>9</v>
      </c>
      <c r="O639" s="3">
        <v>9</v>
      </c>
      <c r="P639" s="5" t="b">
        <v>0</v>
      </c>
      <c r="Q639" s="3">
        <v>6</v>
      </c>
      <c r="R639" s="3">
        <v>4</v>
      </c>
      <c r="T639">
        <f t="shared" si="9"/>
        <v>1</v>
      </c>
    </row>
    <row r="640" spans="1:20">
      <c r="A640" s="5" t="s">
        <v>1437</v>
      </c>
      <c r="B640" s="5" t="s">
        <v>1438</v>
      </c>
      <c r="C640" s="6">
        <v>45222</v>
      </c>
      <c r="D640" s="5">
        <v>19</v>
      </c>
      <c r="E640" s="5" t="s">
        <v>36</v>
      </c>
      <c r="F640" s="5" t="s">
        <v>32</v>
      </c>
      <c r="G640" s="5" t="s">
        <v>22</v>
      </c>
      <c r="H640" s="7">
        <v>656.45</v>
      </c>
      <c r="I640" s="3">
        <v>1</v>
      </c>
      <c r="J640" s="4">
        <v>0</v>
      </c>
      <c r="K640" s="7">
        <v>656.45</v>
      </c>
      <c r="L640" s="5" t="s">
        <v>1298</v>
      </c>
      <c r="M640" s="5" t="s">
        <v>29</v>
      </c>
      <c r="N640" s="3">
        <v>10</v>
      </c>
      <c r="O640" s="3">
        <v>7</v>
      </c>
      <c r="P640" s="5" t="b">
        <v>1</v>
      </c>
      <c r="Q640" s="3">
        <v>5</v>
      </c>
      <c r="R640" s="3">
        <v>5</v>
      </c>
      <c r="T640">
        <f t="shared" si="9"/>
        <v>1</v>
      </c>
    </row>
    <row r="641" spans="1:20">
      <c r="A641" s="5" t="s">
        <v>654</v>
      </c>
      <c r="B641" s="5" t="s">
        <v>655</v>
      </c>
      <c r="C641" s="6">
        <v>45024</v>
      </c>
      <c r="D641" s="5">
        <v>19</v>
      </c>
      <c r="E641" s="5" t="s">
        <v>20</v>
      </c>
      <c r="F641" s="5" t="s">
        <v>88</v>
      </c>
      <c r="G641" s="5" t="s">
        <v>28</v>
      </c>
      <c r="H641" s="7">
        <v>366.62</v>
      </c>
      <c r="I641" s="3">
        <v>3</v>
      </c>
      <c r="J641" s="4">
        <v>33.82</v>
      </c>
      <c r="K641" s="7">
        <v>1066.04</v>
      </c>
      <c r="L641" s="5" t="s">
        <v>327</v>
      </c>
      <c r="M641" s="5" t="s">
        <v>33</v>
      </c>
      <c r="N641" s="3">
        <v>19</v>
      </c>
      <c r="O641" s="3">
        <v>9</v>
      </c>
      <c r="P641" s="5" t="b">
        <v>1</v>
      </c>
      <c r="Q641" s="3">
        <v>7</v>
      </c>
      <c r="R641" s="3">
        <v>5</v>
      </c>
      <c r="T641">
        <f t="shared" si="9"/>
        <v>1</v>
      </c>
    </row>
    <row r="642" spans="1:20">
      <c r="A642" s="5" t="s">
        <v>656</v>
      </c>
      <c r="B642" s="5" t="s">
        <v>657</v>
      </c>
      <c r="C642" s="6">
        <v>45057</v>
      </c>
      <c r="D642" s="5">
        <v>30</v>
      </c>
      <c r="E642" s="5" t="s">
        <v>36</v>
      </c>
      <c r="F642" s="5" t="s">
        <v>21</v>
      </c>
      <c r="G642" s="5" t="s">
        <v>22</v>
      </c>
      <c r="H642" s="7">
        <v>142.30000000000001</v>
      </c>
      <c r="I642" s="3">
        <v>4</v>
      </c>
      <c r="J642" s="4">
        <v>0</v>
      </c>
      <c r="K642" s="7">
        <v>569.20000000000005</v>
      </c>
      <c r="L642" s="5" t="s">
        <v>327</v>
      </c>
      <c r="M642" s="5" t="s">
        <v>33</v>
      </c>
      <c r="N642" s="3">
        <v>17</v>
      </c>
      <c r="O642" s="3">
        <v>9</v>
      </c>
      <c r="P642" s="5" t="b">
        <v>1</v>
      </c>
      <c r="Q642" s="3">
        <v>5</v>
      </c>
      <c r="R642" s="3">
        <v>5</v>
      </c>
      <c r="T642">
        <f t="shared" si="9"/>
        <v>1</v>
      </c>
    </row>
    <row r="643" spans="1:20">
      <c r="A643" s="5" t="s">
        <v>1181</v>
      </c>
      <c r="B643" s="5" t="s">
        <v>1182</v>
      </c>
      <c r="C643" s="6">
        <v>44949</v>
      </c>
      <c r="D643" s="5">
        <v>55</v>
      </c>
      <c r="E643" s="5" t="s">
        <v>36</v>
      </c>
      <c r="F643" s="5" t="s">
        <v>76</v>
      </c>
      <c r="G643" s="5" t="s">
        <v>64</v>
      </c>
      <c r="H643" s="7">
        <v>3242.84</v>
      </c>
      <c r="I643" s="3">
        <v>5</v>
      </c>
      <c r="J643" s="4">
        <v>0</v>
      </c>
      <c r="K643" s="7">
        <v>16214.2</v>
      </c>
      <c r="L643" s="5" t="s">
        <v>692</v>
      </c>
      <c r="M643" s="5" t="s">
        <v>24</v>
      </c>
      <c r="N643" s="3">
        <v>2</v>
      </c>
      <c r="O643" s="3">
        <v>10</v>
      </c>
      <c r="P643" s="5" t="b">
        <v>1</v>
      </c>
      <c r="Q643" s="3">
        <v>5</v>
      </c>
      <c r="R643" s="3">
        <v>5</v>
      </c>
      <c r="T643">
        <f t="shared" ref="T643:T700" si="10">COUNTIF(A643:A1341,A643)</f>
        <v>1</v>
      </c>
    </row>
    <row r="644" spans="1:20">
      <c r="A644" s="5" t="s">
        <v>658</v>
      </c>
      <c r="B644" s="5" t="s">
        <v>659</v>
      </c>
      <c r="C644" s="6">
        <v>45289</v>
      </c>
      <c r="D644" s="5">
        <v>31</v>
      </c>
      <c r="E644" s="5" t="s">
        <v>36</v>
      </c>
      <c r="F644" s="5" t="s">
        <v>21</v>
      </c>
      <c r="G644" s="5" t="s">
        <v>46</v>
      </c>
      <c r="H644" s="7">
        <v>604.55999999999995</v>
      </c>
      <c r="I644" s="3">
        <v>2</v>
      </c>
      <c r="J644" s="4">
        <v>0</v>
      </c>
      <c r="K644" s="7">
        <v>1209.1199999999999</v>
      </c>
      <c r="L644" s="5" t="s">
        <v>327</v>
      </c>
      <c r="M644" s="5" t="s">
        <v>24</v>
      </c>
      <c r="N644" s="3">
        <v>31</v>
      </c>
      <c r="O644" s="3">
        <v>5</v>
      </c>
      <c r="P644" s="5" t="b">
        <v>1</v>
      </c>
      <c r="Q644" s="3">
        <v>5</v>
      </c>
      <c r="R644" s="3">
        <v>4</v>
      </c>
      <c r="T644">
        <f t="shared" si="10"/>
        <v>1</v>
      </c>
    </row>
    <row r="645" spans="1:20">
      <c r="A645" s="5" t="s">
        <v>1183</v>
      </c>
      <c r="B645" s="5" t="s">
        <v>1184</v>
      </c>
      <c r="C645" s="6">
        <v>45150</v>
      </c>
      <c r="D645" s="5">
        <v>18</v>
      </c>
      <c r="E645" s="5" t="s">
        <v>20</v>
      </c>
      <c r="F645" s="5" t="s">
        <v>52</v>
      </c>
      <c r="G645" s="5" t="s">
        <v>56</v>
      </c>
      <c r="H645" s="7">
        <v>599.44000000000005</v>
      </c>
      <c r="I645" s="3">
        <v>1</v>
      </c>
      <c r="J645" s="4">
        <v>0</v>
      </c>
      <c r="K645" s="7">
        <v>599.44000000000005</v>
      </c>
      <c r="L645" s="5" t="s">
        <v>692</v>
      </c>
      <c r="M645" s="5" t="s">
        <v>24</v>
      </c>
      <c r="N645" s="3">
        <v>16</v>
      </c>
      <c r="O645" s="3">
        <v>9</v>
      </c>
      <c r="P645" s="5" t="b">
        <v>1</v>
      </c>
      <c r="Q645" s="3">
        <v>5</v>
      </c>
      <c r="R645" s="3">
        <v>5</v>
      </c>
      <c r="T645">
        <f t="shared" si="10"/>
        <v>1</v>
      </c>
    </row>
    <row r="646" spans="1:20">
      <c r="A646" s="5" t="s">
        <v>1185</v>
      </c>
      <c r="B646" s="5" t="s">
        <v>1186</v>
      </c>
      <c r="C646" s="6">
        <v>44927</v>
      </c>
      <c r="D646" s="5">
        <v>32</v>
      </c>
      <c r="E646" s="5" t="s">
        <v>20</v>
      </c>
      <c r="F646" s="5" t="s">
        <v>32</v>
      </c>
      <c r="G646" s="5" t="s">
        <v>64</v>
      </c>
      <c r="H646" s="7">
        <v>804.06</v>
      </c>
      <c r="I646" s="3">
        <v>1</v>
      </c>
      <c r="J646" s="4">
        <v>229.28</v>
      </c>
      <c r="K646" s="7">
        <v>574.78</v>
      </c>
      <c r="L646" s="5" t="s">
        <v>692</v>
      </c>
      <c r="M646" s="5" t="s">
        <v>33</v>
      </c>
      <c r="N646" s="3">
        <v>8</v>
      </c>
      <c r="O646" s="3">
        <v>10</v>
      </c>
      <c r="P646" s="5" t="b">
        <v>0</v>
      </c>
      <c r="Q646" s="3">
        <v>1</v>
      </c>
      <c r="R646" s="3">
        <v>4</v>
      </c>
      <c r="T646">
        <f t="shared" si="10"/>
        <v>1</v>
      </c>
    </row>
    <row r="647" spans="1:20">
      <c r="A647" s="5" t="s">
        <v>1292</v>
      </c>
      <c r="B647" s="5" t="s">
        <v>1293</v>
      </c>
      <c r="C647" s="6">
        <v>45193</v>
      </c>
      <c r="D647" s="5">
        <v>31</v>
      </c>
      <c r="E647" s="5" t="s">
        <v>36</v>
      </c>
      <c r="F647" s="5" t="s">
        <v>32</v>
      </c>
      <c r="G647" s="5" t="s">
        <v>46</v>
      </c>
      <c r="H647" s="7">
        <v>405.53</v>
      </c>
      <c r="I647" s="3">
        <v>4</v>
      </c>
      <c r="J647" s="4">
        <v>0</v>
      </c>
      <c r="K647" s="7">
        <v>1622.12</v>
      </c>
      <c r="L647" s="5" t="s">
        <v>1231</v>
      </c>
      <c r="M647" s="5" t="s">
        <v>33</v>
      </c>
      <c r="N647" s="3">
        <v>21</v>
      </c>
      <c r="O647" s="3">
        <v>9</v>
      </c>
      <c r="P647" s="5" t="b">
        <v>1</v>
      </c>
      <c r="Q647" s="3">
        <v>5</v>
      </c>
      <c r="R647" s="3">
        <v>4</v>
      </c>
      <c r="T647">
        <f t="shared" si="10"/>
        <v>1</v>
      </c>
    </row>
    <row r="648" spans="1:20">
      <c r="A648" s="5" t="s">
        <v>1187</v>
      </c>
      <c r="B648" s="5" t="s">
        <v>1188</v>
      </c>
      <c r="C648" s="6">
        <v>45339</v>
      </c>
      <c r="D648" s="5">
        <v>18</v>
      </c>
      <c r="E648" s="5" t="s">
        <v>36</v>
      </c>
      <c r="F648" s="5" t="s">
        <v>73</v>
      </c>
      <c r="G648" s="5" t="s">
        <v>56</v>
      </c>
      <c r="H648" s="7">
        <v>281.10000000000002</v>
      </c>
      <c r="I648" s="3">
        <v>2</v>
      </c>
      <c r="J648" s="4">
        <v>0</v>
      </c>
      <c r="K648" s="7">
        <v>562.20000000000005</v>
      </c>
      <c r="L648" s="5" t="s">
        <v>692</v>
      </c>
      <c r="M648" s="5" t="s">
        <v>24</v>
      </c>
      <c r="N648" s="3">
        <v>25</v>
      </c>
      <c r="O648" s="3">
        <v>9</v>
      </c>
      <c r="P648" s="5" t="b">
        <v>1</v>
      </c>
      <c r="Q648" s="3">
        <v>8</v>
      </c>
      <c r="R648" s="3">
        <v>4</v>
      </c>
      <c r="T648">
        <f t="shared" si="10"/>
        <v>1</v>
      </c>
    </row>
    <row r="649" spans="1:20">
      <c r="A649" s="5" t="s">
        <v>1189</v>
      </c>
      <c r="B649" s="5" t="s">
        <v>1190</v>
      </c>
      <c r="C649" s="6">
        <v>45202</v>
      </c>
      <c r="D649" s="5">
        <v>34</v>
      </c>
      <c r="E649" s="5" t="s">
        <v>36</v>
      </c>
      <c r="F649" s="5" t="s">
        <v>32</v>
      </c>
      <c r="G649" s="5" t="s">
        <v>28</v>
      </c>
      <c r="H649" s="7">
        <v>120.24</v>
      </c>
      <c r="I649" s="3">
        <v>2</v>
      </c>
      <c r="J649" s="4">
        <v>0</v>
      </c>
      <c r="K649" s="7">
        <v>240.48</v>
      </c>
      <c r="L649" s="5" t="s">
        <v>692</v>
      </c>
      <c r="M649" s="5" t="s">
        <v>33</v>
      </c>
      <c r="N649" s="3">
        <v>14</v>
      </c>
      <c r="O649" s="3">
        <v>10</v>
      </c>
      <c r="P649" s="5" t="b">
        <v>0</v>
      </c>
      <c r="Q649" s="3">
        <v>5</v>
      </c>
      <c r="R649" s="3">
        <v>5</v>
      </c>
      <c r="T649">
        <f t="shared" si="10"/>
        <v>1</v>
      </c>
    </row>
    <row r="650" spans="1:20">
      <c r="A650" s="5" t="s">
        <v>299</v>
      </c>
      <c r="B650" s="5" t="s">
        <v>300</v>
      </c>
      <c r="C650" s="6">
        <v>45278</v>
      </c>
      <c r="D650" s="5">
        <v>32</v>
      </c>
      <c r="E650" s="5" t="s">
        <v>36</v>
      </c>
      <c r="F650" s="5" t="s">
        <v>52</v>
      </c>
      <c r="G650" s="5" t="s">
        <v>56</v>
      </c>
      <c r="H650" s="7">
        <v>275.41000000000003</v>
      </c>
      <c r="I650" s="3">
        <v>3</v>
      </c>
      <c r="J650" s="4">
        <v>0</v>
      </c>
      <c r="K650" s="7">
        <v>826.23</v>
      </c>
      <c r="L650" s="5" t="s">
        <v>23</v>
      </c>
      <c r="M650" s="5" t="s">
        <v>33</v>
      </c>
      <c r="N650" s="3">
        <v>13</v>
      </c>
      <c r="O650" s="3">
        <v>11</v>
      </c>
      <c r="P650" s="5" t="b">
        <v>1</v>
      </c>
      <c r="Q650" s="3">
        <v>5</v>
      </c>
      <c r="R650" s="3">
        <v>5</v>
      </c>
      <c r="T650">
        <f t="shared" si="10"/>
        <v>1</v>
      </c>
    </row>
    <row r="651" spans="1:20">
      <c r="A651" s="5" t="s">
        <v>301</v>
      </c>
      <c r="B651" s="5" t="s">
        <v>302</v>
      </c>
      <c r="C651" s="6">
        <v>45295</v>
      </c>
      <c r="D651" s="5">
        <v>43</v>
      </c>
      <c r="E651" s="5" t="s">
        <v>20</v>
      </c>
      <c r="F651" s="5" t="s">
        <v>73</v>
      </c>
      <c r="G651" s="5" t="s">
        <v>56</v>
      </c>
      <c r="H651" s="7">
        <v>187.37</v>
      </c>
      <c r="I651" s="3">
        <v>2</v>
      </c>
      <c r="J651" s="4">
        <v>0</v>
      </c>
      <c r="K651" s="7">
        <v>374.74</v>
      </c>
      <c r="L651" s="5" t="s">
        <v>23</v>
      </c>
      <c r="M651" s="5" t="s">
        <v>29</v>
      </c>
      <c r="N651" s="3">
        <v>10</v>
      </c>
      <c r="O651" s="3">
        <v>5</v>
      </c>
      <c r="P651" s="5" t="b">
        <v>1</v>
      </c>
      <c r="Q651" s="3">
        <v>3</v>
      </c>
      <c r="R651" s="3">
        <v>4</v>
      </c>
      <c r="T651">
        <f t="shared" si="10"/>
        <v>1</v>
      </c>
    </row>
    <row r="652" spans="1:20">
      <c r="A652" s="5" t="s">
        <v>1191</v>
      </c>
      <c r="B652" s="5" t="s">
        <v>1192</v>
      </c>
      <c r="C652" s="6">
        <v>45306</v>
      </c>
      <c r="D652" s="5">
        <v>57</v>
      </c>
      <c r="E652" s="5" t="s">
        <v>20</v>
      </c>
      <c r="F652" s="5" t="s">
        <v>52</v>
      </c>
      <c r="G652" s="5" t="s">
        <v>22</v>
      </c>
      <c r="H652" s="7">
        <v>531.79</v>
      </c>
      <c r="I652" s="3">
        <v>1</v>
      </c>
      <c r="J652" s="4">
        <v>0</v>
      </c>
      <c r="K652" s="7">
        <v>531.79</v>
      </c>
      <c r="L652" s="5" t="s">
        <v>692</v>
      </c>
      <c r="M652" s="5" t="s">
        <v>29</v>
      </c>
      <c r="N652" s="3">
        <v>19</v>
      </c>
      <c r="O652" s="3">
        <v>7</v>
      </c>
      <c r="P652" s="5" t="b">
        <v>0</v>
      </c>
      <c r="Q652" s="3">
        <v>3</v>
      </c>
      <c r="R652" s="3">
        <v>4</v>
      </c>
      <c r="T652">
        <f t="shared" si="10"/>
        <v>1</v>
      </c>
    </row>
    <row r="653" spans="1:20">
      <c r="A653" s="5" t="s">
        <v>1193</v>
      </c>
      <c r="B653" s="5" t="s">
        <v>1194</v>
      </c>
      <c r="C653" s="6">
        <v>45304</v>
      </c>
      <c r="D653" s="5">
        <v>48</v>
      </c>
      <c r="E653" s="5" t="s">
        <v>20</v>
      </c>
      <c r="F653" s="5" t="s">
        <v>32</v>
      </c>
      <c r="G653" s="5" t="s">
        <v>22</v>
      </c>
      <c r="H653" s="7">
        <v>211.54</v>
      </c>
      <c r="I653" s="3">
        <v>2</v>
      </c>
      <c r="J653" s="4">
        <v>0</v>
      </c>
      <c r="K653" s="7">
        <v>423.08</v>
      </c>
      <c r="L653" s="5" t="s">
        <v>692</v>
      </c>
      <c r="M653" s="5" t="s">
        <v>24</v>
      </c>
      <c r="N653" s="3">
        <v>18</v>
      </c>
      <c r="O653" s="3">
        <v>11</v>
      </c>
      <c r="P653" s="5" t="b">
        <v>0</v>
      </c>
      <c r="Q653" s="3">
        <v>7</v>
      </c>
      <c r="R653" s="3">
        <v>5</v>
      </c>
      <c r="T653">
        <f t="shared" si="10"/>
        <v>1</v>
      </c>
    </row>
    <row r="654" spans="1:20">
      <c r="A654" s="5" t="s">
        <v>1195</v>
      </c>
      <c r="B654" s="5" t="s">
        <v>1196</v>
      </c>
      <c r="C654" s="6">
        <v>45270</v>
      </c>
      <c r="D654" s="5">
        <v>31</v>
      </c>
      <c r="E654" s="5" t="s">
        <v>20</v>
      </c>
      <c r="F654" s="5" t="s">
        <v>27</v>
      </c>
      <c r="G654" s="5" t="s">
        <v>22</v>
      </c>
      <c r="H654" s="7">
        <v>306.73</v>
      </c>
      <c r="I654" s="3">
        <v>3</v>
      </c>
      <c r="J654" s="4">
        <v>0</v>
      </c>
      <c r="K654" s="7">
        <v>920.19</v>
      </c>
      <c r="L654" s="5" t="s">
        <v>692</v>
      </c>
      <c r="M654" s="5" t="s">
        <v>33</v>
      </c>
      <c r="N654" s="3">
        <v>22</v>
      </c>
      <c r="O654" s="3">
        <v>10</v>
      </c>
      <c r="P654" s="5" t="b">
        <v>0</v>
      </c>
      <c r="Q654" s="3">
        <v>4</v>
      </c>
      <c r="R654" s="3">
        <v>1</v>
      </c>
      <c r="T654">
        <f t="shared" si="10"/>
        <v>1</v>
      </c>
    </row>
    <row r="655" spans="1:20">
      <c r="A655" s="5" t="s">
        <v>1197</v>
      </c>
      <c r="B655" s="5" t="s">
        <v>1198</v>
      </c>
      <c r="C655" s="6">
        <v>45027</v>
      </c>
      <c r="D655" s="5">
        <v>21</v>
      </c>
      <c r="E655" s="5" t="s">
        <v>20</v>
      </c>
      <c r="F655" s="5" t="s">
        <v>76</v>
      </c>
      <c r="G655" s="5" t="s">
        <v>56</v>
      </c>
      <c r="H655" s="7">
        <v>381.06</v>
      </c>
      <c r="I655" s="3">
        <v>2</v>
      </c>
      <c r="J655" s="4">
        <v>0</v>
      </c>
      <c r="K655" s="7">
        <v>762.12</v>
      </c>
      <c r="L655" s="5" t="s">
        <v>692</v>
      </c>
      <c r="M655" s="5" t="s">
        <v>29</v>
      </c>
      <c r="N655" s="3">
        <v>20</v>
      </c>
      <c r="O655" s="3">
        <v>7</v>
      </c>
      <c r="P655" s="5" t="b">
        <v>1</v>
      </c>
      <c r="Q655" s="3">
        <v>8</v>
      </c>
      <c r="R655" s="3">
        <v>5</v>
      </c>
      <c r="T655">
        <f t="shared" si="10"/>
        <v>1</v>
      </c>
    </row>
    <row r="656" spans="1:20">
      <c r="A656" s="5" t="s">
        <v>303</v>
      </c>
      <c r="B656" s="5" t="s">
        <v>304</v>
      </c>
      <c r="C656" s="6">
        <v>45113</v>
      </c>
      <c r="D656" s="5">
        <v>65</v>
      </c>
      <c r="E656" s="5" t="s">
        <v>36</v>
      </c>
      <c r="F656" s="5" t="s">
        <v>32</v>
      </c>
      <c r="G656" s="5" t="s">
        <v>37</v>
      </c>
      <c r="H656" s="7">
        <v>82.4</v>
      </c>
      <c r="I656" s="3">
        <v>5</v>
      </c>
      <c r="J656" s="4">
        <v>0</v>
      </c>
      <c r="K656" s="7">
        <v>412</v>
      </c>
      <c r="L656" s="5" t="s">
        <v>23</v>
      </c>
      <c r="M656" s="5" t="s">
        <v>33</v>
      </c>
      <c r="N656" s="3">
        <v>17</v>
      </c>
      <c r="O656" s="3">
        <v>8</v>
      </c>
      <c r="P656" s="5" t="b">
        <v>0</v>
      </c>
      <c r="Q656" s="3">
        <v>6</v>
      </c>
      <c r="R656" s="3">
        <v>4</v>
      </c>
      <c r="T656">
        <f t="shared" si="10"/>
        <v>1</v>
      </c>
    </row>
    <row r="657" spans="1:20">
      <c r="A657" s="5" t="s">
        <v>660</v>
      </c>
      <c r="B657" s="5" t="s">
        <v>661</v>
      </c>
      <c r="C657" s="6">
        <v>45147</v>
      </c>
      <c r="D657" s="5">
        <v>35</v>
      </c>
      <c r="E657" s="5" t="s">
        <v>20</v>
      </c>
      <c r="F657" s="5" t="s">
        <v>32</v>
      </c>
      <c r="G657" s="5" t="s">
        <v>115</v>
      </c>
      <c r="H657" s="7">
        <v>28.6</v>
      </c>
      <c r="I657" s="3">
        <v>1</v>
      </c>
      <c r="J657" s="4">
        <v>0</v>
      </c>
      <c r="K657" s="7">
        <v>28.6</v>
      </c>
      <c r="L657" s="5" t="s">
        <v>327</v>
      </c>
      <c r="M657" s="5" t="s">
        <v>33</v>
      </c>
      <c r="N657" s="3">
        <v>15</v>
      </c>
      <c r="O657" s="3">
        <v>8</v>
      </c>
      <c r="P657" s="5" t="b">
        <v>1</v>
      </c>
      <c r="Q657" s="3">
        <v>7</v>
      </c>
      <c r="R657" s="3">
        <v>4</v>
      </c>
      <c r="T657">
        <f t="shared" si="10"/>
        <v>1</v>
      </c>
    </row>
    <row r="658" spans="1:20">
      <c r="A658" s="5" t="s">
        <v>305</v>
      </c>
      <c r="B658" s="5" t="s">
        <v>306</v>
      </c>
      <c r="C658" s="6">
        <v>44962</v>
      </c>
      <c r="D658" s="5">
        <v>35</v>
      </c>
      <c r="E658" s="5" t="s">
        <v>20</v>
      </c>
      <c r="F658" s="5" t="s">
        <v>83</v>
      </c>
      <c r="G658" s="5" t="s">
        <v>56</v>
      </c>
      <c r="H658" s="7">
        <v>1647.31</v>
      </c>
      <c r="I658" s="3">
        <v>3</v>
      </c>
      <c r="J658" s="4">
        <v>201.73</v>
      </c>
      <c r="K658" s="7">
        <v>4740.2</v>
      </c>
      <c r="L658" s="5" t="s">
        <v>23</v>
      </c>
      <c r="M658" s="5" t="s">
        <v>24</v>
      </c>
      <c r="N658" s="3">
        <v>16</v>
      </c>
      <c r="O658" s="3">
        <v>11</v>
      </c>
      <c r="P658" s="5" t="b">
        <v>0</v>
      </c>
      <c r="Q658" s="3">
        <v>4</v>
      </c>
      <c r="R658" s="3">
        <v>4</v>
      </c>
      <c r="T658">
        <f t="shared" si="10"/>
        <v>1</v>
      </c>
    </row>
    <row r="659" spans="1:20">
      <c r="A659" s="5" t="s">
        <v>662</v>
      </c>
      <c r="B659" s="5" t="s">
        <v>663</v>
      </c>
      <c r="C659" s="6">
        <v>45267</v>
      </c>
      <c r="D659" s="5">
        <v>34</v>
      </c>
      <c r="E659" s="5" t="s">
        <v>20</v>
      </c>
      <c r="F659" s="5" t="s">
        <v>32</v>
      </c>
      <c r="G659" s="5" t="s">
        <v>115</v>
      </c>
      <c r="H659" s="7">
        <v>107.92</v>
      </c>
      <c r="I659" s="3">
        <v>1</v>
      </c>
      <c r="J659" s="4">
        <v>0</v>
      </c>
      <c r="K659" s="7">
        <v>107.92</v>
      </c>
      <c r="L659" s="5" t="s">
        <v>327</v>
      </c>
      <c r="M659" s="5" t="s">
        <v>33</v>
      </c>
      <c r="N659" s="3">
        <v>22</v>
      </c>
      <c r="O659" s="3">
        <v>10</v>
      </c>
      <c r="P659" s="5" t="b">
        <v>1</v>
      </c>
      <c r="Q659" s="3">
        <v>7</v>
      </c>
      <c r="R659" s="3">
        <v>4</v>
      </c>
      <c r="T659">
        <f t="shared" si="10"/>
        <v>1</v>
      </c>
    </row>
    <row r="660" spans="1:20">
      <c r="A660" s="5" t="s">
        <v>307</v>
      </c>
      <c r="B660" s="5" t="s">
        <v>308</v>
      </c>
      <c r="C660" s="6">
        <v>45096</v>
      </c>
      <c r="D660" s="5">
        <v>37</v>
      </c>
      <c r="E660" s="5" t="s">
        <v>36</v>
      </c>
      <c r="F660" s="5" t="s">
        <v>83</v>
      </c>
      <c r="G660" s="5" t="s">
        <v>115</v>
      </c>
      <c r="H660" s="7">
        <v>39.200000000000003</v>
      </c>
      <c r="I660" s="3">
        <v>4</v>
      </c>
      <c r="J660" s="4">
        <v>8.24</v>
      </c>
      <c r="K660" s="7">
        <v>148.56</v>
      </c>
      <c r="L660" s="5" t="s">
        <v>23</v>
      </c>
      <c r="M660" s="5" t="s">
        <v>24</v>
      </c>
      <c r="N660" s="3">
        <v>21</v>
      </c>
      <c r="O660" s="3">
        <v>11</v>
      </c>
      <c r="P660" s="5" t="b">
        <v>0</v>
      </c>
      <c r="Q660" s="3">
        <v>2</v>
      </c>
      <c r="R660" s="3">
        <v>5</v>
      </c>
      <c r="T660">
        <f t="shared" si="10"/>
        <v>1</v>
      </c>
    </row>
    <row r="661" spans="1:20">
      <c r="A661" s="5" t="s">
        <v>664</v>
      </c>
      <c r="B661" s="5" t="s">
        <v>665</v>
      </c>
      <c r="C661" s="6">
        <v>45246</v>
      </c>
      <c r="D661" s="5">
        <v>33</v>
      </c>
      <c r="E661" s="5" t="s">
        <v>36</v>
      </c>
      <c r="F661" s="5" t="s">
        <v>32</v>
      </c>
      <c r="G661" s="5" t="s">
        <v>22</v>
      </c>
      <c r="H661" s="7">
        <v>114</v>
      </c>
      <c r="I661" s="3">
        <v>1</v>
      </c>
      <c r="J661" s="4">
        <v>0</v>
      </c>
      <c r="K661" s="7">
        <v>114</v>
      </c>
      <c r="L661" s="5" t="s">
        <v>327</v>
      </c>
      <c r="M661" s="5" t="s">
        <v>33</v>
      </c>
      <c r="N661" s="3">
        <v>13</v>
      </c>
      <c r="O661" s="3">
        <v>4</v>
      </c>
      <c r="P661" s="5" t="b">
        <v>1</v>
      </c>
      <c r="Q661" s="3">
        <v>9</v>
      </c>
      <c r="R661" s="3">
        <v>5</v>
      </c>
      <c r="T661">
        <f t="shared" si="10"/>
        <v>1</v>
      </c>
    </row>
    <row r="662" spans="1:20">
      <c r="A662" s="5" t="s">
        <v>1439</v>
      </c>
      <c r="B662" s="5" t="s">
        <v>1440</v>
      </c>
      <c r="C662" s="6">
        <v>45087</v>
      </c>
      <c r="D662" s="5">
        <v>28</v>
      </c>
      <c r="E662" s="5" t="s">
        <v>36</v>
      </c>
      <c r="F662" s="5" t="s">
        <v>88</v>
      </c>
      <c r="G662" s="5" t="s">
        <v>56</v>
      </c>
      <c r="H662" s="7">
        <v>174.49</v>
      </c>
      <c r="I662" s="3">
        <v>4</v>
      </c>
      <c r="J662" s="4">
        <v>0</v>
      </c>
      <c r="K662" s="7">
        <v>697.96</v>
      </c>
      <c r="L662" s="5" t="s">
        <v>1298</v>
      </c>
      <c r="M662" s="5" t="s">
        <v>33</v>
      </c>
      <c r="N662" s="3">
        <v>11</v>
      </c>
      <c r="O662" s="3">
        <v>5</v>
      </c>
      <c r="P662" s="5" t="b">
        <v>1</v>
      </c>
      <c r="Q662" s="3">
        <v>6</v>
      </c>
      <c r="R662" s="3">
        <v>4</v>
      </c>
      <c r="T662">
        <f t="shared" si="10"/>
        <v>1</v>
      </c>
    </row>
    <row r="663" spans="1:20">
      <c r="A663" s="5" t="s">
        <v>666</v>
      </c>
      <c r="B663" s="5" t="s">
        <v>667</v>
      </c>
      <c r="C663" s="6">
        <v>45266</v>
      </c>
      <c r="D663" s="5">
        <v>28</v>
      </c>
      <c r="E663" s="5" t="s">
        <v>36</v>
      </c>
      <c r="F663" s="5" t="s">
        <v>52</v>
      </c>
      <c r="G663" s="5" t="s">
        <v>22</v>
      </c>
      <c r="H663" s="7">
        <v>260.92</v>
      </c>
      <c r="I663" s="3">
        <v>4</v>
      </c>
      <c r="J663" s="4">
        <v>0</v>
      </c>
      <c r="K663" s="7">
        <v>1043.68</v>
      </c>
      <c r="L663" s="5" t="s">
        <v>327</v>
      </c>
      <c r="M663" s="5" t="s">
        <v>33</v>
      </c>
      <c r="N663" s="3">
        <v>33</v>
      </c>
      <c r="O663" s="3">
        <v>9</v>
      </c>
      <c r="P663" s="5" t="b">
        <v>0</v>
      </c>
      <c r="Q663" s="3">
        <v>21</v>
      </c>
      <c r="R663" s="3">
        <v>5</v>
      </c>
      <c r="T663">
        <f t="shared" si="10"/>
        <v>1</v>
      </c>
    </row>
    <row r="664" spans="1:20">
      <c r="A664" s="5" t="s">
        <v>309</v>
      </c>
      <c r="B664" s="5" t="s">
        <v>310</v>
      </c>
      <c r="C664" s="6">
        <v>45361</v>
      </c>
      <c r="D664" s="5">
        <v>34</v>
      </c>
      <c r="E664" s="5" t="s">
        <v>20</v>
      </c>
      <c r="F664" s="5" t="s">
        <v>76</v>
      </c>
      <c r="G664" s="5" t="s">
        <v>22</v>
      </c>
      <c r="H664" s="7">
        <v>396.31</v>
      </c>
      <c r="I664" s="3">
        <v>1</v>
      </c>
      <c r="J664" s="4">
        <v>95.49</v>
      </c>
      <c r="K664" s="7">
        <v>300.82</v>
      </c>
      <c r="L664" s="5" t="s">
        <v>23</v>
      </c>
      <c r="M664" s="5" t="s">
        <v>33</v>
      </c>
      <c r="N664" s="3">
        <v>5</v>
      </c>
      <c r="O664" s="3">
        <v>7</v>
      </c>
      <c r="P664" s="5" t="b">
        <v>0</v>
      </c>
      <c r="Q664" s="3">
        <v>6</v>
      </c>
      <c r="R664" s="3">
        <v>5</v>
      </c>
      <c r="T664">
        <f t="shared" si="10"/>
        <v>1</v>
      </c>
    </row>
    <row r="665" spans="1:20">
      <c r="A665" s="5" t="s">
        <v>668</v>
      </c>
      <c r="B665" s="5" t="s">
        <v>669</v>
      </c>
      <c r="C665" s="6">
        <v>44990</v>
      </c>
      <c r="D665" s="5">
        <v>28</v>
      </c>
      <c r="E665" s="5" t="s">
        <v>36</v>
      </c>
      <c r="F665" s="5" t="s">
        <v>52</v>
      </c>
      <c r="G665" s="5" t="s">
        <v>22</v>
      </c>
      <c r="H665" s="7">
        <v>369.47</v>
      </c>
      <c r="I665" s="3">
        <v>1</v>
      </c>
      <c r="J665" s="4">
        <v>0</v>
      </c>
      <c r="K665" s="7">
        <v>369.47</v>
      </c>
      <c r="L665" s="5" t="s">
        <v>327</v>
      </c>
      <c r="M665" s="5" t="s">
        <v>33</v>
      </c>
      <c r="N665" s="3">
        <v>9</v>
      </c>
      <c r="O665" s="3">
        <v>8</v>
      </c>
      <c r="P665" s="5" t="b">
        <v>0</v>
      </c>
      <c r="Q665" s="3">
        <v>5</v>
      </c>
      <c r="R665" s="3">
        <v>4</v>
      </c>
      <c r="T665">
        <f t="shared" si="10"/>
        <v>1</v>
      </c>
    </row>
    <row r="666" spans="1:20">
      <c r="A666" s="5" t="s">
        <v>670</v>
      </c>
      <c r="B666" s="5" t="s">
        <v>671</v>
      </c>
      <c r="C666" s="6">
        <v>45295</v>
      </c>
      <c r="D666" s="5">
        <v>26</v>
      </c>
      <c r="E666" s="5" t="s">
        <v>20</v>
      </c>
      <c r="F666" s="5" t="s">
        <v>49</v>
      </c>
      <c r="G666" s="5" t="s">
        <v>28</v>
      </c>
      <c r="H666" s="7">
        <v>106.38</v>
      </c>
      <c r="I666" s="3">
        <v>2</v>
      </c>
      <c r="J666" s="4">
        <v>0</v>
      </c>
      <c r="K666" s="7">
        <v>212.76</v>
      </c>
      <c r="L666" s="5" t="s">
        <v>327</v>
      </c>
      <c r="M666" s="5" t="s">
        <v>33</v>
      </c>
      <c r="N666" s="3">
        <v>15</v>
      </c>
      <c r="O666" s="3">
        <v>7</v>
      </c>
      <c r="P666" s="5" t="b">
        <v>1</v>
      </c>
      <c r="Q666" s="3">
        <v>6</v>
      </c>
      <c r="R666" s="3">
        <v>4</v>
      </c>
      <c r="T666">
        <f t="shared" si="10"/>
        <v>1</v>
      </c>
    </row>
    <row r="667" spans="1:20">
      <c r="A667" s="5" t="s">
        <v>311</v>
      </c>
      <c r="B667" s="5" t="s">
        <v>312</v>
      </c>
      <c r="C667" s="6">
        <v>45080</v>
      </c>
      <c r="D667" s="5">
        <v>36</v>
      </c>
      <c r="E667" s="5" t="s">
        <v>20</v>
      </c>
      <c r="F667" s="5" t="s">
        <v>32</v>
      </c>
      <c r="G667" s="5" t="s">
        <v>28</v>
      </c>
      <c r="H667" s="7">
        <v>125.12</v>
      </c>
      <c r="I667" s="3">
        <v>3</v>
      </c>
      <c r="J667" s="4">
        <v>0</v>
      </c>
      <c r="K667" s="7">
        <v>375.36</v>
      </c>
      <c r="L667" s="5" t="s">
        <v>23</v>
      </c>
      <c r="M667" s="5" t="s">
        <v>33</v>
      </c>
      <c r="N667" s="3">
        <v>27</v>
      </c>
      <c r="O667" s="3">
        <v>9</v>
      </c>
      <c r="P667" s="5" t="b">
        <v>0</v>
      </c>
      <c r="Q667" s="3">
        <v>7</v>
      </c>
      <c r="R667" s="3">
        <v>5</v>
      </c>
      <c r="T667">
        <f t="shared" si="10"/>
        <v>1</v>
      </c>
    </row>
    <row r="668" spans="1:20">
      <c r="A668" s="5" t="s">
        <v>1199</v>
      </c>
      <c r="B668" s="5" t="s">
        <v>1200</v>
      </c>
      <c r="C668" s="6">
        <v>45186</v>
      </c>
      <c r="D668" s="5">
        <v>31</v>
      </c>
      <c r="E668" s="5" t="s">
        <v>36</v>
      </c>
      <c r="F668" s="5" t="s">
        <v>32</v>
      </c>
      <c r="G668" s="5" t="s">
        <v>37</v>
      </c>
      <c r="H668" s="7">
        <v>48.43</v>
      </c>
      <c r="I668" s="3">
        <v>2</v>
      </c>
      <c r="J668" s="4">
        <v>9.27</v>
      </c>
      <c r="K668" s="7">
        <v>87.59</v>
      </c>
      <c r="L668" s="5" t="s">
        <v>692</v>
      </c>
      <c r="M668" s="5" t="s">
        <v>29</v>
      </c>
      <c r="N668" s="3">
        <v>24</v>
      </c>
      <c r="O668" s="3">
        <v>9</v>
      </c>
      <c r="P668" s="5" t="b">
        <v>0</v>
      </c>
      <c r="Q668" s="3">
        <v>4</v>
      </c>
      <c r="R668" s="3">
        <v>1</v>
      </c>
      <c r="T668">
        <f t="shared" si="10"/>
        <v>1</v>
      </c>
    </row>
    <row r="669" spans="1:20">
      <c r="A669" s="5" t="s">
        <v>672</v>
      </c>
      <c r="B669" s="5" t="s">
        <v>673</v>
      </c>
      <c r="C669" s="6">
        <v>45085</v>
      </c>
      <c r="D669" s="5">
        <v>53</v>
      </c>
      <c r="E669" s="5" t="s">
        <v>36</v>
      </c>
      <c r="F669" s="5" t="s">
        <v>27</v>
      </c>
      <c r="G669" s="5" t="s">
        <v>46</v>
      </c>
      <c r="H669" s="7">
        <v>226.36</v>
      </c>
      <c r="I669" s="3">
        <v>1</v>
      </c>
      <c r="J669" s="4">
        <v>0</v>
      </c>
      <c r="K669" s="7">
        <v>226.36</v>
      </c>
      <c r="L669" s="5" t="s">
        <v>327</v>
      </c>
      <c r="M669" s="5" t="s">
        <v>33</v>
      </c>
      <c r="N669" s="3">
        <v>14</v>
      </c>
      <c r="O669" s="3">
        <v>11</v>
      </c>
      <c r="P669" s="5" t="b">
        <v>0</v>
      </c>
      <c r="Q669" s="3">
        <v>7</v>
      </c>
      <c r="R669" s="3">
        <v>4</v>
      </c>
      <c r="T669">
        <f t="shared" si="10"/>
        <v>1</v>
      </c>
    </row>
    <row r="670" spans="1:20">
      <c r="A670" s="5" t="s">
        <v>313</v>
      </c>
      <c r="B670" s="5" t="s">
        <v>314</v>
      </c>
      <c r="C670" s="6">
        <v>45268</v>
      </c>
      <c r="D670" s="5">
        <v>18</v>
      </c>
      <c r="E670" s="5" t="s">
        <v>20</v>
      </c>
      <c r="F670" s="5" t="s">
        <v>73</v>
      </c>
      <c r="G670" s="5" t="s">
        <v>115</v>
      </c>
      <c r="H670" s="7">
        <v>132.66999999999999</v>
      </c>
      <c r="I670" s="3">
        <v>2</v>
      </c>
      <c r="J670" s="4">
        <v>0</v>
      </c>
      <c r="K670" s="7">
        <v>265.33999999999997</v>
      </c>
      <c r="L670" s="5" t="s">
        <v>23</v>
      </c>
      <c r="M670" s="5" t="s">
        <v>33</v>
      </c>
      <c r="N670" s="3">
        <v>5</v>
      </c>
      <c r="O670" s="3">
        <v>7</v>
      </c>
      <c r="P670" s="5" t="b">
        <v>1</v>
      </c>
      <c r="Q670" s="3">
        <v>6</v>
      </c>
      <c r="R670" s="3">
        <v>5</v>
      </c>
      <c r="T670">
        <f t="shared" si="10"/>
        <v>1</v>
      </c>
    </row>
    <row r="671" spans="1:20">
      <c r="A671" s="5" t="s">
        <v>315</v>
      </c>
      <c r="B671" s="5" t="s">
        <v>316</v>
      </c>
      <c r="C671" s="6">
        <v>45136</v>
      </c>
      <c r="D671" s="5">
        <v>48</v>
      </c>
      <c r="E671" s="5" t="s">
        <v>20</v>
      </c>
      <c r="F671" s="5" t="s">
        <v>76</v>
      </c>
      <c r="G671" s="5" t="s">
        <v>56</v>
      </c>
      <c r="H671" s="7">
        <v>126.72</v>
      </c>
      <c r="I671" s="3">
        <v>1</v>
      </c>
      <c r="J671" s="4">
        <v>0</v>
      </c>
      <c r="K671" s="7">
        <v>126.72</v>
      </c>
      <c r="L671" s="5" t="s">
        <v>23</v>
      </c>
      <c r="M671" s="5" t="s">
        <v>33</v>
      </c>
      <c r="N671" s="3">
        <v>10</v>
      </c>
      <c r="O671" s="3">
        <v>10</v>
      </c>
      <c r="P671" s="5" t="b">
        <v>1</v>
      </c>
      <c r="Q671" s="3">
        <v>10</v>
      </c>
      <c r="R671" s="3">
        <v>5</v>
      </c>
      <c r="T671">
        <f t="shared" si="10"/>
        <v>1</v>
      </c>
    </row>
    <row r="672" spans="1:20">
      <c r="A672" s="5" t="s">
        <v>674</v>
      </c>
      <c r="B672" s="5" t="s">
        <v>675</v>
      </c>
      <c r="C672" s="6">
        <v>45094</v>
      </c>
      <c r="D672" s="5">
        <v>49</v>
      </c>
      <c r="E672" s="5" t="s">
        <v>36</v>
      </c>
      <c r="F672" s="5" t="s">
        <v>21</v>
      </c>
      <c r="G672" s="5" t="s">
        <v>64</v>
      </c>
      <c r="H672" s="7">
        <v>258.63</v>
      </c>
      <c r="I672" s="3">
        <v>5</v>
      </c>
      <c r="J672" s="4">
        <v>0</v>
      </c>
      <c r="K672" s="7">
        <v>1293.1500000000001</v>
      </c>
      <c r="L672" s="5" t="s">
        <v>327</v>
      </c>
      <c r="M672" s="5" t="s">
        <v>33</v>
      </c>
      <c r="N672" s="3">
        <v>16</v>
      </c>
      <c r="O672" s="3">
        <v>7</v>
      </c>
      <c r="P672" s="5" t="b">
        <v>1</v>
      </c>
      <c r="Q672" s="3">
        <v>5</v>
      </c>
      <c r="R672" s="3">
        <v>4</v>
      </c>
      <c r="T672">
        <f t="shared" si="10"/>
        <v>1</v>
      </c>
    </row>
    <row r="673" spans="1:20">
      <c r="A673" s="5" t="s">
        <v>676</v>
      </c>
      <c r="B673" s="5" t="s">
        <v>677</v>
      </c>
      <c r="C673" s="6">
        <v>45133</v>
      </c>
      <c r="D673" s="5">
        <v>18</v>
      </c>
      <c r="E673" s="5" t="s">
        <v>20</v>
      </c>
      <c r="F673" s="5" t="s">
        <v>88</v>
      </c>
      <c r="G673" s="5" t="s">
        <v>22</v>
      </c>
      <c r="H673" s="7">
        <v>142.38999999999999</v>
      </c>
      <c r="I673" s="3">
        <v>1</v>
      </c>
      <c r="J673" s="4">
        <v>0</v>
      </c>
      <c r="K673" s="7">
        <v>142.38999999999999</v>
      </c>
      <c r="L673" s="5" t="s">
        <v>327</v>
      </c>
      <c r="M673" s="5" t="s">
        <v>33</v>
      </c>
      <c r="N673" s="3">
        <v>19</v>
      </c>
      <c r="O673" s="3">
        <v>10</v>
      </c>
      <c r="P673" s="5" t="b">
        <v>0</v>
      </c>
      <c r="Q673" s="3">
        <v>7</v>
      </c>
      <c r="R673" s="3">
        <v>3</v>
      </c>
      <c r="T673">
        <f t="shared" si="10"/>
        <v>1</v>
      </c>
    </row>
    <row r="674" spans="1:20">
      <c r="A674" s="5" t="s">
        <v>1201</v>
      </c>
      <c r="B674" s="5" t="s">
        <v>1202</v>
      </c>
      <c r="C674" s="6">
        <v>45283</v>
      </c>
      <c r="D674" s="5">
        <v>30</v>
      </c>
      <c r="E674" s="5" t="s">
        <v>20</v>
      </c>
      <c r="F674" s="5" t="s">
        <v>21</v>
      </c>
      <c r="G674" s="5" t="s">
        <v>37</v>
      </c>
      <c r="H674" s="7">
        <v>247.09</v>
      </c>
      <c r="I674" s="3">
        <v>5</v>
      </c>
      <c r="J674" s="4">
        <v>0</v>
      </c>
      <c r="K674" s="7">
        <v>1235.45</v>
      </c>
      <c r="L674" s="5" t="s">
        <v>692</v>
      </c>
      <c r="M674" s="5" t="s">
        <v>33</v>
      </c>
      <c r="N674" s="3">
        <v>26</v>
      </c>
      <c r="O674" s="3">
        <v>9</v>
      </c>
      <c r="P674" s="5" t="b">
        <v>1</v>
      </c>
      <c r="Q674" s="3">
        <v>8</v>
      </c>
      <c r="R674" s="3">
        <v>3</v>
      </c>
      <c r="T674">
        <f t="shared" si="10"/>
        <v>1</v>
      </c>
    </row>
    <row r="675" spans="1:20">
      <c r="A675" s="5" t="s">
        <v>1441</v>
      </c>
      <c r="B675" s="5" t="s">
        <v>1442</v>
      </c>
      <c r="C675" s="6">
        <v>45078</v>
      </c>
      <c r="D675" s="5">
        <v>30</v>
      </c>
      <c r="E675" s="5" t="s">
        <v>20</v>
      </c>
      <c r="F675" s="5" t="s">
        <v>83</v>
      </c>
      <c r="G675" s="5" t="s">
        <v>64</v>
      </c>
      <c r="H675" s="7">
        <v>1458.12</v>
      </c>
      <c r="I675" s="3">
        <v>2</v>
      </c>
      <c r="J675" s="4">
        <v>0</v>
      </c>
      <c r="K675" s="7">
        <v>2916.24</v>
      </c>
      <c r="L675" s="5" t="s">
        <v>1298</v>
      </c>
      <c r="M675" s="5" t="s">
        <v>33</v>
      </c>
      <c r="N675" s="3">
        <v>13</v>
      </c>
      <c r="O675" s="3">
        <v>8</v>
      </c>
      <c r="P675" s="5" t="b">
        <v>1</v>
      </c>
      <c r="Q675" s="3">
        <v>10</v>
      </c>
      <c r="R675" s="3">
        <v>4</v>
      </c>
      <c r="T675">
        <f t="shared" si="10"/>
        <v>1</v>
      </c>
    </row>
    <row r="676" spans="1:20">
      <c r="A676" s="5" t="s">
        <v>1203</v>
      </c>
      <c r="B676" s="5" t="s">
        <v>1204</v>
      </c>
      <c r="C676" s="6">
        <v>45210</v>
      </c>
      <c r="D676" s="5">
        <v>18</v>
      </c>
      <c r="E676" s="5" t="s">
        <v>20</v>
      </c>
      <c r="F676" s="5" t="s">
        <v>76</v>
      </c>
      <c r="G676" s="5" t="s">
        <v>28</v>
      </c>
      <c r="H676" s="7">
        <v>609.87</v>
      </c>
      <c r="I676" s="3">
        <v>4</v>
      </c>
      <c r="J676" s="4">
        <v>0</v>
      </c>
      <c r="K676" s="7">
        <v>2439.48</v>
      </c>
      <c r="L676" s="5" t="s">
        <v>692</v>
      </c>
      <c r="M676" s="5" t="s">
        <v>24</v>
      </c>
      <c r="N676" s="3">
        <v>6</v>
      </c>
      <c r="O676" s="3">
        <v>10</v>
      </c>
      <c r="P676" s="5" t="b">
        <v>1</v>
      </c>
      <c r="Q676" s="3">
        <v>4</v>
      </c>
      <c r="R676" s="3">
        <v>3</v>
      </c>
      <c r="T676">
        <f t="shared" si="10"/>
        <v>1</v>
      </c>
    </row>
    <row r="677" spans="1:20">
      <c r="A677" s="5" t="s">
        <v>317</v>
      </c>
      <c r="B677" s="5" t="s">
        <v>318</v>
      </c>
      <c r="C677" s="6">
        <v>44992</v>
      </c>
      <c r="D677" s="5">
        <v>25</v>
      </c>
      <c r="E677" s="5" t="s">
        <v>36</v>
      </c>
      <c r="F677" s="5" t="s">
        <v>52</v>
      </c>
      <c r="G677" s="5" t="s">
        <v>46</v>
      </c>
      <c r="H677" s="7">
        <v>340.59</v>
      </c>
      <c r="I677" s="3">
        <v>5</v>
      </c>
      <c r="J677" s="4">
        <v>0</v>
      </c>
      <c r="K677" s="7">
        <v>1702.95</v>
      </c>
      <c r="L677" s="5" t="s">
        <v>23</v>
      </c>
      <c r="M677" s="5" t="s">
        <v>33</v>
      </c>
      <c r="N677" s="3">
        <v>5</v>
      </c>
      <c r="O677" s="3">
        <v>8</v>
      </c>
      <c r="P677" s="5" t="b">
        <v>1</v>
      </c>
      <c r="Q677" s="3">
        <v>7</v>
      </c>
      <c r="R677" s="3">
        <v>3</v>
      </c>
      <c r="T677">
        <f t="shared" si="10"/>
        <v>1</v>
      </c>
    </row>
    <row r="678" spans="1:20">
      <c r="A678" s="5" t="s">
        <v>1205</v>
      </c>
      <c r="B678" s="5" t="s">
        <v>1206</v>
      </c>
      <c r="C678" s="6">
        <v>45025</v>
      </c>
      <c r="D678" s="5">
        <v>21</v>
      </c>
      <c r="E678" s="5" t="s">
        <v>20</v>
      </c>
      <c r="F678" s="5" t="s">
        <v>88</v>
      </c>
      <c r="G678" s="5" t="s">
        <v>56</v>
      </c>
      <c r="H678" s="7">
        <v>934.88</v>
      </c>
      <c r="I678" s="3">
        <v>5</v>
      </c>
      <c r="J678" s="4">
        <v>0</v>
      </c>
      <c r="K678" s="7">
        <v>4674.3999999999996</v>
      </c>
      <c r="L678" s="5" t="s">
        <v>692</v>
      </c>
      <c r="M678" s="5" t="s">
        <v>24</v>
      </c>
      <c r="N678" s="3">
        <v>12</v>
      </c>
      <c r="O678" s="3">
        <v>6</v>
      </c>
      <c r="P678" s="5" t="b">
        <v>1</v>
      </c>
      <c r="Q678" s="3">
        <v>5</v>
      </c>
      <c r="R678" s="3">
        <v>4</v>
      </c>
      <c r="T678">
        <f t="shared" si="10"/>
        <v>1</v>
      </c>
    </row>
    <row r="679" spans="1:20">
      <c r="A679" s="5" t="s">
        <v>1207</v>
      </c>
      <c r="B679" s="5" t="s">
        <v>1208</v>
      </c>
      <c r="C679" s="6">
        <v>45142</v>
      </c>
      <c r="D679" s="5">
        <v>56</v>
      </c>
      <c r="E679" s="5" t="s">
        <v>20</v>
      </c>
      <c r="F679" s="5" t="s">
        <v>59</v>
      </c>
      <c r="G679" s="5" t="s">
        <v>115</v>
      </c>
      <c r="H679" s="7">
        <v>120.98</v>
      </c>
      <c r="I679" s="3">
        <v>3</v>
      </c>
      <c r="J679" s="4">
        <v>0</v>
      </c>
      <c r="K679" s="7">
        <v>362.94</v>
      </c>
      <c r="L679" s="5" t="s">
        <v>692</v>
      </c>
      <c r="M679" s="5" t="s">
        <v>24</v>
      </c>
      <c r="N679" s="3">
        <v>21</v>
      </c>
      <c r="O679" s="3">
        <v>11</v>
      </c>
      <c r="P679" s="5" t="b">
        <v>0</v>
      </c>
      <c r="Q679" s="3">
        <v>2</v>
      </c>
      <c r="R679" s="3">
        <v>4</v>
      </c>
      <c r="T679">
        <f t="shared" si="10"/>
        <v>1</v>
      </c>
    </row>
    <row r="680" spans="1:20">
      <c r="A680" s="5" t="s">
        <v>1209</v>
      </c>
      <c r="B680" s="5" t="s">
        <v>1210</v>
      </c>
      <c r="C680" s="6">
        <v>45267</v>
      </c>
      <c r="D680" s="5">
        <v>46</v>
      </c>
      <c r="E680" s="5" t="s">
        <v>36</v>
      </c>
      <c r="F680" s="5" t="s">
        <v>32</v>
      </c>
      <c r="G680" s="5" t="s">
        <v>115</v>
      </c>
      <c r="H680" s="7">
        <v>216.03</v>
      </c>
      <c r="I680" s="3">
        <v>1</v>
      </c>
      <c r="J680" s="4">
        <v>0</v>
      </c>
      <c r="K680" s="7">
        <v>216.03</v>
      </c>
      <c r="L680" s="5" t="s">
        <v>692</v>
      </c>
      <c r="M680" s="5" t="s">
        <v>29</v>
      </c>
      <c r="N680" s="3">
        <v>13</v>
      </c>
      <c r="O680" s="3">
        <v>8</v>
      </c>
      <c r="P680" s="5" t="b">
        <v>0</v>
      </c>
      <c r="Q680" s="3">
        <v>6</v>
      </c>
      <c r="R680" s="3">
        <v>3</v>
      </c>
      <c r="T680">
        <f t="shared" si="10"/>
        <v>1</v>
      </c>
    </row>
    <row r="681" spans="1:20">
      <c r="A681" s="5" t="s">
        <v>319</v>
      </c>
      <c r="B681" s="5" t="s">
        <v>320</v>
      </c>
      <c r="C681" s="6">
        <v>45121</v>
      </c>
      <c r="D681" s="5">
        <v>50</v>
      </c>
      <c r="E681" s="5" t="s">
        <v>36</v>
      </c>
      <c r="F681" s="5" t="s">
        <v>49</v>
      </c>
      <c r="G681" s="5" t="s">
        <v>28</v>
      </c>
      <c r="H681" s="7">
        <v>92.87</v>
      </c>
      <c r="I681" s="3">
        <v>4</v>
      </c>
      <c r="J681" s="4">
        <v>0</v>
      </c>
      <c r="K681" s="7">
        <v>371.48</v>
      </c>
      <c r="L681" s="5" t="s">
        <v>23</v>
      </c>
      <c r="M681" s="5" t="s">
        <v>33</v>
      </c>
      <c r="N681" s="3">
        <v>4</v>
      </c>
      <c r="O681" s="3">
        <v>11</v>
      </c>
      <c r="P681" s="5" t="b">
        <v>1</v>
      </c>
      <c r="Q681" s="3">
        <v>2</v>
      </c>
      <c r="R681" s="3">
        <v>1</v>
      </c>
      <c r="T681">
        <f t="shared" si="10"/>
        <v>1</v>
      </c>
    </row>
    <row r="682" spans="1:20">
      <c r="A682" s="5" t="s">
        <v>1211</v>
      </c>
      <c r="B682" s="5" t="s">
        <v>1212</v>
      </c>
      <c r="C682" s="6">
        <v>45273</v>
      </c>
      <c r="D682" s="5">
        <v>43</v>
      </c>
      <c r="E682" s="5" t="s">
        <v>20</v>
      </c>
      <c r="F682" s="5" t="s">
        <v>32</v>
      </c>
      <c r="G682" s="5" t="s">
        <v>37</v>
      </c>
      <c r="H682" s="7">
        <v>95.35</v>
      </c>
      <c r="I682" s="3">
        <v>3</v>
      </c>
      <c r="J682" s="4">
        <v>0</v>
      </c>
      <c r="K682" s="7">
        <v>286.05</v>
      </c>
      <c r="L682" s="5" t="s">
        <v>692</v>
      </c>
      <c r="M682" s="5" t="s">
        <v>29</v>
      </c>
      <c r="N682" s="3">
        <v>11</v>
      </c>
      <c r="O682" s="3">
        <v>9</v>
      </c>
      <c r="P682" s="5" t="b">
        <v>0</v>
      </c>
      <c r="Q682" s="3">
        <v>10</v>
      </c>
      <c r="R682" s="3">
        <v>1</v>
      </c>
      <c r="T682">
        <f t="shared" si="10"/>
        <v>1</v>
      </c>
    </row>
    <row r="683" spans="1:20">
      <c r="A683" s="5" t="s">
        <v>1213</v>
      </c>
      <c r="B683" s="5" t="s">
        <v>1214</v>
      </c>
      <c r="C683" s="6">
        <v>45310</v>
      </c>
      <c r="D683" s="5">
        <v>21</v>
      </c>
      <c r="E683" s="5" t="s">
        <v>20</v>
      </c>
      <c r="F683" s="5" t="s">
        <v>59</v>
      </c>
      <c r="G683" s="5" t="s">
        <v>22</v>
      </c>
      <c r="H683" s="7">
        <v>208.35</v>
      </c>
      <c r="I683" s="3">
        <v>1</v>
      </c>
      <c r="J683" s="4">
        <v>0</v>
      </c>
      <c r="K683" s="7">
        <v>208.35</v>
      </c>
      <c r="L683" s="5" t="s">
        <v>692</v>
      </c>
      <c r="M683" s="5" t="s">
        <v>24</v>
      </c>
      <c r="N683" s="3">
        <v>25</v>
      </c>
      <c r="O683" s="3">
        <v>4</v>
      </c>
      <c r="P683" s="5" t="b">
        <v>0</v>
      </c>
      <c r="Q683" s="3">
        <v>3</v>
      </c>
      <c r="R683" s="3">
        <v>3</v>
      </c>
      <c r="T683">
        <f t="shared" si="10"/>
        <v>1</v>
      </c>
    </row>
    <row r="684" spans="1:20">
      <c r="A684" s="5" t="s">
        <v>1215</v>
      </c>
      <c r="B684" s="5" t="s">
        <v>1216</v>
      </c>
      <c r="C684" s="6">
        <v>45016</v>
      </c>
      <c r="D684" s="5">
        <v>28</v>
      </c>
      <c r="E684" s="5" t="s">
        <v>20</v>
      </c>
      <c r="F684" s="5" t="s">
        <v>32</v>
      </c>
      <c r="G684" s="5" t="s">
        <v>22</v>
      </c>
      <c r="H684" s="7">
        <v>399.82</v>
      </c>
      <c r="I684" s="3">
        <v>2</v>
      </c>
      <c r="J684" s="4">
        <v>70.66</v>
      </c>
      <c r="K684" s="7">
        <v>728.98</v>
      </c>
      <c r="L684" s="5" t="s">
        <v>692</v>
      </c>
      <c r="M684" s="5" t="s">
        <v>33</v>
      </c>
      <c r="N684" s="3">
        <v>3</v>
      </c>
      <c r="O684" s="3">
        <v>12</v>
      </c>
      <c r="P684" s="5" t="b">
        <v>1</v>
      </c>
      <c r="Q684" s="3">
        <v>4</v>
      </c>
      <c r="R684" s="3">
        <v>3</v>
      </c>
      <c r="T684">
        <f t="shared" si="10"/>
        <v>1</v>
      </c>
    </row>
    <row r="685" spans="1:20">
      <c r="A685" s="5" t="s">
        <v>1217</v>
      </c>
      <c r="B685" s="5" t="s">
        <v>1218</v>
      </c>
      <c r="C685" s="6">
        <v>45242</v>
      </c>
      <c r="D685" s="5">
        <v>40</v>
      </c>
      <c r="E685" s="5" t="s">
        <v>36</v>
      </c>
      <c r="F685" s="5" t="s">
        <v>32</v>
      </c>
      <c r="G685" s="5" t="s">
        <v>115</v>
      </c>
      <c r="H685" s="7">
        <v>152.36000000000001</v>
      </c>
      <c r="I685" s="3">
        <v>1</v>
      </c>
      <c r="J685" s="4">
        <v>0</v>
      </c>
      <c r="K685" s="7">
        <v>152.36000000000001</v>
      </c>
      <c r="L685" s="5" t="s">
        <v>692</v>
      </c>
      <c r="M685" s="5" t="s">
        <v>33</v>
      </c>
      <c r="N685" s="3">
        <v>11</v>
      </c>
      <c r="O685" s="3">
        <v>8</v>
      </c>
      <c r="P685" s="5" t="b">
        <v>1</v>
      </c>
      <c r="Q685" s="3">
        <v>9</v>
      </c>
      <c r="R685" s="3">
        <v>4</v>
      </c>
      <c r="T685">
        <f t="shared" si="10"/>
        <v>1</v>
      </c>
    </row>
    <row r="686" spans="1:20">
      <c r="A686" s="5" t="s">
        <v>1219</v>
      </c>
      <c r="B686" s="5" t="s">
        <v>1220</v>
      </c>
      <c r="C686" s="6">
        <v>45218</v>
      </c>
      <c r="D686" s="5">
        <v>20</v>
      </c>
      <c r="E686" s="5" t="s">
        <v>36</v>
      </c>
      <c r="F686" s="5" t="s">
        <v>21</v>
      </c>
      <c r="G686" s="5" t="s">
        <v>22</v>
      </c>
      <c r="H686" s="7">
        <v>608.26</v>
      </c>
      <c r="I686" s="3">
        <v>1</v>
      </c>
      <c r="J686" s="4">
        <v>83.46</v>
      </c>
      <c r="K686" s="7">
        <v>524.79999999999995</v>
      </c>
      <c r="L686" s="5" t="s">
        <v>692</v>
      </c>
      <c r="M686" s="5" t="s">
        <v>24</v>
      </c>
      <c r="N686" s="3">
        <v>24</v>
      </c>
      <c r="O686" s="3">
        <v>4</v>
      </c>
      <c r="P686" s="5" t="b">
        <v>1</v>
      </c>
      <c r="Q686" s="3">
        <v>6</v>
      </c>
      <c r="R686" s="3">
        <v>4</v>
      </c>
      <c r="T686">
        <f t="shared" si="10"/>
        <v>1</v>
      </c>
    </row>
    <row r="687" spans="1:20">
      <c r="A687" s="5" t="s">
        <v>1221</v>
      </c>
      <c r="B687" s="5" t="s">
        <v>1222</v>
      </c>
      <c r="C687" s="6">
        <v>45081</v>
      </c>
      <c r="D687" s="5">
        <v>43</v>
      </c>
      <c r="E687" s="5" t="s">
        <v>36</v>
      </c>
      <c r="F687" s="5" t="s">
        <v>73</v>
      </c>
      <c r="G687" s="5" t="s">
        <v>115</v>
      </c>
      <c r="H687" s="7">
        <v>37.340000000000003</v>
      </c>
      <c r="I687" s="3">
        <v>4</v>
      </c>
      <c r="J687" s="4">
        <v>3.78</v>
      </c>
      <c r="K687" s="7">
        <v>145.58000000000001</v>
      </c>
      <c r="L687" s="5" t="s">
        <v>692</v>
      </c>
      <c r="M687" s="5" t="s">
        <v>24</v>
      </c>
      <c r="N687" s="3">
        <v>8</v>
      </c>
      <c r="O687" s="3">
        <v>7</v>
      </c>
      <c r="P687" s="5" t="b">
        <v>1</v>
      </c>
      <c r="Q687" s="3">
        <v>11</v>
      </c>
      <c r="R687" s="3">
        <v>4</v>
      </c>
      <c r="T687">
        <f t="shared" si="10"/>
        <v>1</v>
      </c>
    </row>
    <row r="688" spans="1:20">
      <c r="A688" s="5" t="s">
        <v>321</v>
      </c>
      <c r="B688" s="5" t="s">
        <v>322</v>
      </c>
      <c r="C688" s="6">
        <v>45134</v>
      </c>
      <c r="D688" s="5">
        <v>32</v>
      </c>
      <c r="E688" s="5" t="s">
        <v>36</v>
      </c>
      <c r="F688" s="5" t="s">
        <v>88</v>
      </c>
      <c r="G688" s="5" t="s">
        <v>37</v>
      </c>
      <c r="H688" s="7">
        <v>54.07</v>
      </c>
      <c r="I688" s="3">
        <v>1</v>
      </c>
      <c r="J688" s="4">
        <v>0</v>
      </c>
      <c r="K688" s="7">
        <v>54.07</v>
      </c>
      <c r="L688" s="5" t="s">
        <v>23</v>
      </c>
      <c r="M688" s="5" t="s">
        <v>33</v>
      </c>
      <c r="N688" s="3">
        <v>14</v>
      </c>
      <c r="O688" s="3">
        <v>12</v>
      </c>
      <c r="P688" s="5" t="b">
        <v>0</v>
      </c>
      <c r="Q688" s="3">
        <v>8</v>
      </c>
      <c r="R688" s="3">
        <v>5</v>
      </c>
      <c r="T688">
        <f t="shared" si="10"/>
        <v>1</v>
      </c>
    </row>
    <row r="689" spans="1:20">
      <c r="A689" s="5" t="s">
        <v>678</v>
      </c>
      <c r="B689" s="5" t="s">
        <v>679</v>
      </c>
      <c r="C689" s="6">
        <v>45207</v>
      </c>
      <c r="D689" s="5">
        <v>30</v>
      </c>
      <c r="E689" s="5" t="s">
        <v>36</v>
      </c>
      <c r="F689" s="5" t="s">
        <v>83</v>
      </c>
      <c r="G689" s="5" t="s">
        <v>28</v>
      </c>
      <c r="H689" s="7">
        <v>230.67</v>
      </c>
      <c r="I689" s="3">
        <v>1</v>
      </c>
      <c r="J689" s="4">
        <v>0</v>
      </c>
      <c r="K689" s="7">
        <v>230.67</v>
      </c>
      <c r="L689" s="5" t="s">
        <v>327</v>
      </c>
      <c r="M689" s="5" t="s">
        <v>29</v>
      </c>
      <c r="N689" s="3">
        <v>20</v>
      </c>
      <c r="O689" s="3">
        <v>7</v>
      </c>
      <c r="P689" s="5" t="b">
        <v>0</v>
      </c>
      <c r="Q689" s="3">
        <v>8</v>
      </c>
      <c r="R689" s="3">
        <v>4</v>
      </c>
      <c r="T689">
        <f t="shared" si="10"/>
        <v>1</v>
      </c>
    </row>
    <row r="690" spans="1:20">
      <c r="A690" s="5" t="s">
        <v>680</v>
      </c>
      <c r="B690" s="5" t="s">
        <v>681</v>
      </c>
      <c r="C690" s="6">
        <v>45353</v>
      </c>
      <c r="D690" s="5">
        <v>43</v>
      </c>
      <c r="E690" s="5" t="s">
        <v>36</v>
      </c>
      <c r="F690" s="5" t="s">
        <v>21</v>
      </c>
      <c r="G690" s="5" t="s">
        <v>64</v>
      </c>
      <c r="H690" s="7">
        <v>565.04999999999995</v>
      </c>
      <c r="I690" s="3">
        <v>1</v>
      </c>
      <c r="J690" s="4">
        <v>155.21</v>
      </c>
      <c r="K690" s="7">
        <v>409.84</v>
      </c>
      <c r="L690" s="5" t="s">
        <v>327</v>
      </c>
      <c r="M690" s="5" t="s">
        <v>33</v>
      </c>
      <c r="N690" s="3">
        <v>38</v>
      </c>
      <c r="O690" s="3">
        <v>8</v>
      </c>
      <c r="P690" s="5" t="b">
        <v>0</v>
      </c>
      <c r="Q690" s="3">
        <v>5</v>
      </c>
      <c r="R690" s="3">
        <v>2</v>
      </c>
      <c r="T690">
        <f t="shared" si="10"/>
        <v>1</v>
      </c>
    </row>
    <row r="691" spans="1:20">
      <c r="A691" s="5" t="s">
        <v>1294</v>
      </c>
      <c r="B691" s="5" t="s">
        <v>1295</v>
      </c>
      <c r="C691" s="6">
        <v>44927</v>
      </c>
      <c r="D691" s="5">
        <v>40</v>
      </c>
      <c r="E691" s="5" t="s">
        <v>36</v>
      </c>
      <c r="F691" s="5" t="s">
        <v>32</v>
      </c>
      <c r="G691" s="5" t="s">
        <v>46</v>
      </c>
      <c r="H691" s="7">
        <v>755.61</v>
      </c>
      <c r="I691" s="3">
        <v>5</v>
      </c>
      <c r="J691" s="4">
        <v>0</v>
      </c>
      <c r="K691" s="7">
        <v>3778.05</v>
      </c>
      <c r="L691" s="5" t="s">
        <v>1231</v>
      </c>
      <c r="M691" s="5" t="s">
        <v>24</v>
      </c>
      <c r="N691" s="3">
        <v>21</v>
      </c>
      <c r="O691" s="3">
        <v>10</v>
      </c>
      <c r="P691" s="5" t="b">
        <v>1</v>
      </c>
      <c r="Q691" s="3">
        <v>7</v>
      </c>
      <c r="R691" s="3">
        <v>4</v>
      </c>
      <c r="T691">
        <f t="shared" si="10"/>
        <v>1</v>
      </c>
    </row>
    <row r="692" spans="1:20">
      <c r="A692" s="5" t="s">
        <v>682</v>
      </c>
      <c r="B692" s="5" t="s">
        <v>683</v>
      </c>
      <c r="C692" s="6">
        <v>45082</v>
      </c>
      <c r="D692" s="5">
        <v>30</v>
      </c>
      <c r="E692" s="5" t="s">
        <v>20</v>
      </c>
      <c r="F692" s="5" t="s">
        <v>27</v>
      </c>
      <c r="G692" s="5" t="s">
        <v>56</v>
      </c>
      <c r="H692" s="7">
        <v>584.54999999999995</v>
      </c>
      <c r="I692" s="3">
        <v>1</v>
      </c>
      <c r="J692" s="4">
        <v>0</v>
      </c>
      <c r="K692" s="7">
        <v>584.54999999999995</v>
      </c>
      <c r="L692" s="5" t="s">
        <v>327</v>
      </c>
      <c r="M692" s="5" t="s">
        <v>29</v>
      </c>
      <c r="N692" s="3">
        <v>6</v>
      </c>
      <c r="O692" s="3">
        <v>12</v>
      </c>
      <c r="P692" s="5" t="b">
        <v>0</v>
      </c>
      <c r="Q692" s="3">
        <v>5</v>
      </c>
      <c r="R692" s="3">
        <v>5</v>
      </c>
      <c r="T692">
        <f t="shared" si="10"/>
        <v>1</v>
      </c>
    </row>
    <row r="693" spans="1:20">
      <c r="A693" s="5" t="s">
        <v>1443</v>
      </c>
      <c r="B693" s="5" t="s">
        <v>1444</v>
      </c>
      <c r="C693" s="6">
        <v>45073</v>
      </c>
      <c r="D693" s="5">
        <v>48</v>
      </c>
      <c r="E693" s="5" t="s">
        <v>122</v>
      </c>
      <c r="F693" s="5" t="s">
        <v>73</v>
      </c>
      <c r="G693" s="5" t="s">
        <v>115</v>
      </c>
      <c r="H693" s="7">
        <v>136.6</v>
      </c>
      <c r="I693" s="3">
        <v>3</v>
      </c>
      <c r="J693" s="4">
        <v>27.29</v>
      </c>
      <c r="K693" s="7">
        <v>382.51</v>
      </c>
      <c r="L693" s="5" t="s">
        <v>1298</v>
      </c>
      <c r="M693" s="5" t="s">
        <v>33</v>
      </c>
      <c r="N693" s="3">
        <v>28</v>
      </c>
      <c r="O693" s="3">
        <v>6</v>
      </c>
      <c r="P693" s="5" t="b">
        <v>1</v>
      </c>
      <c r="Q693" s="3">
        <v>7</v>
      </c>
      <c r="R693" s="3">
        <v>5</v>
      </c>
      <c r="T693">
        <f t="shared" si="10"/>
        <v>1</v>
      </c>
    </row>
    <row r="694" spans="1:20">
      <c r="A694" s="5" t="s">
        <v>1223</v>
      </c>
      <c r="B694" s="5" t="s">
        <v>1224</v>
      </c>
      <c r="C694" s="6">
        <v>45034</v>
      </c>
      <c r="D694" s="5">
        <v>22</v>
      </c>
      <c r="E694" s="5" t="s">
        <v>20</v>
      </c>
      <c r="F694" s="5" t="s">
        <v>21</v>
      </c>
      <c r="G694" s="5" t="s">
        <v>46</v>
      </c>
      <c r="H694" s="7">
        <v>914.24</v>
      </c>
      <c r="I694" s="3">
        <v>1</v>
      </c>
      <c r="J694" s="4">
        <v>0</v>
      </c>
      <c r="K694" s="7">
        <v>914.24</v>
      </c>
      <c r="L694" s="5" t="s">
        <v>692</v>
      </c>
      <c r="M694" s="5" t="s">
        <v>33</v>
      </c>
      <c r="N694" s="3">
        <v>15</v>
      </c>
      <c r="O694" s="3">
        <v>14</v>
      </c>
      <c r="P694" s="5" t="b">
        <v>0</v>
      </c>
      <c r="Q694" s="3">
        <v>12</v>
      </c>
      <c r="R694" s="3">
        <v>3</v>
      </c>
      <c r="T694">
        <f t="shared" si="10"/>
        <v>1</v>
      </c>
    </row>
    <row r="695" spans="1:20">
      <c r="A695" s="5" t="s">
        <v>684</v>
      </c>
      <c r="B695" s="5" t="s">
        <v>685</v>
      </c>
      <c r="C695" s="6">
        <v>45147</v>
      </c>
      <c r="D695" s="5">
        <v>42</v>
      </c>
      <c r="E695" s="5" t="s">
        <v>20</v>
      </c>
      <c r="F695" s="5" t="s">
        <v>52</v>
      </c>
      <c r="G695" s="5" t="s">
        <v>28</v>
      </c>
      <c r="H695" s="7">
        <v>161.82</v>
      </c>
      <c r="I695" s="3">
        <v>1</v>
      </c>
      <c r="J695" s="4">
        <v>0</v>
      </c>
      <c r="K695" s="7">
        <v>161.82</v>
      </c>
      <c r="L695" s="5" t="s">
        <v>327</v>
      </c>
      <c r="M695" s="5" t="s">
        <v>24</v>
      </c>
      <c r="N695" s="3">
        <v>6</v>
      </c>
      <c r="O695" s="3">
        <v>9</v>
      </c>
      <c r="P695" s="5" t="b">
        <v>1</v>
      </c>
      <c r="Q695" s="3">
        <v>8</v>
      </c>
      <c r="R695" s="3">
        <v>3</v>
      </c>
      <c r="T695">
        <f t="shared" si="10"/>
        <v>1</v>
      </c>
    </row>
    <row r="696" spans="1:20">
      <c r="A696" s="5" t="s">
        <v>1225</v>
      </c>
      <c r="B696" s="5" t="s">
        <v>1226</v>
      </c>
      <c r="C696" s="6">
        <v>45329</v>
      </c>
      <c r="D696" s="5">
        <v>42</v>
      </c>
      <c r="E696" s="5" t="s">
        <v>36</v>
      </c>
      <c r="F696" s="5" t="s">
        <v>21</v>
      </c>
      <c r="G696" s="5" t="s">
        <v>22</v>
      </c>
      <c r="H696" s="7">
        <v>94.57</v>
      </c>
      <c r="I696" s="3">
        <v>1</v>
      </c>
      <c r="J696" s="4">
        <v>0</v>
      </c>
      <c r="K696" s="7">
        <v>94.57</v>
      </c>
      <c r="L696" s="5" t="s">
        <v>692</v>
      </c>
      <c r="M696" s="5" t="s">
        <v>24</v>
      </c>
      <c r="N696" s="3">
        <v>3</v>
      </c>
      <c r="O696" s="3">
        <v>11</v>
      </c>
      <c r="P696" s="5" t="b">
        <v>1</v>
      </c>
      <c r="Q696" s="3">
        <v>7</v>
      </c>
      <c r="R696" s="3">
        <v>4</v>
      </c>
      <c r="T696">
        <f t="shared" si="10"/>
        <v>1</v>
      </c>
    </row>
    <row r="697" spans="1:20">
      <c r="A697" s="5" t="s">
        <v>686</v>
      </c>
      <c r="B697" s="5" t="s">
        <v>687</v>
      </c>
      <c r="C697" s="6">
        <v>45223</v>
      </c>
      <c r="D697" s="5">
        <v>31</v>
      </c>
      <c r="E697" s="5" t="s">
        <v>20</v>
      </c>
      <c r="F697" s="5" t="s">
        <v>52</v>
      </c>
      <c r="G697" s="5" t="s">
        <v>46</v>
      </c>
      <c r="H697" s="7">
        <v>178.05</v>
      </c>
      <c r="I697" s="3">
        <v>1</v>
      </c>
      <c r="J697" s="4">
        <v>0</v>
      </c>
      <c r="K697" s="7">
        <v>178.05</v>
      </c>
      <c r="L697" s="5" t="s">
        <v>327</v>
      </c>
      <c r="M697" s="5" t="s">
        <v>24</v>
      </c>
      <c r="N697" s="3">
        <v>5</v>
      </c>
      <c r="O697" s="3">
        <v>7</v>
      </c>
      <c r="P697" s="5" t="b">
        <v>0</v>
      </c>
      <c r="Q697" s="3">
        <v>11</v>
      </c>
      <c r="R697" s="3">
        <v>4</v>
      </c>
      <c r="T697">
        <f t="shared" si="10"/>
        <v>1</v>
      </c>
    </row>
    <row r="698" spans="1:20">
      <c r="A698" s="5" t="s">
        <v>688</v>
      </c>
      <c r="B698" s="5" t="s">
        <v>689</v>
      </c>
      <c r="C698" s="6">
        <v>45237</v>
      </c>
      <c r="D698" s="5">
        <v>38</v>
      </c>
      <c r="E698" s="5" t="s">
        <v>36</v>
      </c>
      <c r="F698" s="5" t="s">
        <v>27</v>
      </c>
      <c r="G698" s="5" t="s">
        <v>64</v>
      </c>
      <c r="H698" s="7">
        <v>1499.61</v>
      </c>
      <c r="I698" s="3">
        <v>1</v>
      </c>
      <c r="J698" s="4">
        <v>0</v>
      </c>
      <c r="K698" s="7">
        <v>1499.61</v>
      </c>
      <c r="L698" s="5" t="s">
        <v>327</v>
      </c>
      <c r="M698" s="5" t="s">
        <v>33</v>
      </c>
      <c r="N698" s="3">
        <v>9</v>
      </c>
      <c r="O698" s="3">
        <v>8</v>
      </c>
      <c r="P698" s="5" t="b">
        <v>0</v>
      </c>
      <c r="Q698" s="3">
        <v>6</v>
      </c>
      <c r="R698" s="3">
        <v>4</v>
      </c>
      <c r="T698">
        <f t="shared" si="10"/>
        <v>1</v>
      </c>
    </row>
    <row r="699" spans="1:20">
      <c r="A699" s="5" t="s">
        <v>1227</v>
      </c>
      <c r="B699" s="5" t="s">
        <v>1228</v>
      </c>
      <c r="C699" s="6">
        <v>45262</v>
      </c>
      <c r="D699" s="5">
        <v>19</v>
      </c>
      <c r="E699" s="5" t="s">
        <v>36</v>
      </c>
      <c r="F699" s="5" t="s">
        <v>73</v>
      </c>
      <c r="G699" s="5" t="s">
        <v>53</v>
      </c>
      <c r="H699" s="7">
        <v>65.7</v>
      </c>
      <c r="I699" s="3">
        <v>3</v>
      </c>
      <c r="J699" s="4">
        <v>0</v>
      </c>
      <c r="K699" s="7">
        <v>197.1</v>
      </c>
      <c r="L699" s="5" t="s">
        <v>692</v>
      </c>
      <c r="M699" s="5" t="s">
        <v>24</v>
      </c>
      <c r="N699" s="3">
        <v>13</v>
      </c>
      <c r="O699" s="3">
        <v>4</v>
      </c>
      <c r="P699" s="5" t="b">
        <v>1</v>
      </c>
      <c r="Q699" s="3">
        <v>4</v>
      </c>
      <c r="R699" s="3">
        <v>4</v>
      </c>
      <c r="T699">
        <f t="shared" si="10"/>
        <v>1</v>
      </c>
    </row>
    <row r="700" spans="1:20">
      <c r="A700" s="5" t="s">
        <v>323</v>
      </c>
      <c r="B700" s="5" t="s">
        <v>324</v>
      </c>
      <c r="C700" s="6">
        <v>45091</v>
      </c>
      <c r="D700" s="5">
        <v>46</v>
      </c>
      <c r="E700" s="5" t="s">
        <v>20</v>
      </c>
      <c r="F700" s="5" t="s">
        <v>88</v>
      </c>
      <c r="G700" s="5" t="s">
        <v>28</v>
      </c>
      <c r="H700" s="7">
        <v>116.5</v>
      </c>
      <c r="I700" s="3">
        <v>2</v>
      </c>
      <c r="J700" s="4">
        <v>10</v>
      </c>
      <c r="K700" s="7">
        <v>223</v>
      </c>
      <c r="L700" s="5" t="s">
        <v>23</v>
      </c>
      <c r="M700" s="5" t="s">
        <v>33</v>
      </c>
      <c r="N700" s="3">
        <v>15</v>
      </c>
      <c r="O700" s="3">
        <v>11</v>
      </c>
      <c r="P700" s="5" t="b">
        <v>0</v>
      </c>
      <c r="Q700" s="3">
        <v>11</v>
      </c>
      <c r="R700" s="3">
        <v>3</v>
      </c>
      <c r="T700">
        <f t="shared" si="10"/>
        <v>1</v>
      </c>
    </row>
  </sheetData>
  <sortState xmlns:xlrd2="http://schemas.microsoft.com/office/spreadsheetml/2017/richdata2" ref="A2:R701">
    <sortCondition ref="A2:A701"/>
  </sortState>
  <mergeCells count="4">
    <mergeCell ref="X4:AB5"/>
    <mergeCell ref="X7:AB8"/>
    <mergeCell ref="X10:AB11"/>
    <mergeCell ref="X13:A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E83A-C763-42BD-8254-4EE31DD9DA67}">
  <dimension ref="A1:AB700"/>
  <sheetViews>
    <sheetView topLeftCell="Q1" workbookViewId="0">
      <selection activeCell="X8" sqref="X8:AB10"/>
    </sheetView>
  </sheetViews>
  <sheetFormatPr defaultRowHeight="15"/>
  <cols>
    <col min="1" max="1" width="15.85546875" customWidth="1"/>
    <col min="2" max="2" width="14.85546875" customWidth="1"/>
    <col min="3" max="3" width="16" customWidth="1"/>
    <col min="5" max="5" width="13.5703125" customWidth="1"/>
    <col min="6" max="6" width="14.42578125" customWidth="1"/>
    <col min="7" max="7" width="15.85546875" customWidth="1"/>
    <col min="8" max="8" width="10.140625" customWidth="1"/>
    <col min="9" max="10" width="12.85546875" customWidth="1"/>
    <col min="11" max="12" width="13" customWidth="1"/>
    <col min="13" max="13" width="12.42578125" customWidth="1"/>
    <col min="14" max="14" width="15.140625" customWidth="1"/>
    <col min="15" max="15" width="12.140625" customWidth="1"/>
    <col min="16" max="16" width="16.85546875" customWidth="1"/>
    <col min="17" max="17" width="12.42578125" customWidth="1"/>
    <col min="18" max="18" width="17.42578125" customWidth="1"/>
    <col min="19" max="19" width="12" customWidth="1"/>
    <col min="20" max="20" width="14.42578125" customWidth="1"/>
  </cols>
  <sheetData>
    <row r="1" spans="1:28" ht="54.75" customHeight="1">
      <c r="A1" s="2" t="s">
        <v>1445</v>
      </c>
      <c r="B1" s="2" t="s">
        <v>1446</v>
      </c>
      <c r="C1" s="2" t="s">
        <v>1447</v>
      </c>
      <c r="D1" s="2" t="s">
        <v>1448</v>
      </c>
      <c r="E1" s="2" t="s">
        <v>1449</v>
      </c>
      <c r="F1" s="2" t="s">
        <v>1450</v>
      </c>
      <c r="G1" s="2" t="s">
        <v>1451</v>
      </c>
      <c r="H1" s="2" t="s">
        <v>1452</v>
      </c>
      <c r="I1" s="2" t="s">
        <v>1453</v>
      </c>
      <c r="J1" s="2" t="s">
        <v>1466</v>
      </c>
      <c r="K1" s="2" t="s">
        <v>1454</v>
      </c>
      <c r="L1" s="2" t="s">
        <v>1467</v>
      </c>
      <c r="M1" s="2" t="s">
        <v>1455</v>
      </c>
      <c r="N1" s="2" t="s">
        <v>1456</v>
      </c>
      <c r="O1" s="2" t="s">
        <v>1457</v>
      </c>
      <c r="P1" s="2" t="s">
        <v>1458</v>
      </c>
      <c r="Q1" s="2" t="s">
        <v>1459</v>
      </c>
      <c r="R1" s="2" t="s">
        <v>1460</v>
      </c>
      <c r="S1" s="2" t="s">
        <v>1461</v>
      </c>
      <c r="T1" s="2" t="s">
        <v>1462</v>
      </c>
    </row>
    <row r="2" spans="1:28">
      <c r="A2" s="5" t="s">
        <v>325</v>
      </c>
      <c r="B2" s="5" t="s">
        <v>326</v>
      </c>
      <c r="C2" s="6">
        <v>45254</v>
      </c>
      <c r="D2" s="8">
        <v>40</v>
      </c>
      <c r="E2" s="5" t="s">
        <v>20</v>
      </c>
      <c r="F2" s="5" t="s">
        <v>52</v>
      </c>
      <c r="G2" s="5" t="s">
        <v>115</v>
      </c>
      <c r="H2" s="7">
        <v>54.83</v>
      </c>
      <c r="I2" s="3">
        <v>4</v>
      </c>
      <c r="J2" s="3">
        <f>H2*I2</f>
        <v>219.32</v>
      </c>
      <c r="K2" s="4">
        <v>0</v>
      </c>
      <c r="L2" s="23">
        <f>IF(J2=0,0,K2/J2)</f>
        <v>0</v>
      </c>
      <c r="M2" s="7">
        <v>219.32</v>
      </c>
      <c r="N2" s="5" t="s">
        <v>327</v>
      </c>
      <c r="O2" s="5" t="s">
        <v>33</v>
      </c>
      <c r="P2" s="3">
        <v>8</v>
      </c>
      <c r="Q2" s="3">
        <v>9</v>
      </c>
      <c r="R2" s="5" t="b">
        <v>1</v>
      </c>
      <c r="S2" s="3">
        <v>8</v>
      </c>
      <c r="T2" s="3">
        <v>4</v>
      </c>
    </row>
    <row r="3" spans="1:28">
      <c r="A3" s="5" t="s">
        <v>328</v>
      </c>
      <c r="B3" s="5" t="s">
        <v>329</v>
      </c>
      <c r="C3" s="6">
        <v>44984</v>
      </c>
      <c r="D3" s="8">
        <v>33</v>
      </c>
      <c r="E3" s="5" t="s">
        <v>20</v>
      </c>
      <c r="F3" s="5" t="s">
        <v>32</v>
      </c>
      <c r="G3" s="5" t="s">
        <v>22</v>
      </c>
      <c r="H3" s="7">
        <v>166.17</v>
      </c>
      <c r="I3" s="3">
        <v>2</v>
      </c>
      <c r="J3" s="3">
        <f t="shared" ref="J3:J66" si="0">H3*I3</f>
        <v>332.34</v>
      </c>
      <c r="K3" s="4">
        <v>0</v>
      </c>
      <c r="L3" s="23">
        <f t="shared" ref="L3:L66" si="1">IF(J3=0,0,K3/J3)</f>
        <v>0</v>
      </c>
      <c r="M3" s="7">
        <v>332.34</v>
      </c>
      <c r="N3" s="5" t="s">
        <v>327</v>
      </c>
      <c r="O3" s="5" t="s">
        <v>33</v>
      </c>
      <c r="P3" s="3">
        <v>3</v>
      </c>
      <c r="Q3" s="3">
        <v>8</v>
      </c>
      <c r="R3" s="5" t="b">
        <v>1</v>
      </c>
      <c r="S3" s="3">
        <v>8</v>
      </c>
      <c r="T3" s="3">
        <v>5</v>
      </c>
      <c r="X3" s="52" t="s">
        <v>1468</v>
      </c>
      <c r="Y3" s="53"/>
      <c r="Z3" s="53"/>
      <c r="AA3" s="53"/>
      <c r="AB3" s="54"/>
    </row>
    <row r="4" spans="1:28">
      <c r="A4" s="5" t="s">
        <v>330</v>
      </c>
      <c r="B4" s="5" t="s">
        <v>331</v>
      </c>
      <c r="C4" s="6">
        <v>44939</v>
      </c>
      <c r="D4" s="8">
        <v>42</v>
      </c>
      <c r="E4" s="5" t="s">
        <v>20</v>
      </c>
      <c r="F4" s="5" t="s">
        <v>88</v>
      </c>
      <c r="G4" s="5" t="s">
        <v>115</v>
      </c>
      <c r="H4" s="7">
        <v>66.44</v>
      </c>
      <c r="I4" s="3">
        <v>1</v>
      </c>
      <c r="J4" s="3">
        <f t="shared" si="0"/>
        <v>66.44</v>
      </c>
      <c r="K4" s="4">
        <v>0</v>
      </c>
      <c r="L4" s="23">
        <f t="shared" si="1"/>
        <v>0</v>
      </c>
      <c r="M4" s="7">
        <v>66.44</v>
      </c>
      <c r="N4" s="5" t="s">
        <v>327</v>
      </c>
      <c r="O4" s="5" t="s">
        <v>24</v>
      </c>
      <c r="P4" s="3">
        <v>9</v>
      </c>
      <c r="Q4" s="3">
        <v>5</v>
      </c>
      <c r="R4" s="5" t="b">
        <v>0</v>
      </c>
      <c r="S4" s="3">
        <v>3</v>
      </c>
      <c r="T4" s="3">
        <v>5</v>
      </c>
      <c r="X4" s="55"/>
      <c r="Y4" s="56"/>
      <c r="Z4" s="56"/>
      <c r="AA4" s="56"/>
      <c r="AB4" s="57"/>
    </row>
    <row r="5" spans="1:28">
      <c r="A5" s="5" t="s">
        <v>1296</v>
      </c>
      <c r="B5" s="5" t="s">
        <v>1297</v>
      </c>
      <c r="C5" s="6">
        <v>45306</v>
      </c>
      <c r="D5" s="8">
        <v>53</v>
      </c>
      <c r="E5" s="5" t="s">
        <v>20</v>
      </c>
      <c r="F5" s="5" t="s">
        <v>21</v>
      </c>
      <c r="G5" s="5" t="s">
        <v>115</v>
      </c>
      <c r="H5" s="7">
        <v>112.65</v>
      </c>
      <c r="I5" s="3">
        <v>1</v>
      </c>
      <c r="J5" s="3">
        <f t="shared" si="0"/>
        <v>112.65</v>
      </c>
      <c r="K5" s="4">
        <v>0</v>
      </c>
      <c r="L5" s="23">
        <f t="shared" si="1"/>
        <v>0</v>
      </c>
      <c r="M5" s="7">
        <v>112.65</v>
      </c>
      <c r="N5" s="5" t="s">
        <v>1298</v>
      </c>
      <c r="O5" s="5" t="s">
        <v>33</v>
      </c>
      <c r="P5" s="3">
        <v>9</v>
      </c>
      <c r="Q5" s="3">
        <v>6</v>
      </c>
      <c r="R5" s="5" t="b">
        <v>0</v>
      </c>
      <c r="S5" s="3">
        <v>5</v>
      </c>
      <c r="T5" s="3">
        <v>4</v>
      </c>
      <c r="X5" s="55"/>
      <c r="Y5" s="56"/>
      <c r="Z5" s="56"/>
      <c r="AA5" s="56"/>
      <c r="AB5" s="57"/>
    </row>
    <row r="6" spans="1:28">
      <c r="A6" s="5" t="s">
        <v>1299</v>
      </c>
      <c r="B6" s="5" t="s">
        <v>1300</v>
      </c>
      <c r="C6" s="6">
        <v>45067</v>
      </c>
      <c r="D6" s="8">
        <v>32</v>
      </c>
      <c r="E6" s="5" t="s">
        <v>20</v>
      </c>
      <c r="F6" s="5" t="s">
        <v>52</v>
      </c>
      <c r="G6" s="5" t="s">
        <v>53</v>
      </c>
      <c r="H6" s="7">
        <v>69.89</v>
      </c>
      <c r="I6" s="3">
        <v>5</v>
      </c>
      <c r="J6" s="3">
        <f t="shared" si="0"/>
        <v>349.45</v>
      </c>
      <c r="K6" s="4">
        <v>0</v>
      </c>
      <c r="L6" s="23">
        <f t="shared" si="1"/>
        <v>0</v>
      </c>
      <c r="M6" s="7">
        <v>349.45</v>
      </c>
      <c r="N6" s="5" t="s">
        <v>1298</v>
      </c>
      <c r="O6" s="5" t="s">
        <v>33</v>
      </c>
      <c r="P6" s="3">
        <v>13</v>
      </c>
      <c r="Q6" s="3">
        <v>7</v>
      </c>
      <c r="R6" s="5" t="b">
        <v>0</v>
      </c>
      <c r="S6" s="3">
        <v>3</v>
      </c>
      <c r="T6" s="3">
        <v>3</v>
      </c>
      <c r="X6" s="58"/>
      <c r="Y6" s="59"/>
      <c r="Z6" s="59"/>
      <c r="AA6" s="59"/>
      <c r="AB6" s="60"/>
    </row>
    <row r="7" spans="1:28">
      <c r="A7" s="5" t="s">
        <v>690</v>
      </c>
      <c r="B7" s="5" t="s">
        <v>691</v>
      </c>
      <c r="C7" s="6">
        <v>45052</v>
      </c>
      <c r="D7" s="8">
        <v>32</v>
      </c>
      <c r="E7" s="5" t="s">
        <v>36</v>
      </c>
      <c r="F7" s="5" t="s">
        <v>32</v>
      </c>
      <c r="G7" s="5" t="s">
        <v>115</v>
      </c>
      <c r="H7" s="7">
        <v>131.96</v>
      </c>
      <c r="I7" s="3">
        <v>1</v>
      </c>
      <c r="J7" s="3">
        <f t="shared" si="0"/>
        <v>131.96</v>
      </c>
      <c r="K7" s="4">
        <v>0</v>
      </c>
      <c r="L7" s="23">
        <f t="shared" si="1"/>
        <v>0</v>
      </c>
      <c r="M7" s="7">
        <v>131.96</v>
      </c>
      <c r="N7" s="5" t="s">
        <v>692</v>
      </c>
      <c r="O7" s="5" t="s">
        <v>24</v>
      </c>
      <c r="P7" s="3">
        <v>17</v>
      </c>
      <c r="Q7" s="3">
        <v>9</v>
      </c>
      <c r="R7" s="5" t="b">
        <v>1</v>
      </c>
      <c r="S7" s="3">
        <v>4</v>
      </c>
      <c r="T7" s="3">
        <v>5</v>
      </c>
      <c r="X7" t="s">
        <v>1469</v>
      </c>
    </row>
    <row r="8" spans="1:28">
      <c r="A8" s="5" t="s">
        <v>693</v>
      </c>
      <c r="B8" s="5" t="s">
        <v>694</v>
      </c>
      <c r="C8" s="6">
        <v>45041</v>
      </c>
      <c r="D8" s="8">
        <v>53</v>
      </c>
      <c r="E8" s="5" t="s">
        <v>36</v>
      </c>
      <c r="F8" s="5" t="s">
        <v>52</v>
      </c>
      <c r="G8" s="5" t="s">
        <v>115</v>
      </c>
      <c r="H8" s="7">
        <v>53.11</v>
      </c>
      <c r="I8" s="3">
        <v>3</v>
      </c>
      <c r="J8" s="3">
        <f t="shared" si="0"/>
        <v>159.32999999999998</v>
      </c>
      <c r="K8" s="4">
        <v>8.92</v>
      </c>
      <c r="L8" s="23">
        <f t="shared" si="1"/>
        <v>5.5984434820812154E-2</v>
      </c>
      <c r="M8" s="7">
        <v>150.41</v>
      </c>
      <c r="N8" s="5" t="s">
        <v>692</v>
      </c>
      <c r="O8" s="5" t="s">
        <v>24</v>
      </c>
      <c r="P8" s="3">
        <v>19</v>
      </c>
      <c r="Q8" s="3">
        <v>13</v>
      </c>
      <c r="R8" s="5" t="b">
        <v>1</v>
      </c>
      <c r="S8" s="3">
        <v>2</v>
      </c>
      <c r="T8" s="3">
        <v>3</v>
      </c>
      <c r="X8" s="61" t="s">
        <v>1470</v>
      </c>
      <c r="Y8" s="62"/>
      <c r="Z8" s="62"/>
      <c r="AA8" s="62"/>
      <c r="AB8" s="63"/>
    </row>
    <row r="9" spans="1:28">
      <c r="A9" s="5" t="s">
        <v>332</v>
      </c>
      <c r="B9" s="5" t="s">
        <v>333</v>
      </c>
      <c r="C9" s="6">
        <v>44998</v>
      </c>
      <c r="D9" s="8">
        <v>44</v>
      </c>
      <c r="E9" s="5" t="s">
        <v>36</v>
      </c>
      <c r="F9" s="5" t="s">
        <v>88</v>
      </c>
      <c r="G9" s="5" t="s">
        <v>115</v>
      </c>
      <c r="H9" s="7">
        <v>24.55</v>
      </c>
      <c r="I9" s="3">
        <v>2</v>
      </c>
      <c r="J9" s="3">
        <f t="shared" si="0"/>
        <v>49.1</v>
      </c>
      <c r="K9" s="4">
        <v>0</v>
      </c>
      <c r="L9" s="23">
        <f t="shared" si="1"/>
        <v>0</v>
      </c>
      <c r="M9" s="7">
        <v>49.1</v>
      </c>
      <c r="N9" s="5" t="s">
        <v>327</v>
      </c>
      <c r="O9" s="5" t="s">
        <v>24</v>
      </c>
      <c r="P9" s="3">
        <v>15</v>
      </c>
      <c r="Q9" s="3">
        <v>8</v>
      </c>
      <c r="R9" s="5" t="b">
        <v>0</v>
      </c>
      <c r="S9" s="3">
        <v>7</v>
      </c>
      <c r="T9" s="3">
        <v>5</v>
      </c>
      <c r="X9" s="64"/>
      <c r="Y9" s="65"/>
      <c r="Z9" s="65"/>
      <c r="AA9" s="65"/>
      <c r="AB9" s="66"/>
    </row>
    <row r="10" spans="1:28">
      <c r="A10" s="5" t="s">
        <v>695</v>
      </c>
      <c r="B10" s="5" t="s">
        <v>696</v>
      </c>
      <c r="C10" s="6">
        <v>45304</v>
      </c>
      <c r="D10" s="8">
        <v>29</v>
      </c>
      <c r="E10" s="5" t="s">
        <v>20</v>
      </c>
      <c r="F10" s="5" t="s">
        <v>52</v>
      </c>
      <c r="G10" s="5" t="s">
        <v>37</v>
      </c>
      <c r="H10" s="7">
        <v>58.93</v>
      </c>
      <c r="I10" s="3">
        <v>1</v>
      </c>
      <c r="J10" s="3">
        <f t="shared" si="0"/>
        <v>58.93</v>
      </c>
      <c r="K10" s="4">
        <v>3.04</v>
      </c>
      <c r="L10" s="23">
        <f t="shared" si="1"/>
        <v>5.1586628202952657E-2</v>
      </c>
      <c r="M10" s="7">
        <v>55.89</v>
      </c>
      <c r="N10" s="5" t="s">
        <v>692</v>
      </c>
      <c r="O10" s="5" t="s">
        <v>24</v>
      </c>
      <c r="P10" s="3">
        <v>13</v>
      </c>
      <c r="Q10" s="3">
        <v>3</v>
      </c>
      <c r="R10" s="5" t="b">
        <v>0</v>
      </c>
      <c r="S10" s="3">
        <v>14</v>
      </c>
      <c r="T10" s="3">
        <v>3</v>
      </c>
      <c r="X10" s="67"/>
      <c r="Y10" s="68"/>
      <c r="Z10" s="68"/>
      <c r="AA10" s="68"/>
      <c r="AB10" s="69"/>
    </row>
    <row r="11" spans="1:28">
      <c r="A11" s="5" t="s">
        <v>697</v>
      </c>
      <c r="B11" s="5" t="s">
        <v>698</v>
      </c>
      <c r="C11" s="6">
        <v>44979</v>
      </c>
      <c r="D11" s="8">
        <v>41</v>
      </c>
      <c r="E11" s="5" t="s">
        <v>20</v>
      </c>
      <c r="F11" s="5" t="s">
        <v>76</v>
      </c>
      <c r="G11" s="5" t="s">
        <v>56</v>
      </c>
      <c r="H11" s="7">
        <v>114.37</v>
      </c>
      <c r="I11" s="3">
        <v>2</v>
      </c>
      <c r="J11" s="3">
        <f t="shared" si="0"/>
        <v>228.74</v>
      </c>
      <c r="K11" s="4">
        <v>13.61</v>
      </c>
      <c r="L11" s="23">
        <f t="shared" si="1"/>
        <v>5.9499868846725534E-2</v>
      </c>
      <c r="M11" s="7">
        <v>215.13</v>
      </c>
      <c r="N11" s="5" t="s">
        <v>692</v>
      </c>
      <c r="O11" s="5" t="s">
        <v>24</v>
      </c>
      <c r="P11" s="3">
        <v>22</v>
      </c>
      <c r="Q11" s="3">
        <v>9</v>
      </c>
      <c r="R11" s="5" t="b">
        <v>1</v>
      </c>
      <c r="S11" s="3">
        <v>5</v>
      </c>
      <c r="T11" s="3">
        <v>5</v>
      </c>
    </row>
    <row r="12" spans="1:28">
      <c r="A12" s="5" t="s">
        <v>699</v>
      </c>
      <c r="B12" s="5" t="s">
        <v>700</v>
      </c>
      <c r="C12" s="6">
        <v>45273</v>
      </c>
      <c r="D12" s="8">
        <v>29</v>
      </c>
      <c r="E12" s="5" t="s">
        <v>20</v>
      </c>
      <c r="F12" s="5" t="s">
        <v>76</v>
      </c>
      <c r="G12" s="5" t="s">
        <v>64</v>
      </c>
      <c r="H12" s="7">
        <v>770.72</v>
      </c>
      <c r="I12" s="3">
        <v>1</v>
      </c>
      <c r="J12" s="3">
        <f t="shared" si="0"/>
        <v>770.72</v>
      </c>
      <c r="K12" s="4">
        <v>0</v>
      </c>
      <c r="L12" s="23">
        <f t="shared" si="1"/>
        <v>0</v>
      </c>
      <c r="M12" s="7">
        <v>770.72</v>
      </c>
      <c r="N12" s="5" t="s">
        <v>692</v>
      </c>
      <c r="O12" s="5" t="s">
        <v>33</v>
      </c>
      <c r="P12" s="3">
        <v>11</v>
      </c>
      <c r="Q12" s="3">
        <v>8</v>
      </c>
      <c r="R12" s="5" t="b">
        <v>1</v>
      </c>
      <c r="S12" s="3">
        <v>11</v>
      </c>
      <c r="T12" s="3">
        <v>4</v>
      </c>
    </row>
    <row r="13" spans="1:28">
      <c r="A13" s="5" t="s">
        <v>701</v>
      </c>
      <c r="B13" s="5" t="s">
        <v>702</v>
      </c>
      <c r="C13" s="6">
        <v>45306</v>
      </c>
      <c r="D13" s="8">
        <v>29</v>
      </c>
      <c r="E13" s="5" t="s">
        <v>122</v>
      </c>
      <c r="F13" s="5" t="s">
        <v>32</v>
      </c>
      <c r="G13" s="5" t="s">
        <v>28</v>
      </c>
      <c r="H13" s="7">
        <v>218.03</v>
      </c>
      <c r="I13" s="3">
        <v>5</v>
      </c>
      <c r="J13" s="3">
        <f t="shared" si="0"/>
        <v>1090.1500000000001</v>
      </c>
      <c r="K13" s="4">
        <v>0</v>
      </c>
      <c r="L13" s="23">
        <f t="shared" si="1"/>
        <v>0</v>
      </c>
      <c r="M13" s="7">
        <v>1090.1500000000001</v>
      </c>
      <c r="N13" s="5" t="s">
        <v>692</v>
      </c>
      <c r="O13" s="5" t="s">
        <v>33</v>
      </c>
      <c r="P13" s="3">
        <v>3</v>
      </c>
      <c r="Q13" s="3">
        <v>8</v>
      </c>
      <c r="R13" s="5" t="b">
        <v>0</v>
      </c>
      <c r="S13" s="3">
        <v>4</v>
      </c>
      <c r="T13" s="3">
        <v>3</v>
      </c>
    </row>
    <row r="14" spans="1:28">
      <c r="A14" s="5" t="s">
        <v>334</v>
      </c>
      <c r="B14" s="5" t="s">
        <v>335</v>
      </c>
      <c r="C14" s="6">
        <v>45206</v>
      </c>
      <c r="D14" s="8">
        <v>37</v>
      </c>
      <c r="E14" s="5" t="s">
        <v>36</v>
      </c>
      <c r="F14" s="5" t="s">
        <v>32</v>
      </c>
      <c r="G14" s="5" t="s">
        <v>115</v>
      </c>
      <c r="H14" s="7">
        <v>53.73</v>
      </c>
      <c r="I14" s="3">
        <v>1</v>
      </c>
      <c r="J14" s="3">
        <f t="shared" si="0"/>
        <v>53.73</v>
      </c>
      <c r="K14" s="4">
        <v>0</v>
      </c>
      <c r="L14" s="23">
        <f t="shared" si="1"/>
        <v>0</v>
      </c>
      <c r="M14" s="7">
        <v>53.73</v>
      </c>
      <c r="N14" s="5" t="s">
        <v>327</v>
      </c>
      <c r="O14" s="5" t="s">
        <v>24</v>
      </c>
      <c r="P14" s="3">
        <v>3</v>
      </c>
      <c r="Q14" s="3">
        <v>6</v>
      </c>
      <c r="R14" s="5" t="b">
        <v>1</v>
      </c>
      <c r="S14" s="3">
        <v>10</v>
      </c>
      <c r="T14" s="3">
        <v>4</v>
      </c>
    </row>
    <row r="15" spans="1:28">
      <c r="A15" s="5" t="s">
        <v>703</v>
      </c>
      <c r="B15" s="5" t="s">
        <v>704</v>
      </c>
      <c r="C15" s="6">
        <v>44971</v>
      </c>
      <c r="D15" s="8">
        <v>18</v>
      </c>
      <c r="E15" s="5" t="s">
        <v>36</v>
      </c>
      <c r="F15" s="5" t="s">
        <v>88</v>
      </c>
      <c r="G15" s="5" t="s">
        <v>115</v>
      </c>
      <c r="H15" s="7">
        <v>30.18</v>
      </c>
      <c r="I15" s="3">
        <v>1</v>
      </c>
      <c r="J15" s="3">
        <f t="shared" si="0"/>
        <v>30.18</v>
      </c>
      <c r="K15" s="4">
        <v>0</v>
      </c>
      <c r="L15" s="23">
        <f t="shared" si="1"/>
        <v>0</v>
      </c>
      <c r="M15" s="7">
        <v>30.18</v>
      </c>
      <c r="N15" s="5" t="s">
        <v>692</v>
      </c>
      <c r="O15" s="5" t="s">
        <v>24</v>
      </c>
      <c r="P15" s="3">
        <v>9</v>
      </c>
      <c r="Q15" s="3">
        <v>9</v>
      </c>
      <c r="R15" s="5" t="b">
        <v>1</v>
      </c>
      <c r="S15" s="3">
        <v>14</v>
      </c>
      <c r="T15" s="3">
        <v>3</v>
      </c>
    </row>
    <row r="16" spans="1:28">
      <c r="A16" s="5" t="s">
        <v>705</v>
      </c>
      <c r="B16" s="5" t="s">
        <v>706</v>
      </c>
      <c r="C16" s="6">
        <v>45229</v>
      </c>
      <c r="D16" s="8">
        <v>18</v>
      </c>
      <c r="E16" s="5" t="s">
        <v>20</v>
      </c>
      <c r="F16" s="5" t="s">
        <v>52</v>
      </c>
      <c r="G16" s="5" t="s">
        <v>46</v>
      </c>
      <c r="H16" s="7">
        <v>284.16000000000003</v>
      </c>
      <c r="I16" s="3">
        <v>1</v>
      </c>
      <c r="J16" s="3">
        <f t="shared" si="0"/>
        <v>284.16000000000003</v>
      </c>
      <c r="K16" s="4">
        <v>0</v>
      </c>
      <c r="L16" s="23">
        <f t="shared" si="1"/>
        <v>0</v>
      </c>
      <c r="M16" s="7">
        <v>284.16000000000003</v>
      </c>
      <c r="N16" s="5" t="s">
        <v>692</v>
      </c>
      <c r="O16" s="5" t="s">
        <v>33</v>
      </c>
      <c r="P16" s="3">
        <v>12</v>
      </c>
      <c r="Q16" s="3">
        <v>16</v>
      </c>
      <c r="R16" s="5" t="b">
        <v>0</v>
      </c>
      <c r="S16" s="3">
        <v>2</v>
      </c>
      <c r="T16" s="3">
        <v>3</v>
      </c>
    </row>
    <row r="17" spans="1:20">
      <c r="A17" s="5" t="s">
        <v>1301</v>
      </c>
      <c r="B17" s="5" t="s">
        <v>1302</v>
      </c>
      <c r="C17" s="6">
        <v>45143</v>
      </c>
      <c r="D17" s="8">
        <v>28</v>
      </c>
      <c r="E17" s="5" t="s">
        <v>36</v>
      </c>
      <c r="F17" s="5" t="s">
        <v>32</v>
      </c>
      <c r="G17" s="5" t="s">
        <v>28</v>
      </c>
      <c r="H17" s="7">
        <v>176.15</v>
      </c>
      <c r="I17" s="3">
        <v>5</v>
      </c>
      <c r="J17" s="3">
        <f t="shared" si="0"/>
        <v>880.75</v>
      </c>
      <c r="K17" s="4">
        <v>12.35</v>
      </c>
      <c r="L17" s="23">
        <f t="shared" si="1"/>
        <v>1.4022140221402213E-2</v>
      </c>
      <c r="M17" s="7">
        <v>868.4</v>
      </c>
      <c r="N17" s="5" t="s">
        <v>1298</v>
      </c>
      <c r="O17" s="5" t="s">
        <v>29</v>
      </c>
      <c r="P17" s="3">
        <v>10</v>
      </c>
      <c r="Q17" s="3">
        <v>9</v>
      </c>
      <c r="R17" s="5" t="b">
        <v>1</v>
      </c>
      <c r="S17" s="3">
        <v>3</v>
      </c>
      <c r="T17" s="3">
        <v>3</v>
      </c>
    </row>
    <row r="18" spans="1:20">
      <c r="A18" s="5" t="s">
        <v>1303</v>
      </c>
      <c r="B18" s="5" t="s">
        <v>1304</v>
      </c>
      <c r="C18" s="6">
        <v>44943</v>
      </c>
      <c r="D18" s="8">
        <v>22</v>
      </c>
      <c r="E18" s="5" t="s">
        <v>20</v>
      </c>
      <c r="F18" s="5" t="s">
        <v>52</v>
      </c>
      <c r="G18" s="5" t="s">
        <v>37</v>
      </c>
      <c r="H18" s="7">
        <v>67.22</v>
      </c>
      <c r="I18" s="3">
        <v>1</v>
      </c>
      <c r="J18" s="3">
        <f t="shared" si="0"/>
        <v>67.22</v>
      </c>
      <c r="K18" s="4">
        <v>0</v>
      </c>
      <c r="L18" s="23">
        <f t="shared" si="1"/>
        <v>0</v>
      </c>
      <c r="M18" s="7">
        <v>67.22</v>
      </c>
      <c r="N18" s="5" t="s">
        <v>1298</v>
      </c>
      <c r="O18" s="5" t="s">
        <v>33</v>
      </c>
      <c r="P18" s="3">
        <v>3</v>
      </c>
      <c r="Q18" s="3">
        <v>8</v>
      </c>
      <c r="R18" s="5" t="b">
        <v>1</v>
      </c>
      <c r="S18" s="3">
        <v>6</v>
      </c>
      <c r="T18" s="3">
        <v>5</v>
      </c>
    </row>
    <row r="19" spans="1:20">
      <c r="A19" s="5" t="s">
        <v>1305</v>
      </c>
      <c r="B19" s="5" t="s">
        <v>1306</v>
      </c>
      <c r="C19" s="6">
        <v>44942</v>
      </c>
      <c r="D19" s="8">
        <v>38</v>
      </c>
      <c r="E19" s="5" t="s">
        <v>36</v>
      </c>
      <c r="F19" s="5" t="s">
        <v>73</v>
      </c>
      <c r="G19" s="5" t="s">
        <v>22</v>
      </c>
      <c r="H19" s="7">
        <v>198.21</v>
      </c>
      <c r="I19" s="3">
        <v>1</v>
      </c>
      <c r="J19" s="3">
        <f t="shared" si="0"/>
        <v>198.21</v>
      </c>
      <c r="K19" s="4">
        <v>0</v>
      </c>
      <c r="L19" s="23">
        <f t="shared" si="1"/>
        <v>0</v>
      </c>
      <c r="M19" s="7">
        <v>198.21</v>
      </c>
      <c r="N19" s="5" t="s">
        <v>1298</v>
      </c>
      <c r="O19" s="5" t="s">
        <v>24</v>
      </c>
      <c r="P19" s="3">
        <v>20</v>
      </c>
      <c r="Q19" s="3">
        <v>6</v>
      </c>
      <c r="R19" s="5" t="b">
        <v>1</v>
      </c>
      <c r="S19" s="3">
        <v>2</v>
      </c>
      <c r="T19" s="3">
        <v>2</v>
      </c>
    </row>
    <row r="20" spans="1:20">
      <c r="A20" s="5" t="s">
        <v>707</v>
      </c>
      <c r="B20" s="5" t="s">
        <v>708</v>
      </c>
      <c r="C20" s="6">
        <v>44974</v>
      </c>
      <c r="D20" s="8">
        <v>24</v>
      </c>
      <c r="E20" s="5" t="s">
        <v>36</v>
      </c>
      <c r="F20" s="5" t="s">
        <v>59</v>
      </c>
      <c r="G20" s="5" t="s">
        <v>64</v>
      </c>
      <c r="H20" s="7">
        <v>380.59</v>
      </c>
      <c r="I20" s="3">
        <v>1</v>
      </c>
      <c r="J20" s="3">
        <f t="shared" si="0"/>
        <v>380.59</v>
      </c>
      <c r="K20" s="4">
        <v>59.02</v>
      </c>
      <c r="L20" s="23">
        <f t="shared" si="1"/>
        <v>0.15507501510812161</v>
      </c>
      <c r="M20" s="7">
        <v>321.57</v>
      </c>
      <c r="N20" s="5" t="s">
        <v>692</v>
      </c>
      <c r="O20" s="5" t="s">
        <v>24</v>
      </c>
      <c r="P20" s="3">
        <v>8</v>
      </c>
      <c r="Q20" s="3">
        <v>10</v>
      </c>
      <c r="R20" s="5" t="b">
        <v>1</v>
      </c>
      <c r="S20" s="3">
        <v>4</v>
      </c>
      <c r="T20" s="3">
        <v>5</v>
      </c>
    </row>
    <row r="21" spans="1:20">
      <c r="A21" s="5" t="s">
        <v>709</v>
      </c>
      <c r="B21" s="5" t="s">
        <v>710</v>
      </c>
      <c r="C21" s="6">
        <v>45038</v>
      </c>
      <c r="D21" s="8">
        <v>18</v>
      </c>
      <c r="E21" s="5" t="s">
        <v>36</v>
      </c>
      <c r="F21" s="5" t="s">
        <v>32</v>
      </c>
      <c r="G21" s="5" t="s">
        <v>28</v>
      </c>
      <c r="H21" s="7">
        <v>303.91000000000003</v>
      </c>
      <c r="I21" s="3">
        <v>1</v>
      </c>
      <c r="J21" s="3">
        <f t="shared" si="0"/>
        <v>303.91000000000003</v>
      </c>
      <c r="K21" s="4">
        <v>0</v>
      </c>
      <c r="L21" s="23">
        <f t="shared" si="1"/>
        <v>0</v>
      </c>
      <c r="M21" s="7">
        <v>303.91000000000003</v>
      </c>
      <c r="N21" s="5" t="s">
        <v>692</v>
      </c>
      <c r="O21" s="5" t="s">
        <v>24</v>
      </c>
      <c r="P21" s="3">
        <v>9</v>
      </c>
      <c r="Q21" s="3">
        <v>4</v>
      </c>
      <c r="R21" s="5" t="b">
        <v>1</v>
      </c>
      <c r="S21" s="3">
        <v>6</v>
      </c>
      <c r="T21" s="3">
        <v>1</v>
      </c>
    </row>
    <row r="22" spans="1:20">
      <c r="A22" s="5" t="s">
        <v>711</v>
      </c>
      <c r="B22" s="5" t="s">
        <v>712</v>
      </c>
      <c r="C22" s="6">
        <v>45046</v>
      </c>
      <c r="D22" s="8">
        <v>52</v>
      </c>
      <c r="E22" s="5" t="s">
        <v>36</v>
      </c>
      <c r="F22" s="5" t="s">
        <v>32</v>
      </c>
      <c r="G22" s="5" t="s">
        <v>22</v>
      </c>
      <c r="H22" s="7">
        <v>533.41</v>
      </c>
      <c r="I22" s="3">
        <v>1</v>
      </c>
      <c r="J22" s="3">
        <f t="shared" si="0"/>
        <v>533.41</v>
      </c>
      <c r="K22" s="4">
        <v>84.22</v>
      </c>
      <c r="L22" s="23">
        <f t="shared" si="1"/>
        <v>0.15788980334076977</v>
      </c>
      <c r="M22" s="7">
        <v>449.19</v>
      </c>
      <c r="N22" s="5" t="s">
        <v>692</v>
      </c>
      <c r="O22" s="5" t="s">
        <v>33</v>
      </c>
      <c r="P22" s="3">
        <v>14</v>
      </c>
      <c r="Q22" s="3">
        <v>6</v>
      </c>
      <c r="R22" s="5" t="b">
        <v>0</v>
      </c>
      <c r="S22" s="3">
        <v>2</v>
      </c>
      <c r="T22" s="3">
        <v>5</v>
      </c>
    </row>
    <row r="23" spans="1:20">
      <c r="A23" s="5" t="s">
        <v>713</v>
      </c>
      <c r="B23" s="5" t="s">
        <v>714</v>
      </c>
      <c r="C23" s="6">
        <v>45185</v>
      </c>
      <c r="D23" s="8">
        <v>32</v>
      </c>
      <c r="E23" s="5" t="s">
        <v>20</v>
      </c>
      <c r="F23" s="5" t="s">
        <v>76</v>
      </c>
      <c r="G23" s="5" t="s">
        <v>53</v>
      </c>
      <c r="H23" s="7">
        <v>28.95</v>
      </c>
      <c r="I23" s="3">
        <v>1</v>
      </c>
      <c r="J23" s="3">
        <f t="shared" si="0"/>
        <v>28.95</v>
      </c>
      <c r="K23" s="4">
        <v>2.72</v>
      </c>
      <c r="L23" s="23">
        <f t="shared" si="1"/>
        <v>9.3955094991364424E-2</v>
      </c>
      <c r="M23" s="7">
        <v>26.23</v>
      </c>
      <c r="N23" s="5" t="s">
        <v>692</v>
      </c>
      <c r="O23" s="5" t="s">
        <v>33</v>
      </c>
      <c r="P23" s="3">
        <v>15</v>
      </c>
      <c r="Q23" s="3">
        <v>10</v>
      </c>
      <c r="R23" s="5" t="b">
        <v>0</v>
      </c>
      <c r="S23" s="3">
        <v>2</v>
      </c>
      <c r="T23" s="3">
        <v>5</v>
      </c>
    </row>
    <row r="24" spans="1:20">
      <c r="A24" s="5" t="s">
        <v>715</v>
      </c>
      <c r="B24" s="5" t="s">
        <v>716</v>
      </c>
      <c r="C24" s="6">
        <v>45235</v>
      </c>
      <c r="D24" s="8">
        <v>35</v>
      </c>
      <c r="E24" s="5" t="s">
        <v>36</v>
      </c>
      <c r="F24" s="5" t="s">
        <v>27</v>
      </c>
      <c r="G24" s="5" t="s">
        <v>46</v>
      </c>
      <c r="H24" s="7">
        <v>331.18</v>
      </c>
      <c r="I24" s="3">
        <v>1</v>
      </c>
      <c r="J24" s="3">
        <f t="shared" si="0"/>
        <v>331.18</v>
      </c>
      <c r="K24" s="4">
        <v>85.23</v>
      </c>
      <c r="L24" s="23">
        <f t="shared" si="1"/>
        <v>0.25735249713146929</v>
      </c>
      <c r="M24" s="7">
        <v>245.95</v>
      </c>
      <c r="N24" s="5" t="s">
        <v>692</v>
      </c>
      <c r="O24" s="5" t="s">
        <v>33</v>
      </c>
      <c r="P24" s="3">
        <v>7</v>
      </c>
      <c r="Q24" s="3">
        <v>9</v>
      </c>
      <c r="R24" s="5" t="b">
        <v>1</v>
      </c>
      <c r="S24" s="3">
        <v>3</v>
      </c>
      <c r="T24" s="3">
        <v>5</v>
      </c>
    </row>
    <row r="25" spans="1:20">
      <c r="A25" s="5" t="s">
        <v>1307</v>
      </c>
      <c r="B25" s="5" t="s">
        <v>1308</v>
      </c>
      <c r="C25" s="6">
        <v>44940</v>
      </c>
      <c r="D25" s="8">
        <v>18</v>
      </c>
      <c r="E25" s="5" t="s">
        <v>36</v>
      </c>
      <c r="F25" s="5" t="s">
        <v>73</v>
      </c>
      <c r="G25" s="5" t="s">
        <v>46</v>
      </c>
      <c r="H25" s="7">
        <v>79.59</v>
      </c>
      <c r="I25" s="3">
        <v>1</v>
      </c>
      <c r="J25" s="3">
        <f t="shared" si="0"/>
        <v>79.59</v>
      </c>
      <c r="K25" s="4">
        <v>0</v>
      </c>
      <c r="L25" s="23">
        <f t="shared" si="1"/>
        <v>0</v>
      </c>
      <c r="M25" s="7">
        <v>79.59</v>
      </c>
      <c r="N25" s="5" t="s">
        <v>1298</v>
      </c>
      <c r="O25" s="5" t="s">
        <v>33</v>
      </c>
      <c r="P25" s="3">
        <v>6</v>
      </c>
      <c r="Q25" s="3">
        <v>11</v>
      </c>
      <c r="R25" s="5" t="b">
        <v>0</v>
      </c>
      <c r="S25" s="3">
        <v>4</v>
      </c>
      <c r="T25" s="3">
        <v>3</v>
      </c>
    </row>
    <row r="26" spans="1:20">
      <c r="A26" s="5" t="s">
        <v>1229</v>
      </c>
      <c r="B26" s="5" t="s">
        <v>1230</v>
      </c>
      <c r="C26" s="6">
        <v>45214</v>
      </c>
      <c r="D26" s="8">
        <v>28</v>
      </c>
      <c r="E26" s="5" t="s">
        <v>20</v>
      </c>
      <c r="F26" s="5" t="s">
        <v>27</v>
      </c>
      <c r="G26" s="5" t="s">
        <v>53</v>
      </c>
      <c r="H26" s="7">
        <v>89.32</v>
      </c>
      <c r="I26" s="3">
        <v>1</v>
      </c>
      <c r="J26" s="3">
        <f t="shared" si="0"/>
        <v>89.32</v>
      </c>
      <c r="K26" s="4">
        <v>0</v>
      </c>
      <c r="L26" s="23">
        <f t="shared" si="1"/>
        <v>0</v>
      </c>
      <c r="M26" s="7">
        <v>89.32</v>
      </c>
      <c r="N26" s="5" t="s">
        <v>1231</v>
      </c>
      <c r="O26" s="5" t="s">
        <v>33</v>
      </c>
      <c r="P26" s="3">
        <v>4</v>
      </c>
      <c r="Q26" s="3">
        <v>6</v>
      </c>
      <c r="R26" s="5" t="b">
        <v>1</v>
      </c>
      <c r="S26" s="3">
        <v>10</v>
      </c>
      <c r="T26" s="3">
        <v>5</v>
      </c>
    </row>
    <row r="27" spans="1:20">
      <c r="A27" s="5" t="s">
        <v>18</v>
      </c>
      <c r="B27" s="5" t="s">
        <v>19</v>
      </c>
      <c r="C27" s="6">
        <v>45028</v>
      </c>
      <c r="D27" s="8">
        <v>36</v>
      </c>
      <c r="E27" s="5" t="s">
        <v>20</v>
      </c>
      <c r="F27" s="5" t="s">
        <v>21</v>
      </c>
      <c r="G27" s="5" t="s">
        <v>22</v>
      </c>
      <c r="H27" s="7">
        <v>88.22</v>
      </c>
      <c r="I27" s="3">
        <v>2</v>
      </c>
      <c r="J27" s="3">
        <f t="shared" si="0"/>
        <v>176.44</v>
      </c>
      <c r="K27" s="4">
        <v>0</v>
      </c>
      <c r="L27" s="23">
        <f t="shared" si="1"/>
        <v>0</v>
      </c>
      <c r="M27" s="7">
        <v>176.44</v>
      </c>
      <c r="N27" s="5" t="s">
        <v>23</v>
      </c>
      <c r="O27" s="5" t="s">
        <v>24</v>
      </c>
      <c r="P27" s="3">
        <v>19</v>
      </c>
      <c r="Q27" s="3">
        <v>9</v>
      </c>
      <c r="R27" s="5" t="b">
        <v>0</v>
      </c>
      <c r="S27" s="3">
        <v>4</v>
      </c>
      <c r="T27" s="3">
        <v>2</v>
      </c>
    </row>
    <row r="28" spans="1:20">
      <c r="A28" s="5" t="s">
        <v>25</v>
      </c>
      <c r="B28" s="5" t="s">
        <v>26</v>
      </c>
      <c r="C28" s="6">
        <v>45293</v>
      </c>
      <c r="D28" s="8">
        <v>21</v>
      </c>
      <c r="E28" s="5" t="s">
        <v>20</v>
      </c>
      <c r="F28" s="5" t="s">
        <v>27</v>
      </c>
      <c r="G28" s="5" t="s">
        <v>28</v>
      </c>
      <c r="H28" s="7">
        <v>139.85</v>
      </c>
      <c r="I28" s="3">
        <v>2</v>
      </c>
      <c r="J28" s="3">
        <f t="shared" si="0"/>
        <v>279.7</v>
      </c>
      <c r="K28" s="4">
        <v>33.81</v>
      </c>
      <c r="L28" s="23">
        <f t="shared" si="1"/>
        <v>0.12087951376474795</v>
      </c>
      <c r="M28" s="7">
        <v>245.89</v>
      </c>
      <c r="N28" s="5" t="s">
        <v>23</v>
      </c>
      <c r="O28" s="5" t="s">
        <v>29</v>
      </c>
      <c r="P28" s="3">
        <v>15</v>
      </c>
      <c r="Q28" s="3">
        <v>6</v>
      </c>
      <c r="R28" s="5" t="b">
        <v>0</v>
      </c>
      <c r="S28" s="3">
        <v>7</v>
      </c>
      <c r="T28" s="3">
        <v>4</v>
      </c>
    </row>
    <row r="29" spans="1:20">
      <c r="A29" s="5" t="s">
        <v>336</v>
      </c>
      <c r="B29" s="5" t="s">
        <v>337</v>
      </c>
      <c r="C29" s="6">
        <v>45259</v>
      </c>
      <c r="D29" s="8">
        <v>39</v>
      </c>
      <c r="E29" s="5" t="s">
        <v>20</v>
      </c>
      <c r="F29" s="5" t="s">
        <v>52</v>
      </c>
      <c r="G29" s="5" t="s">
        <v>64</v>
      </c>
      <c r="H29" s="7">
        <v>604.91</v>
      </c>
      <c r="I29" s="3">
        <v>1</v>
      </c>
      <c r="J29" s="3">
        <f t="shared" si="0"/>
        <v>604.91</v>
      </c>
      <c r="K29" s="4">
        <v>0</v>
      </c>
      <c r="L29" s="23">
        <f t="shared" si="1"/>
        <v>0</v>
      </c>
      <c r="M29" s="7">
        <v>604.91</v>
      </c>
      <c r="N29" s="5" t="s">
        <v>327</v>
      </c>
      <c r="O29" s="5" t="s">
        <v>24</v>
      </c>
      <c r="P29" s="3">
        <v>11</v>
      </c>
      <c r="Q29" s="3">
        <v>14</v>
      </c>
      <c r="R29" s="5" t="b">
        <v>1</v>
      </c>
      <c r="S29" s="3">
        <v>5</v>
      </c>
      <c r="T29" s="3">
        <v>5</v>
      </c>
    </row>
    <row r="30" spans="1:20">
      <c r="A30" s="5" t="s">
        <v>30</v>
      </c>
      <c r="B30" s="5" t="s">
        <v>31</v>
      </c>
      <c r="C30" s="6">
        <v>45286</v>
      </c>
      <c r="D30" s="8">
        <v>27</v>
      </c>
      <c r="E30" s="5" t="s">
        <v>20</v>
      </c>
      <c r="F30" s="5" t="s">
        <v>32</v>
      </c>
      <c r="G30" s="5" t="s">
        <v>22</v>
      </c>
      <c r="H30" s="7">
        <v>230.37</v>
      </c>
      <c r="I30" s="3">
        <v>1</v>
      </c>
      <c r="J30" s="3">
        <f t="shared" si="0"/>
        <v>230.37</v>
      </c>
      <c r="K30" s="4">
        <v>0</v>
      </c>
      <c r="L30" s="23">
        <f t="shared" si="1"/>
        <v>0</v>
      </c>
      <c r="M30" s="7">
        <v>230.37</v>
      </c>
      <c r="N30" s="5" t="s">
        <v>23</v>
      </c>
      <c r="O30" s="5" t="s">
        <v>33</v>
      </c>
      <c r="P30" s="3">
        <v>3</v>
      </c>
      <c r="Q30" s="3">
        <v>7</v>
      </c>
      <c r="R30" s="5" t="b">
        <v>1</v>
      </c>
      <c r="S30" s="3">
        <v>4</v>
      </c>
      <c r="T30" s="3">
        <v>4</v>
      </c>
    </row>
    <row r="31" spans="1:20">
      <c r="A31" s="5" t="s">
        <v>1309</v>
      </c>
      <c r="B31" s="5" t="s">
        <v>1310</v>
      </c>
      <c r="C31" s="6">
        <v>45206</v>
      </c>
      <c r="D31" s="8">
        <v>31</v>
      </c>
      <c r="E31" s="5" t="s">
        <v>36</v>
      </c>
      <c r="F31" s="5" t="s">
        <v>27</v>
      </c>
      <c r="G31" s="5" t="s">
        <v>64</v>
      </c>
      <c r="H31" s="7">
        <v>2497.83</v>
      </c>
      <c r="I31" s="3">
        <v>1</v>
      </c>
      <c r="J31" s="3">
        <f t="shared" si="0"/>
        <v>2497.83</v>
      </c>
      <c r="K31" s="4">
        <v>0</v>
      </c>
      <c r="L31" s="23">
        <f t="shared" si="1"/>
        <v>0</v>
      </c>
      <c r="M31" s="7">
        <v>2497.83</v>
      </c>
      <c r="N31" s="5" t="s">
        <v>1298</v>
      </c>
      <c r="O31" s="5" t="s">
        <v>33</v>
      </c>
      <c r="P31" s="3">
        <v>12</v>
      </c>
      <c r="Q31" s="3">
        <v>11</v>
      </c>
      <c r="R31" s="5" t="b">
        <v>1</v>
      </c>
      <c r="S31" s="3">
        <v>7</v>
      </c>
      <c r="T31" s="3">
        <v>4</v>
      </c>
    </row>
    <row r="32" spans="1:20">
      <c r="A32" s="5" t="s">
        <v>338</v>
      </c>
      <c r="B32" s="5" t="s">
        <v>339</v>
      </c>
      <c r="C32" s="6">
        <v>45141</v>
      </c>
      <c r="D32" s="8">
        <v>27</v>
      </c>
      <c r="E32" s="5" t="s">
        <v>20</v>
      </c>
      <c r="F32" s="5" t="s">
        <v>21</v>
      </c>
      <c r="G32" s="5" t="s">
        <v>37</v>
      </c>
      <c r="H32" s="7">
        <v>131.13</v>
      </c>
      <c r="I32" s="3">
        <v>1</v>
      </c>
      <c r="J32" s="3">
        <f t="shared" si="0"/>
        <v>131.13</v>
      </c>
      <c r="K32" s="4">
        <v>0</v>
      </c>
      <c r="L32" s="23">
        <f t="shared" si="1"/>
        <v>0</v>
      </c>
      <c r="M32" s="7">
        <v>131.13</v>
      </c>
      <c r="N32" s="5" t="s">
        <v>327</v>
      </c>
      <c r="O32" s="5" t="s">
        <v>24</v>
      </c>
      <c r="P32" s="3">
        <v>34</v>
      </c>
      <c r="Q32" s="3">
        <v>8</v>
      </c>
      <c r="R32" s="5" t="b">
        <v>0</v>
      </c>
      <c r="S32" s="3">
        <v>5</v>
      </c>
      <c r="T32" s="3">
        <v>2</v>
      </c>
    </row>
    <row r="33" spans="1:20">
      <c r="A33" s="5" t="s">
        <v>717</v>
      </c>
      <c r="B33" s="5" t="s">
        <v>718</v>
      </c>
      <c r="C33" s="6">
        <v>45039</v>
      </c>
      <c r="D33" s="8">
        <v>57</v>
      </c>
      <c r="E33" s="5" t="s">
        <v>20</v>
      </c>
      <c r="F33" s="5" t="s">
        <v>83</v>
      </c>
      <c r="G33" s="5" t="s">
        <v>115</v>
      </c>
      <c r="H33" s="7">
        <v>88.67</v>
      </c>
      <c r="I33" s="3">
        <v>1</v>
      </c>
      <c r="J33" s="3">
        <f t="shared" si="0"/>
        <v>88.67</v>
      </c>
      <c r="K33" s="4">
        <v>0</v>
      </c>
      <c r="L33" s="23">
        <f t="shared" si="1"/>
        <v>0</v>
      </c>
      <c r="M33" s="7">
        <v>88.67</v>
      </c>
      <c r="N33" s="5" t="s">
        <v>692</v>
      </c>
      <c r="O33" s="5" t="s">
        <v>24</v>
      </c>
      <c r="P33" s="3">
        <v>11</v>
      </c>
      <c r="Q33" s="3">
        <v>8</v>
      </c>
      <c r="R33" s="5" t="b">
        <v>1</v>
      </c>
      <c r="S33" s="3">
        <v>7</v>
      </c>
      <c r="T33" s="3">
        <v>2</v>
      </c>
    </row>
    <row r="34" spans="1:20">
      <c r="A34" s="5" t="s">
        <v>719</v>
      </c>
      <c r="B34" s="5" t="s">
        <v>720</v>
      </c>
      <c r="C34" s="6">
        <v>45156</v>
      </c>
      <c r="D34" s="8">
        <v>34</v>
      </c>
      <c r="E34" s="5" t="s">
        <v>36</v>
      </c>
      <c r="F34" s="5" t="s">
        <v>52</v>
      </c>
      <c r="G34" s="5" t="s">
        <v>53</v>
      </c>
      <c r="H34" s="7">
        <v>20.94</v>
      </c>
      <c r="I34" s="3">
        <v>2</v>
      </c>
      <c r="J34" s="3">
        <f t="shared" si="0"/>
        <v>41.88</v>
      </c>
      <c r="K34" s="4">
        <v>0</v>
      </c>
      <c r="L34" s="23">
        <f t="shared" si="1"/>
        <v>0</v>
      </c>
      <c r="M34" s="7">
        <v>41.88</v>
      </c>
      <c r="N34" s="5" t="s">
        <v>692</v>
      </c>
      <c r="O34" s="5" t="s">
        <v>24</v>
      </c>
      <c r="P34" s="3">
        <v>12</v>
      </c>
      <c r="Q34" s="3">
        <v>10</v>
      </c>
      <c r="R34" s="5" t="b">
        <v>0</v>
      </c>
      <c r="S34" s="3">
        <v>7</v>
      </c>
      <c r="T34" s="3">
        <v>2</v>
      </c>
    </row>
    <row r="35" spans="1:20">
      <c r="A35" s="5" t="s">
        <v>340</v>
      </c>
      <c r="B35" s="5" t="s">
        <v>341</v>
      </c>
      <c r="C35" s="6">
        <v>45228</v>
      </c>
      <c r="D35" s="8">
        <v>22</v>
      </c>
      <c r="E35" s="5" t="s">
        <v>36</v>
      </c>
      <c r="F35" s="5" t="s">
        <v>76</v>
      </c>
      <c r="G35" s="5" t="s">
        <v>56</v>
      </c>
      <c r="H35" s="7">
        <v>541.80999999999995</v>
      </c>
      <c r="I35" s="3">
        <v>4</v>
      </c>
      <c r="J35" s="3">
        <f t="shared" si="0"/>
        <v>2167.2399999999998</v>
      </c>
      <c r="K35" s="4">
        <v>139.11000000000001</v>
      </c>
      <c r="L35" s="23">
        <f t="shared" si="1"/>
        <v>6.4187630350122746E-2</v>
      </c>
      <c r="M35" s="7">
        <v>2028.13</v>
      </c>
      <c r="N35" s="5" t="s">
        <v>327</v>
      </c>
      <c r="O35" s="5" t="s">
        <v>33</v>
      </c>
      <c r="P35" s="3">
        <v>11</v>
      </c>
      <c r="Q35" s="3">
        <v>6</v>
      </c>
      <c r="R35" s="5" t="b">
        <v>1</v>
      </c>
      <c r="S35" s="3">
        <v>3</v>
      </c>
      <c r="T35" s="3">
        <v>5</v>
      </c>
    </row>
    <row r="36" spans="1:20">
      <c r="A36" s="5" t="s">
        <v>721</v>
      </c>
      <c r="B36" s="5" t="s">
        <v>722</v>
      </c>
      <c r="C36" s="6">
        <v>45069</v>
      </c>
      <c r="D36" s="8">
        <v>44</v>
      </c>
      <c r="E36" s="5" t="s">
        <v>36</v>
      </c>
      <c r="F36" s="5" t="s">
        <v>76</v>
      </c>
      <c r="G36" s="5" t="s">
        <v>64</v>
      </c>
      <c r="H36" s="7">
        <v>4703.2299999999996</v>
      </c>
      <c r="I36" s="3">
        <v>2</v>
      </c>
      <c r="J36" s="3">
        <f t="shared" si="0"/>
        <v>9406.4599999999991</v>
      </c>
      <c r="K36" s="4">
        <v>0</v>
      </c>
      <c r="L36" s="23">
        <f t="shared" si="1"/>
        <v>0</v>
      </c>
      <c r="M36" s="7">
        <v>9406.4599999999991</v>
      </c>
      <c r="N36" s="5" t="s">
        <v>692</v>
      </c>
      <c r="O36" s="5" t="s">
        <v>33</v>
      </c>
      <c r="P36" s="3">
        <v>6</v>
      </c>
      <c r="Q36" s="3">
        <v>9</v>
      </c>
      <c r="R36" s="5" t="b">
        <v>1</v>
      </c>
      <c r="S36" s="3">
        <v>10</v>
      </c>
      <c r="T36" s="3">
        <v>1</v>
      </c>
    </row>
    <row r="37" spans="1:20">
      <c r="A37" s="5" t="s">
        <v>1311</v>
      </c>
      <c r="B37" s="5" t="s">
        <v>1312</v>
      </c>
      <c r="C37" s="6">
        <v>45341</v>
      </c>
      <c r="D37" s="8">
        <v>20</v>
      </c>
      <c r="E37" s="5" t="s">
        <v>20</v>
      </c>
      <c r="F37" s="5" t="s">
        <v>32</v>
      </c>
      <c r="G37" s="5" t="s">
        <v>46</v>
      </c>
      <c r="H37" s="7">
        <v>503.69</v>
      </c>
      <c r="I37" s="3">
        <v>5</v>
      </c>
      <c r="J37" s="3">
        <f t="shared" si="0"/>
        <v>2518.4499999999998</v>
      </c>
      <c r="K37" s="4">
        <v>93.97</v>
      </c>
      <c r="L37" s="23">
        <f t="shared" si="1"/>
        <v>3.731263277015625E-2</v>
      </c>
      <c r="M37" s="7">
        <v>2424.48</v>
      </c>
      <c r="N37" s="5" t="s">
        <v>1298</v>
      </c>
      <c r="O37" s="5" t="s">
        <v>33</v>
      </c>
      <c r="P37" s="3">
        <v>2</v>
      </c>
      <c r="Q37" s="3">
        <v>8</v>
      </c>
      <c r="R37" s="5" t="b">
        <v>1</v>
      </c>
      <c r="S37" s="3">
        <v>11</v>
      </c>
      <c r="T37" s="3">
        <v>5</v>
      </c>
    </row>
    <row r="38" spans="1:20">
      <c r="A38" s="5" t="s">
        <v>342</v>
      </c>
      <c r="B38" s="5" t="s">
        <v>343</v>
      </c>
      <c r="C38" s="6">
        <v>45372</v>
      </c>
      <c r="D38" s="8">
        <v>37</v>
      </c>
      <c r="E38" s="5" t="s">
        <v>36</v>
      </c>
      <c r="F38" s="5" t="s">
        <v>59</v>
      </c>
      <c r="G38" s="5" t="s">
        <v>115</v>
      </c>
      <c r="H38" s="7">
        <v>59.08</v>
      </c>
      <c r="I38" s="3">
        <v>1</v>
      </c>
      <c r="J38" s="3">
        <f t="shared" si="0"/>
        <v>59.08</v>
      </c>
      <c r="K38" s="4">
        <v>0</v>
      </c>
      <c r="L38" s="23">
        <f t="shared" si="1"/>
        <v>0</v>
      </c>
      <c r="M38" s="7">
        <v>59.08</v>
      </c>
      <c r="N38" s="5" t="s">
        <v>327</v>
      </c>
      <c r="O38" s="5" t="s">
        <v>33</v>
      </c>
      <c r="P38" s="3">
        <v>19</v>
      </c>
      <c r="Q38" s="3">
        <v>11</v>
      </c>
      <c r="R38" s="5" t="b">
        <v>0</v>
      </c>
      <c r="S38" s="3">
        <v>2</v>
      </c>
      <c r="T38" s="3">
        <v>5</v>
      </c>
    </row>
    <row r="39" spans="1:20">
      <c r="A39" s="5" t="s">
        <v>34</v>
      </c>
      <c r="B39" s="5" t="s">
        <v>35</v>
      </c>
      <c r="C39" s="6">
        <v>44930</v>
      </c>
      <c r="D39" s="8">
        <v>18</v>
      </c>
      <c r="E39" s="5" t="s">
        <v>36</v>
      </c>
      <c r="F39" s="5" t="s">
        <v>21</v>
      </c>
      <c r="G39" s="5" t="s">
        <v>37</v>
      </c>
      <c r="H39" s="7">
        <v>78.209999999999994</v>
      </c>
      <c r="I39" s="3">
        <v>5</v>
      </c>
      <c r="J39" s="3">
        <f t="shared" si="0"/>
        <v>391.04999999999995</v>
      </c>
      <c r="K39" s="4">
        <v>0</v>
      </c>
      <c r="L39" s="23">
        <f t="shared" si="1"/>
        <v>0</v>
      </c>
      <c r="M39" s="7">
        <v>391.05</v>
      </c>
      <c r="N39" s="5" t="s">
        <v>23</v>
      </c>
      <c r="O39" s="5" t="s">
        <v>33</v>
      </c>
      <c r="P39" s="3">
        <v>9</v>
      </c>
      <c r="Q39" s="3">
        <v>7</v>
      </c>
      <c r="R39" s="5" t="b">
        <v>0</v>
      </c>
      <c r="S39" s="3">
        <v>8</v>
      </c>
      <c r="T39" s="3">
        <v>4</v>
      </c>
    </row>
    <row r="40" spans="1:20">
      <c r="A40" s="5" t="s">
        <v>723</v>
      </c>
      <c r="B40" s="5" t="s">
        <v>724</v>
      </c>
      <c r="C40" s="6">
        <v>45315</v>
      </c>
      <c r="D40" s="8">
        <v>19</v>
      </c>
      <c r="E40" s="5" t="s">
        <v>20</v>
      </c>
      <c r="F40" s="5" t="s">
        <v>76</v>
      </c>
      <c r="G40" s="5" t="s">
        <v>46</v>
      </c>
      <c r="H40" s="7">
        <v>471.56</v>
      </c>
      <c r="I40" s="3">
        <v>1</v>
      </c>
      <c r="J40" s="3">
        <f t="shared" si="0"/>
        <v>471.56</v>
      </c>
      <c r="K40" s="4">
        <v>0</v>
      </c>
      <c r="L40" s="23">
        <f t="shared" si="1"/>
        <v>0</v>
      </c>
      <c r="M40" s="7">
        <v>471.56</v>
      </c>
      <c r="N40" s="5" t="s">
        <v>692</v>
      </c>
      <c r="O40" s="5" t="s">
        <v>29</v>
      </c>
      <c r="P40" s="3">
        <v>5</v>
      </c>
      <c r="Q40" s="3">
        <v>10</v>
      </c>
      <c r="R40" s="5" t="b">
        <v>0</v>
      </c>
      <c r="S40" s="3">
        <v>7</v>
      </c>
      <c r="T40" s="3">
        <v>5</v>
      </c>
    </row>
    <row r="41" spans="1:20">
      <c r="A41" s="5" t="s">
        <v>344</v>
      </c>
      <c r="B41" s="5" t="s">
        <v>345</v>
      </c>
      <c r="C41" s="6">
        <v>45339</v>
      </c>
      <c r="D41" s="8">
        <v>37</v>
      </c>
      <c r="E41" s="5" t="s">
        <v>20</v>
      </c>
      <c r="F41" s="5" t="s">
        <v>21</v>
      </c>
      <c r="G41" s="5" t="s">
        <v>37</v>
      </c>
      <c r="H41" s="7">
        <v>91.66</v>
      </c>
      <c r="I41" s="3">
        <v>4</v>
      </c>
      <c r="J41" s="3">
        <f t="shared" si="0"/>
        <v>366.64</v>
      </c>
      <c r="K41" s="4">
        <v>4.7699999999999996</v>
      </c>
      <c r="L41" s="23">
        <f t="shared" si="1"/>
        <v>1.3010037093606807E-2</v>
      </c>
      <c r="M41" s="7">
        <v>361.87</v>
      </c>
      <c r="N41" s="5" t="s">
        <v>327</v>
      </c>
      <c r="O41" s="5" t="s">
        <v>33</v>
      </c>
      <c r="P41" s="3">
        <v>12</v>
      </c>
      <c r="Q41" s="3">
        <v>7</v>
      </c>
      <c r="R41" s="5" t="b">
        <v>0</v>
      </c>
      <c r="S41" s="3">
        <v>2</v>
      </c>
      <c r="T41" s="3">
        <v>5</v>
      </c>
    </row>
    <row r="42" spans="1:20">
      <c r="A42" s="5" t="s">
        <v>346</v>
      </c>
      <c r="B42" s="5" t="s">
        <v>347</v>
      </c>
      <c r="C42" s="6">
        <v>45008</v>
      </c>
      <c r="D42" s="8">
        <v>43</v>
      </c>
      <c r="E42" s="5" t="s">
        <v>36</v>
      </c>
      <c r="F42" s="5" t="s">
        <v>27</v>
      </c>
      <c r="G42" s="5" t="s">
        <v>46</v>
      </c>
      <c r="H42" s="7">
        <v>1255.68</v>
      </c>
      <c r="I42" s="3">
        <v>3</v>
      </c>
      <c r="J42" s="3">
        <f t="shared" si="0"/>
        <v>3767.04</v>
      </c>
      <c r="K42" s="4">
        <v>0</v>
      </c>
      <c r="L42" s="23">
        <f t="shared" si="1"/>
        <v>0</v>
      </c>
      <c r="M42" s="7">
        <v>3767.04</v>
      </c>
      <c r="N42" s="5" t="s">
        <v>327</v>
      </c>
      <c r="O42" s="5" t="s">
        <v>24</v>
      </c>
      <c r="P42" s="3">
        <v>22</v>
      </c>
      <c r="Q42" s="3">
        <v>9</v>
      </c>
      <c r="R42" s="5" t="b">
        <v>0</v>
      </c>
      <c r="S42" s="3">
        <v>6</v>
      </c>
      <c r="T42" s="3">
        <v>4</v>
      </c>
    </row>
    <row r="43" spans="1:20">
      <c r="A43" s="5" t="s">
        <v>38</v>
      </c>
      <c r="B43" s="5" t="s">
        <v>39</v>
      </c>
      <c r="C43" s="6">
        <v>45284</v>
      </c>
      <c r="D43" s="8">
        <v>37</v>
      </c>
      <c r="E43" s="5" t="s">
        <v>36</v>
      </c>
      <c r="F43" s="5" t="s">
        <v>21</v>
      </c>
      <c r="G43" s="5" t="s">
        <v>22</v>
      </c>
      <c r="H43" s="7">
        <v>389.46</v>
      </c>
      <c r="I43" s="3">
        <v>3</v>
      </c>
      <c r="J43" s="3">
        <f t="shared" si="0"/>
        <v>1168.3799999999999</v>
      </c>
      <c r="K43" s="4">
        <v>109.42</v>
      </c>
      <c r="L43" s="23">
        <f t="shared" si="1"/>
        <v>9.3651038189630095E-2</v>
      </c>
      <c r="M43" s="7">
        <v>1058.96</v>
      </c>
      <c r="N43" s="5" t="s">
        <v>23</v>
      </c>
      <c r="O43" s="5" t="s">
        <v>33</v>
      </c>
      <c r="P43" s="3">
        <v>8</v>
      </c>
      <c r="Q43" s="3">
        <v>6</v>
      </c>
      <c r="R43" s="5" t="b">
        <v>1</v>
      </c>
      <c r="S43" s="3">
        <v>6</v>
      </c>
      <c r="T43" s="3">
        <v>4</v>
      </c>
    </row>
    <row r="44" spans="1:20">
      <c r="A44" s="5" t="s">
        <v>725</v>
      </c>
      <c r="B44" s="5" t="s">
        <v>726</v>
      </c>
      <c r="C44" s="6">
        <v>45143</v>
      </c>
      <c r="D44" s="8">
        <v>33</v>
      </c>
      <c r="E44" s="5" t="s">
        <v>36</v>
      </c>
      <c r="F44" s="5" t="s">
        <v>32</v>
      </c>
      <c r="G44" s="5" t="s">
        <v>28</v>
      </c>
      <c r="H44" s="7">
        <v>130.09</v>
      </c>
      <c r="I44" s="3">
        <v>5</v>
      </c>
      <c r="J44" s="3">
        <f t="shared" si="0"/>
        <v>650.45000000000005</v>
      </c>
      <c r="K44" s="4">
        <v>0</v>
      </c>
      <c r="L44" s="23">
        <f t="shared" si="1"/>
        <v>0</v>
      </c>
      <c r="M44" s="7">
        <v>650.45000000000005</v>
      </c>
      <c r="N44" s="5" t="s">
        <v>692</v>
      </c>
      <c r="O44" s="5" t="s">
        <v>29</v>
      </c>
      <c r="P44" s="3">
        <v>4</v>
      </c>
      <c r="Q44" s="3">
        <v>12</v>
      </c>
      <c r="R44" s="5" t="b">
        <v>1</v>
      </c>
      <c r="S44" s="3">
        <v>3</v>
      </c>
      <c r="T44" s="3">
        <v>5</v>
      </c>
    </row>
    <row r="45" spans="1:20">
      <c r="A45" s="5" t="s">
        <v>1232</v>
      </c>
      <c r="B45" s="5" t="s">
        <v>1233</v>
      </c>
      <c r="C45" s="6">
        <v>45101</v>
      </c>
      <c r="D45" s="8">
        <v>31</v>
      </c>
      <c r="E45" s="5" t="s">
        <v>36</v>
      </c>
      <c r="F45" s="5" t="s">
        <v>32</v>
      </c>
      <c r="G45" s="5" t="s">
        <v>22</v>
      </c>
      <c r="H45" s="7">
        <v>376.78</v>
      </c>
      <c r="I45" s="3">
        <v>1</v>
      </c>
      <c r="J45" s="3">
        <f t="shared" si="0"/>
        <v>376.78</v>
      </c>
      <c r="K45" s="4">
        <v>105.42</v>
      </c>
      <c r="L45" s="23">
        <f t="shared" si="1"/>
        <v>0.2797919210149159</v>
      </c>
      <c r="M45" s="7">
        <v>271.36</v>
      </c>
      <c r="N45" s="5" t="s">
        <v>1231</v>
      </c>
      <c r="O45" s="5" t="s">
        <v>29</v>
      </c>
      <c r="P45" s="3">
        <v>32</v>
      </c>
      <c r="Q45" s="3">
        <v>16</v>
      </c>
      <c r="R45" s="5" t="b">
        <v>0</v>
      </c>
      <c r="S45" s="3">
        <v>4</v>
      </c>
      <c r="T45" s="3">
        <v>5</v>
      </c>
    </row>
    <row r="46" spans="1:20">
      <c r="A46" s="5" t="s">
        <v>40</v>
      </c>
      <c r="B46" s="5" t="s">
        <v>41</v>
      </c>
      <c r="C46" s="6">
        <v>45069</v>
      </c>
      <c r="D46" s="8">
        <v>18</v>
      </c>
      <c r="E46" s="5" t="s">
        <v>36</v>
      </c>
      <c r="F46" s="5" t="s">
        <v>21</v>
      </c>
      <c r="G46" s="5" t="s">
        <v>22</v>
      </c>
      <c r="H46" s="7">
        <v>133.09</v>
      </c>
      <c r="I46" s="3">
        <v>2</v>
      </c>
      <c r="J46" s="3">
        <f t="shared" si="0"/>
        <v>266.18</v>
      </c>
      <c r="K46" s="4">
        <v>24.74</v>
      </c>
      <c r="L46" s="23">
        <f t="shared" si="1"/>
        <v>9.2944623938688103E-2</v>
      </c>
      <c r="M46" s="7">
        <v>241.44</v>
      </c>
      <c r="N46" s="5" t="s">
        <v>23</v>
      </c>
      <c r="O46" s="5" t="s">
        <v>33</v>
      </c>
      <c r="P46" s="3">
        <v>12</v>
      </c>
      <c r="Q46" s="3">
        <v>7</v>
      </c>
      <c r="R46" s="5" t="b">
        <v>1</v>
      </c>
      <c r="S46" s="3">
        <v>4</v>
      </c>
      <c r="T46" s="3">
        <v>5</v>
      </c>
    </row>
    <row r="47" spans="1:20">
      <c r="A47" s="5" t="s">
        <v>42</v>
      </c>
      <c r="B47" s="5" t="s">
        <v>43</v>
      </c>
      <c r="C47" s="6">
        <v>45006</v>
      </c>
      <c r="D47" s="8">
        <v>26</v>
      </c>
      <c r="E47" s="5" t="s">
        <v>36</v>
      </c>
      <c r="F47" s="5" t="s">
        <v>27</v>
      </c>
      <c r="G47" s="5" t="s">
        <v>28</v>
      </c>
      <c r="H47" s="7">
        <v>140.24</v>
      </c>
      <c r="I47" s="3">
        <v>1</v>
      </c>
      <c r="J47" s="3">
        <f t="shared" si="0"/>
        <v>140.24</v>
      </c>
      <c r="K47" s="4">
        <v>0</v>
      </c>
      <c r="L47" s="23">
        <f t="shared" si="1"/>
        <v>0</v>
      </c>
      <c r="M47" s="7">
        <v>140.24</v>
      </c>
      <c r="N47" s="5" t="s">
        <v>23</v>
      </c>
      <c r="O47" s="5" t="s">
        <v>24</v>
      </c>
      <c r="P47" s="3">
        <v>19</v>
      </c>
      <c r="Q47" s="3">
        <v>8</v>
      </c>
      <c r="R47" s="5" t="b">
        <v>1</v>
      </c>
      <c r="S47" s="3">
        <v>5</v>
      </c>
      <c r="T47" s="3">
        <v>3</v>
      </c>
    </row>
    <row r="48" spans="1:20">
      <c r="A48" s="5" t="s">
        <v>1313</v>
      </c>
      <c r="B48" s="5" t="s">
        <v>1314</v>
      </c>
      <c r="C48" s="6">
        <v>45037</v>
      </c>
      <c r="D48" s="8">
        <v>29</v>
      </c>
      <c r="E48" s="5" t="s">
        <v>20</v>
      </c>
      <c r="F48" s="5" t="s">
        <v>73</v>
      </c>
      <c r="G48" s="5" t="s">
        <v>37</v>
      </c>
      <c r="H48" s="7">
        <v>67.209999999999994</v>
      </c>
      <c r="I48" s="3">
        <v>3</v>
      </c>
      <c r="J48" s="3">
        <f t="shared" si="0"/>
        <v>201.63</v>
      </c>
      <c r="K48" s="4">
        <v>18.55</v>
      </c>
      <c r="L48" s="23">
        <f t="shared" si="1"/>
        <v>9.2000198383177106E-2</v>
      </c>
      <c r="M48" s="7">
        <v>183.08</v>
      </c>
      <c r="N48" s="5" t="s">
        <v>1298</v>
      </c>
      <c r="O48" s="5" t="s">
        <v>24</v>
      </c>
      <c r="P48" s="3">
        <v>22</v>
      </c>
      <c r="Q48" s="3">
        <v>12</v>
      </c>
      <c r="R48" s="5" t="b">
        <v>1</v>
      </c>
      <c r="S48" s="3">
        <v>4</v>
      </c>
      <c r="T48" s="3">
        <v>4</v>
      </c>
    </row>
    <row r="49" spans="1:20">
      <c r="A49" s="5" t="s">
        <v>1234</v>
      </c>
      <c r="B49" s="5" t="s">
        <v>1235</v>
      </c>
      <c r="C49" s="6">
        <v>45317</v>
      </c>
      <c r="D49" s="8">
        <v>47</v>
      </c>
      <c r="E49" s="5" t="s">
        <v>20</v>
      </c>
      <c r="F49" s="5" t="s">
        <v>49</v>
      </c>
      <c r="G49" s="5" t="s">
        <v>37</v>
      </c>
      <c r="H49" s="7">
        <v>139.34</v>
      </c>
      <c r="I49" s="3">
        <v>1</v>
      </c>
      <c r="J49" s="3">
        <f t="shared" si="0"/>
        <v>139.34</v>
      </c>
      <c r="K49" s="4">
        <v>0</v>
      </c>
      <c r="L49" s="23">
        <f t="shared" si="1"/>
        <v>0</v>
      </c>
      <c r="M49" s="7">
        <v>139.34</v>
      </c>
      <c r="N49" s="5" t="s">
        <v>1231</v>
      </c>
      <c r="O49" s="5" t="s">
        <v>33</v>
      </c>
      <c r="P49" s="3">
        <v>4</v>
      </c>
      <c r="Q49" s="3">
        <v>7</v>
      </c>
      <c r="R49" s="5" t="b">
        <v>1</v>
      </c>
      <c r="S49" s="3">
        <v>4</v>
      </c>
      <c r="T49" s="3">
        <v>4</v>
      </c>
    </row>
    <row r="50" spans="1:20">
      <c r="A50" s="5" t="s">
        <v>727</v>
      </c>
      <c r="B50" s="5" t="s">
        <v>728</v>
      </c>
      <c r="C50" s="6">
        <v>45099</v>
      </c>
      <c r="D50" s="8">
        <v>39</v>
      </c>
      <c r="E50" s="5" t="s">
        <v>20</v>
      </c>
      <c r="F50" s="5" t="s">
        <v>52</v>
      </c>
      <c r="G50" s="5" t="s">
        <v>28</v>
      </c>
      <c r="H50" s="7">
        <v>133.13999999999999</v>
      </c>
      <c r="I50" s="3">
        <v>2</v>
      </c>
      <c r="J50" s="3">
        <f t="shared" si="0"/>
        <v>266.27999999999997</v>
      </c>
      <c r="K50" s="4">
        <v>0</v>
      </c>
      <c r="L50" s="23">
        <f t="shared" si="1"/>
        <v>0</v>
      </c>
      <c r="M50" s="7">
        <v>266.27999999999997</v>
      </c>
      <c r="N50" s="5" t="s">
        <v>692</v>
      </c>
      <c r="O50" s="5" t="s">
        <v>33</v>
      </c>
      <c r="P50" s="3">
        <v>7</v>
      </c>
      <c r="Q50" s="3">
        <v>11</v>
      </c>
      <c r="R50" s="5" t="b">
        <v>1</v>
      </c>
      <c r="S50" s="3">
        <v>2</v>
      </c>
      <c r="T50" s="3">
        <v>5</v>
      </c>
    </row>
    <row r="51" spans="1:20">
      <c r="A51" s="5" t="s">
        <v>44</v>
      </c>
      <c r="B51" s="5" t="s">
        <v>45</v>
      </c>
      <c r="C51" s="6">
        <v>44979</v>
      </c>
      <c r="D51" s="8">
        <v>18</v>
      </c>
      <c r="E51" s="5" t="s">
        <v>36</v>
      </c>
      <c r="F51" s="5" t="s">
        <v>21</v>
      </c>
      <c r="G51" s="5" t="s">
        <v>46</v>
      </c>
      <c r="H51" s="7">
        <v>466.79</v>
      </c>
      <c r="I51" s="3">
        <v>2</v>
      </c>
      <c r="J51" s="3">
        <f t="shared" si="0"/>
        <v>933.58</v>
      </c>
      <c r="K51" s="4">
        <v>0</v>
      </c>
      <c r="L51" s="23">
        <f t="shared" si="1"/>
        <v>0</v>
      </c>
      <c r="M51" s="7">
        <v>933.58</v>
      </c>
      <c r="N51" s="5" t="s">
        <v>23</v>
      </c>
      <c r="O51" s="5" t="s">
        <v>33</v>
      </c>
      <c r="P51" s="3">
        <v>13</v>
      </c>
      <c r="Q51" s="3">
        <v>10</v>
      </c>
      <c r="R51" s="5" t="b">
        <v>1</v>
      </c>
      <c r="S51" s="3">
        <v>9</v>
      </c>
      <c r="T51" s="3">
        <v>5</v>
      </c>
    </row>
    <row r="52" spans="1:20">
      <c r="A52" s="5" t="s">
        <v>729</v>
      </c>
      <c r="B52" s="5" t="s">
        <v>730</v>
      </c>
      <c r="C52" s="6">
        <v>44974</v>
      </c>
      <c r="D52" s="8">
        <v>38</v>
      </c>
      <c r="E52" s="5" t="s">
        <v>36</v>
      </c>
      <c r="F52" s="5" t="s">
        <v>32</v>
      </c>
      <c r="G52" s="5" t="s">
        <v>64</v>
      </c>
      <c r="H52" s="7">
        <v>1222.3699999999999</v>
      </c>
      <c r="I52" s="3">
        <v>1</v>
      </c>
      <c r="J52" s="3">
        <f t="shared" si="0"/>
        <v>1222.3699999999999</v>
      </c>
      <c r="K52" s="4">
        <v>0</v>
      </c>
      <c r="L52" s="23">
        <f t="shared" si="1"/>
        <v>0</v>
      </c>
      <c r="M52" s="7">
        <v>1222.3699999999999</v>
      </c>
      <c r="N52" s="5" t="s">
        <v>692</v>
      </c>
      <c r="O52" s="5" t="s">
        <v>33</v>
      </c>
      <c r="P52" s="3">
        <v>10</v>
      </c>
      <c r="Q52" s="3">
        <v>10</v>
      </c>
      <c r="R52" s="5" t="b">
        <v>0</v>
      </c>
      <c r="S52" s="3">
        <v>4</v>
      </c>
      <c r="T52" s="3">
        <v>4</v>
      </c>
    </row>
    <row r="53" spans="1:20">
      <c r="A53" s="5" t="s">
        <v>348</v>
      </c>
      <c r="B53" s="5" t="s">
        <v>349</v>
      </c>
      <c r="C53" s="6">
        <v>45121</v>
      </c>
      <c r="D53" s="8">
        <v>30</v>
      </c>
      <c r="E53" s="5" t="s">
        <v>36</v>
      </c>
      <c r="F53" s="5" t="s">
        <v>59</v>
      </c>
      <c r="G53" s="5" t="s">
        <v>37</v>
      </c>
      <c r="H53" s="7">
        <v>114.86</v>
      </c>
      <c r="I53" s="3">
        <v>1</v>
      </c>
      <c r="J53" s="3">
        <f t="shared" si="0"/>
        <v>114.86</v>
      </c>
      <c r="K53" s="4">
        <v>13.4</v>
      </c>
      <c r="L53" s="23">
        <f t="shared" si="1"/>
        <v>0.11666376458297058</v>
      </c>
      <c r="M53" s="7">
        <v>101.46</v>
      </c>
      <c r="N53" s="5" t="s">
        <v>327</v>
      </c>
      <c r="O53" s="5" t="s">
        <v>33</v>
      </c>
      <c r="P53" s="3">
        <v>7</v>
      </c>
      <c r="Q53" s="3">
        <v>11</v>
      </c>
      <c r="R53" s="5" t="b">
        <v>1</v>
      </c>
      <c r="S53" s="3">
        <v>5</v>
      </c>
      <c r="T53" s="3">
        <v>5</v>
      </c>
    </row>
    <row r="54" spans="1:20">
      <c r="A54" s="5" t="s">
        <v>731</v>
      </c>
      <c r="B54" s="5" t="s">
        <v>732</v>
      </c>
      <c r="C54" s="6">
        <v>44976</v>
      </c>
      <c r="D54" s="8">
        <v>26</v>
      </c>
      <c r="E54" s="5" t="s">
        <v>20</v>
      </c>
      <c r="F54" s="5" t="s">
        <v>83</v>
      </c>
      <c r="G54" s="5" t="s">
        <v>46</v>
      </c>
      <c r="H54" s="7">
        <v>675.54</v>
      </c>
      <c r="I54" s="3">
        <v>2</v>
      </c>
      <c r="J54" s="3">
        <f t="shared" si="0"/>
        <v>1351.08</v>
      </c>
      <c r="K54" s="4">
        <v>0</v>
      </c>
      <c r="L54" s="23">
        <f t="shared" si="1"/>
        <v>0</v>
      </c>
      <c r="M54" s="7">
        <v>1351.08</v>
      </c>
      <c r="N54" s="5" t="s">
        <v>692</v>
      </c>
      <c r="O54" s="5" t="s">
        <v>33</v>
      </c>
      <c r="P54" s="3">
        <v>16</v>
      </c>
      <c r="Q54" s="3">
        <v>8</v>
      </c>
      <c r="R54" s="5" t="b">
        <v>1</v>
      </c>
      <c r="S54" s="3">
        <v>11</v>
      </c>
      <c r="T54" s="3">
        <v>1</v>
      </c>
    </row>
    <row r="55" spans="1:20">
      <c r="A55" s="5" t="s">
        <v>350</v>
      </c>
      <c r="B55" s="5" t="s">
        <v>351</v>
      </c>
      <c r="C55" s="6">
        <v>45110</v>
      </c>
      <c r="D55" s="8">
        <v>42</v>
      </c>
      <c r="E55" s="5" t="s">
        <v>36</v>
      </c>
      <c r="F55" s="5" t="s">
        <v>21</v>
      </c>
      <c r="G55" s="5" t="s">
        <v>64</v>
      </c>
      <c r="H55" s="7">
        <v>3314.93</v>
      </c>
      <c r="I55" s="3">
        <v>1</v>
      </c>
      <c r="J55" s="3">
        <f t="shared" si="0"/>
        <v>3314.93</v>
      </c>
      <c r="K55" s="4">
        <v>0</v>
      </c>
      <c r="L55" s="23">
        <f t="shared" si="1"/>
        <v>0</v>
      </c>
      <c r="M55" s="7">
        <v>3314.93</v>
      </c>
      <c r="N55" s="5" t="s">
        <v>327</v>
      </c>
      <c r="O55" s="5" t="s">
        <v>33</v>
      </c>
      <c r="P55" s="3">
        <v>16</v>
      </c>
      <c r="Q55" s="3">
        <v>8</v>
      </c>
      <c r="R55" s="5" t="b">
        <v>1</v>
      </c>
      <c r="S55" s="3">
        <v>3</v>
      </c>
      <c r="T55" s="3">
        <v>5</v>
      </c>
    </row>
    <row r="56" spans="1:20">
      <c r="A56" s="5" t="s">
        <v>352</v>
      </c>
      <c r="B56" s="5" t="s">
        <v>353</v>
      </c>
      <c r="C56" s="6">
        <v>45360</v>
      </c>
      <c r="D56" s="8">
        <v>47</v>
      </c>
      <c r="E56" s="5" t="s">
        <v>20</v>
      </c>
      <c r="F56" s="5" t="s">
        <v>32</v>
      </c>
      <c r="G56" s="5" t="s">
        <v>28</v>
      </c>
      <c r="H56" s="7">
        <v>117.66</v>
      </c>
      <c r="I56" s="3">
        <v>5</v>
      </c>
      <c r="J56" s="3">
        <f t="shared" si="0"/>
        <v>588.29999999999995</v>
      </c>
      <c r="K56" s="4">
        <v>21.1</v>
      </c>
      <c r="L56" s="23">
        <f t="shared" si="1"/>
        <v>3.5866054733979268E-2</v>
      </c>
      <c r="M56" s="7">
        <v>567.20000000000005</v>
      </c>
      <c r="N56" s="5" t="s">
        <v>327</v>
      </c>
      <c r="O56" s="5" t="s">
        <v>24</v>
      </c>
      <c r="P56" s="3">
        <v>15</v>
      </c>
      <c r="Q56" s="3">
        <v>14</v>
      </c>
      <c r="R56" s="5" t="b">
        <v>1</v>
      </c>
      <c r="S56" s="3">
        <v>4</v>
      </c>
      <c r="T56" s="3">
        <v>3</v>
      </c>
    </row>
    <row r="57" spans="1:20">
      <c r="A57" s="5" t="s">
        <v>354</v>
      </c>
      <c r="B57" s="5" t="s">
        <v>355</v>
      </c>
      <c r="C57" s="6">
        <v>45103</v>
      </c>
      <c r="D57" s="8">
        <v>46</v>
      </c>
      <c r="E57" s="5" t="s">
        <v>20</v>
      </c>
      <c r="F57" s="5" t="s">
        <v>32</v>
      </c>
      <c r="G57" s="5" t="s">
        <v>22</v>
      </c>
      <c r="H57" s="7">
        <v>112.19</v>
      </c>
      <c r="I57" s="3">
        <v>2</v>
      </c>
      <c r="J57" s="3">
        <f t="shared" si="0"/>
        <v>224.38</v>
      </c>
      <c r="K57" s="4">
        <v>24.94</v>
      </c>
      <c r="L57" s="23">
        <f t="shared" si="1"/>
        <v>0.11115072644620734</v>
      </c>
      <c r="M57" s="7">
        <v>199.44</v>
      </c>
      <c r="N57" s="5" t="s">
        <v>327</v>
      </c>
      <c r="O57" s="5" t="s">
        <v>33</v>
      </c>
      <c r="P57" s="3">
        <v>14</v>
      </c>
      <c r="Q57" s="3">
        <v>6</v>
      </c>
      <c r="R57" s="5" t="b">
        <v>1</v>
      </c>
      <c r="S57" s="3">
        <v>7</v>
      </c>
      <c r="T57" s="3">
        <v>5</v>
      </c>
    </row>
    <row r="58" spans="1:20">
      <c r="A58" s="5" t="s">
        <v>47</v>
      </c>
      <c r="B58" s="5" t="s">
        <v>48</v>
      </c>
      <c r="C58" s="6">
        <v>45236</v>
      </c>
      <c r="D58" s="8">
        <v>24</v>
      </c>
      <c r="E58" s="5" t="s">
        <v>36</v>
      </c>
      <c r="F58" s="5" t="s">
        <v>49</v>
      </c>
      <c r="G58" s="5" t="s">
        <v>37</v>
      </c>
      <c r="H58" s="7">
        <v>118.75</v>
      </c>
      <c r="I58" s="3">
        <v>1</v>
      </c>
      <c r="J58" s="3">
        <f t="shared" si="0"/>
        <v>118.75</v>
      </c>
      <c r="K58" s="4">
        <v>20.87</v>
      </c>
      <c r="L58" s="23">
        <f t="shared" si="1"/>
        <v>0.17574736842105265</v>
      </c>
      <c r="M58" s="7">
        <v>97.88</v>
      </c>
      <c r="N58" s="5" t="s">
        <v>23</v>
      </c>
      <c r="O58" s="5" t="s">
        <v>29</v>
      </c>
      <c r="P58" s="3">
        <v>16</v>
      </c>
      <c r="Q58" s="3">
        <v>9</v>
      </c>
      <c r="R58" s="5" t="b">
        <v>0</v>
      </c>
      <c r="S58" s="3">
        <v>8</v>
      </c>
      <c r="T58" s="3">
        <v>2</v>
      </c>
    </row>
    <row r="59" spans="1:20">
      <c r="A59" s="5" t="s">
        <v>356</v>
      </c>
      <c r="B59" s="5" t="s">
        <v>357</v>
      </c>
      <c r="C59" s="6">
        <v>45062</v>
      </c>
      <c r="D59" s="8">
        <v>31</v>
      </c>
      <c r="E59" s="5" t="s">
        <v>36</v>
      </c>
      <c r="F59" s="5" t="s">
        <v>73</v>
      </c>
      <c r="G59" s="5" t="s">
        <v>56</v>
      </c>
      <c r="H59" s="7">
        <v>211.08</v>
      </c>
      <c r="I59" s="3">
        <v>4</v>
      </c>
      <c r="J59" s="3">
        <f t="shared" si="0"/>
        <v>844.32</v>
      </c>
      <c r="K59" s="4">
        <v>0</v>
      </c>
      <c r="L59" s="23">
        <f t="shared" si="1"/>
        <v>0</v>
      </c>
      <c r="M59" s="7">
        <v>844.32</v>
      </c>
      <c r="N59" s="5" t="s">
        <v>327</v>
      </c>
      <c r="O59" s="5" t="s">
        <v>33</v>
      </c>
      <c r="P59" s="3">
        <v>21</v>
      </c>
      <c r="Q59" s="3">
        <v>11</v>
      </c>
      <c r="R59" s="5" t="b">
        <v>1</v>
      </c>
      <c r="S59" s="3">
        <v>3</v>
      </c>
      <c r="T59" s="3">
        <v>2</v>
      </c>
    </row>
    <row r="60" spans="1:20">
      <c r="A60" s="5" t="s">
        <v>733</v>
      </c>
      <c r="B60" s="5" t="s">
        <v>734</v>
      </c>
      <c r="C60" s="6">
        <v>45340</v>
      </c>
      <c r="D60" s="8">
        <v>38</v>
      </c>
      <c r="E60" s="5" t="s">
        <v>122</v>
      </c>
      <c r="F60" s="5" t="s">
        <v>59</v>
      </c>
      <c r="G60" s="5" t="s">
        <v>22</v>
      </c>
      <c r="H60" s="7">
        <v>187.42</v>
      </c>
      <c r="I60" s="3">
        <v>1</v>
      </c>
      <c r="J60" s="3">
        <f t="shared" si="0"/>
        <v>187.42</v>
      </c>
      <c r="K60" s="4">
        <v>0</v>
      </c>
      <c r="L60" s="23">
        <f t="shared" si="1"/>
        <v>0</v>
      </c>
      <c r="M60" s="7">
        <v>187.42</v>
      </c>
      <c r="N60" s="5" t="s">
        <v>692</v>
      </c>
      <c r="O60" s="5" t="s">
        <v>24</v>
      </c>
      <c r="P60" s="3">
        <v>9</v>
      </c>
      <c r="Q60" s="3">
        <v>9</v>
      </c>
      <c r="R60" s="5" t="b">
        <v>0</v>
      </c>
      <c r="S60" s="3">
        <v>6</v>
      </c>
      <c r="T60" s="3">
        <v>1</v>
      </c>
    </row>
    <row r="61" spans="1:20">
      <c r="A61" s="5" t="s">
        <v>50</v>
      </c>
      <c r="B61" s="5" t="s">
        <v>51</v>
      </c>
      <c r="C61" s="6">
        <v>44949</v>
      </c>
      <c r="D61" s="8">
        <v>46</v>
      </c>
      <c r="E61" s="5" t="s">
        <v>20</v>
      </c>
      <c r="F61" s="5" t="s">
        <v>52</v>
      </c>
      <c r="G61" s="5" t="s">
        <v>53</v>
      </c>
      <c r="H61" s="7">
        <v>19.739999999999998</v>
      </c>
      <c r="I61" s="3">
        <v>1</v>
      </c>
      <c r="J61" s="3">
        <f t="shared" si="0"/>
        <v>19.739999999999998</v>
      </c>
      <c r="K61" s="4">
        <v>0</v>
      </c>
      <c r="L61" s="23">
        <f t="shared" si="1"/>
        <v>0</v>
      </c>
      <c r="M61" s="7">
        <v>19.739999999999998</v>
      </c>
      <c r="N61" s="5" t="s">
        <v>23</v>
      </c>
      <c r="O61" s="5" t="s">
        <v>33</v>
      </c>
      <c r="P61" s="3">
        <v>28</v>
      </c>
      <c r="Q61" s="3">
        <v>8</v>
      </c>
      <c r="R61" s="5" t="b">
        <v>1</v>
      </c>
      <c r="S61" s="3">
        <v>3</v>
      </c>
      <c r="T61" s="3">
        <v>5</v>
      </c>
    </row>
    <row r="62" spans="1:20">
      <c r="A62" s="5" t="s">
        <v>358</v>
      </c>
      <c r="B62" s="5" t="s">
        <v>359</v>
      </c>
      <c r="C62" s="6">
        <v>45300</v>
      </c>
      <c r="D62" s="8">
        <v>29</v>
      </c>
      <c r="E62" s="5" t="s">
        <v>36</v>
      </c>
      <c r="F62" s="5" t="s">
        <v>27</v>
      </c>
      <c r="G62" s="5" t="s">
        <v>64</v>
      </c>
      <c r="H62" s="7">
        <v>7159.45</v>
      </c>
      <c r="I62" s="3">
        <v>3</v>
      </c>
      <c r="J62" s="3">
        <f t="shared" si="0"/>
        <v>21478.35</v>
      </c>
      <c r="K62" s="4">
        <v>0</v>
      </c>
      <c r="L62" s="23">
        <f t="shared" si="1"/>
        <v>0</v>
      </c>
      <c r="M62" s="7">
        <v>21478.35</v>
      </c>
      <c r="N62" s="5" t="s">
        <v>327</v>
      </c>
      <c r="O62" s="5" t="s">
        <v>33</v>
      </c>
      <c r="P62" s="3">
        <v>9</v>
      </c>
      <c r="Q62" s="3">
        <v>8</v>
      </c>
      <c r="R62" s="5" t="b">
        <v>1</v>
      </c>
      <c r="S62" s="3">
        <v>3</v>
      </c>
      <c r="T62" s="3">
        <v>4</v>
      </c>
    </row>
    <row r="63" spans="1:20">
      <c r="A63" s="5" t="s">
        <v>360</v>
      </c>
      <c r="B63" s="5" t="s">
        <v>361</v>
      </c>
      <c r="C63" s="6">
        <v>45162</v>
      </c>
      <c r="D63" s="8">
        <v>32</v>
      </c>
      <c r="E63" s="5" t="s">
        <v>20</v>
      </c>
      <c r="F63" s="5" t="s">
        <v>49</v>
      </c>
      <c r="G63" s="5" t="s">
        <v>56</v>
      </c>
      <c r="H63" s="7">
        <v>1218.98</v>
      </c>
      <c r="I63" s="3">
        <v>1</v>
      </c>
      <c r="J63" s="3">
        <f t="shared" si="0"/>
        <v>1218.98</v>
      </c>
      <c r="K63" s="4">
        <v>0</v>
      </c>
      <c r="L63" s="23">
        <f t="shared" si="1"/>
        <v>0</v>
      </c>
      <c r="M63" s="7">
        <v>1218.98</v>
      </c>
      <c r="N63" s="5" t="s">
        <v>327</v>
      </c>
      <c r="O63" s="5" t="s">
        <v>33</v>
      </c>
      <c r="P63" s="3">
        <v>3</v>
      </c>
      <c r="Q63" s="3">
        <v>11</v>
      </c>
      <c r="R63" s="5" t="b">
        <v>1</v>
      </c>
      <c r="S63" s="3">
        <v>10</v>
      </c>
      <c r="T63" s="3">
        <v>4</v>
      </c>
    </row>
    <row r="64" spans="1:20">
      <c r="A64" s="5" t="s">
        <v>1236</v>
      </c>
      <c r="B64" s="5" t="s">
        <v>1237</v>
      </c>
      <c r="C64" s="6">
        <v>45201</v>
      </c>
      <c r="D64" s="8">
        <v>21</v>
      </c>
      <c r="E64" s="5" t="s">
        <v>20</v>
      </c>
      <c r="F64" s="5" t="s">
        <v>52</v>
      </c>
      <c r="G64" s="5" t="s">
        <v>22</v>
      </c>
      <c r="H64" s="7">
        <v>461.3</v>
      </c>
      <c r="I64" s="3">
        <v>2</v>
      </c>
      <c r="J64" s="3">
        <f t="shared" si="0"/>
        <v>922.6</v>
      </c>
      <c r="K64" s="4">
        <v>0</v>
      </c>
      <c r="L64" s="23">
        <f t="shared" si="1"/>
        <v>0</v>
      </c>
      <c r="M64" s="7">
        <v>922.6</v>
      </c>
      <c r="N64" s="5" t="s">
        <v>1231</v>
      </c>
      <c r="O64" s="5" t="s">
        <v>24</v>
      </c>
      <c r="P64" s="3">
        <v>13</v>
      </c>
      <c r="Q64" s="3">
        <v>8</v>
      </c>
      <c r="R64" s="5" t="b">
        <v>1</v>
      </c>
      <c r="S64" s="3">
        <v>4</v>
      </c>
      <c r="T64" s="3">
        <v>5</v>
      </c>
    </row>
    <row r="65" spans="1:20">
      <c r="A65" s="5" t="s">
        <v>735</v>
      </c>
      <c r="B65" s="5" t="s">
        <v>736</v>
      </c>
      <c r="C65" s="6">
        <v>44990</v>
      </c>
      <c r="D65" s="8">
        <v>20</v>
      </c>
      <c r="E65" s="5" t="s">
        <v>36</v>
      </c>
      <c r="F65" s="5" t="s">
        <v>73</v>
      </c>
      <c r="G65" s="5" t="s">
        <v>115</v>
      </c>
      <c r="H65" s="7">
        <v>137.93</v>
      </c>
      <c r="I65" s="3">
        <v>3</v>
      </c>
      <c r="J65" s="3">
        <f t="shared" si="0"/>
        <v>413.79</v>
      </c>
      <c r="K65" s="4">
        <v>36.19</v>
      </c>
      <c r="L65" s="23">
        <f t="shared" si="1"/>
        <v>8.7459822615336275E-2</v>
      </c>
      <c r="M65" s="7">
        <v>377.6</v>
      </c>
      <c r="N65" s="5" t="s">
        <v>692</v>
      </c>
      <c r="O65" s="5" t="s">
        <v>33</v>
      </c>
      <c r="P65" s="3">
        <v>11</v>
      </c>
      <c r="Q65" s="3">
        <v>14</v>
      </c>
      <c r="R65" s="5" t="b">
        <v>1</v>
      </c>
      <c r="S65" s="3">
        <v>11</v>
      </c>
      <c r="T65" s="3">
        <v>4</v>
      </c>
    </row>
    <row r="66" spans="1:20">
      <c r="A66" s="5" t="s">
        <v>362</v>
      </c>
      <c r="B66" s="5" t="s">
        <v>363</v>
      </c>
      <c r="C66" s="6">
        <v>45120</v>
      </c>
      <c r="D66" s="8">
        <v>44</v>
      </c>
      <c r="E66" s="5" t="s">
        <v>36</v>
      </c>
      <c r="F66" s="5" t="s">
        <v>32</v>
      </c>
      <c r="G66" s="5" t="s">
        <v>37</v>
      </c>
      <c r="H66" s="7">
        <v>164.43</v>
      </c>
      <c r="I66" s="3">
        <v>1</v>
      </c>
      <c r="J66" s="3">
        <f t="shared" si="0"/>
        <v>164.43</v>
      </c>
      <c r="K66" s="4">
        <v>0</v>
      </c>
      <c r="L66" s="23">
        <f t="shared" si="1"/>
        <v>0</v>
      </c>
      <c r="M66" s="7">
        <v>164.43</v>
      </c>
      <c r="N66" s="5" t="s">
        <v>327</v>
      </c>
      <c r="O66" s="5" t="s">
        <v>24</v>
      </c>
      <c r="P66" s="3">
        <v>6</v>
      </c>
      <c r="Q66" s="3">
        <v>10</v>
      </c>
      <c r="R66" s="5" t="b">
        <v>1</v>
      </c>
      <c r="S66" s="3">
        <v>3</v>
      </c>
      <c r="T66" s="3">
        <v>4</v>
      </c>
    </row>
    <row r="67" spans="1:20">
      <c r="A67" s="5" t="s">
        <v>54</v>
      </c>
      <c r="B67" s="5" t="s">
        <v>55</v>
      </c>
      <c r="C67" s="6">
        <v>44967</v>
      </c>
      <c r="D67" s="8">
        <v>51</v>
      </c>
      <c r="E67" s="5" t="s">
        <v>36</v>
      </c>
      <c r="F67" s="5" t="s">
        <v>21</v>
      </c>
      <c r="G67" s="5" t="s">
        <v>56</v>
      </c>
      <c r="H67" s="7">
        <v>672.23</v>
      </c>
      <c r="I67" s="3">
        <v>2</v>
      </c>
      <c r="J67" s="3">
        <f t="shared" ref="J67:J130" si="2">H67*I67</f>
        <v>1344.46</v>
      </c>
      <c r="K67" s="4">
        <v>0</v>
      </c>
      <c r="L67" s="23">
        <f t="shared" ref="L67:L130" si="3">IF(J67=0,0,K67/J67)</f>
        <v>0</v>
      </c>
      <c r="M67" s="7">
        <v>1344.46</v>
      </c>
      <c r="N67" s="5" t="s">
        <v>23</v>
      </c>
      <c r="O67" s="5" t="s">
        <v>24</v>
      </c>
      <c r="P67" s="3">
        <v>33</v>
      </c>
      <c r="Q67" s="3">
        <v>10</v>
      </c>
      <c r="R67" s="5" t="b">
        <v>1</v>
      </c>
      <c r="S67" s="3">
        <v>7</v>
      </c>
      <c r="T67" s="3">
        <v>4</v>
      </c>
    </row>
    <row r="68" spans="1:20">
      <c r="A68" s="5" t="s">
        <v>737</v>
      </c>
      <c r="B68" s="5" t="s">
        <v>738</v>
      </c>
      <c r="C68" s="6">
        <v>45209</v>
      </c>
      <c r="D68" s="8">
        <v>34</v>
      </c>
      <c r="E68" s="5" t="s">
        <v>20</v>
      </c>
      <c r="F68" s="5" t="s">
        <v>88</v>
      </c>
      <c r="G68" s="5" t="s">
        <v>46</v>
      </c>
      <c r="H68" s="7">
        <v>515.91999999999996</v>
      </c>
      <c r="I68" s="3">
        <v>3</v>
      </c>
      <c r="J68" s="3">
        <f t="shared" si="2"/>
        <v>1547.7599999999998</v>
      </c>
      <c r="K68" s="4">
        <v>0</v>
      </c>
      <c r="L68" s="23">
        <f t="shared" si="3"/>
        <v>0</v>
      </c>
      <c r="M68" s="7">
        <v>1547.76</v>
      </c>
      <c r="N68" s="5" t="s">
        <v>692</v>
      </c>
      <c r="O68" s="5" t="s">
        <v>33</v>
      </c>
      <c r="P68" s="3">
        <v>14</v>
      </c>
      <c r="Q68" s="3">
        <v>7</v>
      </c>
      <c r="R68" s="5" t="b">
        <v>1</v>
      </c>
      <c r="S68" s="3">
        <v>3</v>
      </c>
      <c r="T68" s="3">
        <v>1</v>
      </c>
    </row>
    <row r="69" spans="1:20">
      <c r="A69" s="5" t="s">
        <v>739</v>
      </c>
      <c r="B69" s="5" t="s">
        <v>740</v>
      </c>
      <c r="C69" s="6">
        <v>45077</v>
      </c>
      <c r="D69" s="8">
        <v>47</v>
      </c>
      <c r="E69" s="5" t="s">
        <v>36</v>
      </c>
      <c r="F69" s="5" t="s">
        <v>21</v>
      </c>
      <c r="G69" s="5" t="s">
        <v>64</v>
      </c>
      <c r="H69" s="7">
        <v>3208.37</v>
      </c>
      <c r="I69" s="3">
        <v>1</v>
      </c>
      <c r="J69" s="3">
        <f t="shared" si="2"/>
        <v>3208.37</v>
      </c>
      <c r="K69" s="4">
        <v>595.11</v>
      </c>
      <c r="L69" s="23">
        <f t="shared" si="3"/>
        <v>0.1854867113207018</v>
      </c>
      <c r="M69" s="7">
        <v>2613.2600000000002</v>
      </c>
      <c r="N69" s="5" t="s">
        <v>692</v>
      </c>
      <c r="O69" s="5" t="s">
        <v>29</v>
      </c>
      <c r="P69" s="3">
        <v>14</v>
      </c>
      <c r="Q69" s="3">
        <v>13</v>
      </c>
      <c r="R69" s="5" t="b">
        <v>1</v>
      </c>
      <c r="S69" s="3">
        <v>5</v>
      </c>
      <c r="T69" s="3">
        <v>3</v>
      </c>
    </row>
    <row r="70" spans="1:20">
      <c r="A70" s="5" t="s">
        <v>57</v>
      </c>
      <c r="B70" s="5" t="s">
        <v>58</v>
      </c>
      <c r="C70" s="6">
        <v>45351</v>
      </c>
      <c r="D70" s="8">
        <v>39</v>
      </c>
      <c r="E70" s="5" t="s">
        <v>20</v>
      </c>
      <c r="F70" s="5" t="s">
        <v>59</v>
      </c>
      <c r="G70" s="5" t="s">
        <v>53</v>
      </c>
      <c r="H70" s="7">
        <v>103.32</v>
      </c>
      <c r="I70" s="3">
        <v>1</v>
      </c>
      <c r="J70" s="3">
        <f t="shared" si="2"/>
        <v>103.32</v>
      </c>
      <c r="K70" s="4">
        <v>0</v>
      </c>
      <c r="L70" s="23">
        <f t="shared" si="3"/>
        <v>0</v>
      </c>
      <c r="M70" s="7">
        <v>103.32</v>
      </c>
      <c r="N70" s="5" t="s">
        <v>23</v>
      </c>
      <c r="O70" s="5" t="s">
        <v>33</v>
      </c>
      <c r="P70" s="3">
        <v>18</v>
      </c>
      <c r="Q70" s="3">
        <v>8</v>
      </c>
      <c r="R70" s="5" t="b">
        <v>1</v>
      </c>
      <c r="S70" s="3">
        <v>1</v>
      </c>
      <c r="T70" s="3">
        <v>2</v>
      </c>
    </row>
    <row r="71" spans="1:20">
      <c r="A71" s="5" t="s">
        <v>741</v>
      </c>
      <c r="B71" s="5" t="s">
        <v>742</v>
      </c>
      <c r="C71" s="6">
        <v>45248</v>
      </c>
      <c r="D71" s="8">
        <v>27</v>
      </c>
      <c r="E71" s="5" t="s">
        <v>36</v>
      </c>
      <c r="F71" s="5" t="s">
        <v>73</v>
      </c>
      <c r="G71" s="5" t="s">
        <v>46</v>
      </c>
      <c r="H71" s="7">
        <v>213.31</v>
      </c>
      <c r="I71" s="3">
        <v>1</v>
      </c>
      <c r="J71" s="3">
        <f t="shared" si="2"/>
        <v>213.31</v>
      </c>
      <c r="K71" s="4">
        <v>19.59</v>
      </c>
      <c r="L71" s="23">
        <f t="shared" si="3"/>
        <v>9.1838169799821859E-2</v>
      </c>
      <c r="M71" s="7">
        <v>193.72</v>
      </c>
      <c r="N71" s="5" t="s">
        <v>692</v>
      </c>
      <c r="O71" s="5" t="s">
        <v>33</v>
      </c>
      <c r="P71" s="3">
        <v>27</v>
      </c>
      <c r="Q71" s="3">
        <v>8</v>
      </c>
      <c r="R71" s="5" t="b">
        <v>1</v>
      </c>
      <c r="S71" s="3">
        <v>7</v>
      </c>
      <c r="T71" s="3">
        <v>5</v>
      </c>
    </row>
    <row r="72" spans="1:20">
      <c r="A72" s="5" t="s">
        <v>364</v>
      </c>
      <c r="B72" s="5" t="s">
        <v>365</v>
      </c>
      <c r="C72" s="6">
        <v>45243</v>
      </c>
      <c r="D72" s="8">
        <v>39</v>
      </c>
      <c r="E72" s="5" t="s">
        <v>20</v>
      </c>
      <c r="F72" s="5" t="s">
        <v>32</v>
      </c>
      <c r="G72" s="5" t="s">
        <v>115</v>
      </c>
      <c r="H72" s="7">
        <v>52.97</v>
      </c>
      <c r="I72" s="3">
        <v>1</v>
      </c>
      <c r="J72" s="3">
        <f t="shared" si="2"/>
        <v>52.97</v>
      </c>
      <c r="K72" s="4">
        <v>0</v>
      </c>
      <c r="L72" s="23">
        <f t="shared" si="3"/>
        <v>0</v>
      </c>
      <c r="M72" s="7">
        <v>52.97</v>
      </c>
      <c r="N72" s="5" t="s">
        <v>327</v>
      </c>
      <c r="O72" s="5" t="s">
        <v>33</v>
      </c>
      <c r="P72" s="3">
        <v>12</v>
      </c>
      <c r="Q72" s="3">
        <v>6</v>
      </c>
      <c r="R72" s="5" t="b">
        <v>1</v>
      </c>
      <c r="S72" s="3">
        <v>4</v>
      </c>
      <c r="T72" s="3">
        <v>3</v>
      </c>
    </row>
    <row r="73" spans="1:20">
      <c r="A73" s="5" t="s">
        <v>366</v>
      </c>
      <c r="B73" s="5" t="s">
        <v>367</v>
      </c>
      <c r="C73" s="6">
        <v>45368</v>
      </c>
      <c r="D73" s="8">
        <v>53</v>
      </c>
      <c r="E73" s="5" t="s">
        <v>20</v>
      </c>
      <c r="F73" s="5" t="s">
        <v>73</v>
      </c>
      <c r="G73" s="5" t="s">
        <v>56</v>
      </c>
      <c r="H73" s="7">
        <v>604.92999999999995</v>
      </c>
      <c r="I73" s="3">
        <v>1</v>
      </c>
      <c r="J73" s="3">
        <f t="shared" si="2"/>
        <v>604.92999999999995</v>
      </c>
      <c r="K73" s="4">
        <v>0</v>
      </c>
      <c r="L73" s="23">
        <f t="shared" si="3"/>
        <v>0</v>
      </c>
      <c r="M73" s="7">
        <v>604.92999999999995</v>
      </c>
      <c r="N73" s="5" t="s">
        <v>327</v>
      </c>
      <c r="O73" s="5" t="s">
        <v>33</v>
      </c>
      <c r="P73" s="3">
        <v>9</v>
      </c>
      <c r="Q73" s="3">
        <v>12</v>
      </c>
      <c r="R73" s="5" t="b">
        <v>1</v>
      </c>
      <c r="S73" s="3">
        <v>5</v>
      </c>
      <c r="T73" s="3">
        <v>4</v>
      </c>
    </row>
    <row r="74" spans="1:20">
      <c r="A74" s="5" t="s">
        <v>60</v>
      </c>
      <c r="B74" s="5" t="s">
        <v>61</v>
      </c>
      <c r="C74" s="6">
        <v>45112</v>
      </c>
      <c r="D74" s="8">
        <v>34</v>
      </c>
      <c r="E74" s="5" t="s">
        <v>36</v>
      </c>
      <c r="F74" s="5" t="s">
        <v>21</v>
      </c>
      <c r="G74" s="5" t="s">
        <v>22</v>
      </c>
      <c r="H74" s="7">
        <v>437.59</v>
      </c>
      <c r="I74" s="3">
        <v>2</v>
      </c>
      <c r="J74" s="3">
        <f t="shared" si="2"/>
        <v>875.18</v>
      </c>
      <c r="K74" s="4">
        <v>0</v>
      </c>
      <c r="L74" s="23">
        <f t="shared" si="3"/>
        <v>0</v>
      </c>
      <c r="M74" s="7">
        <v>875.18</v>
      </c>
      <c r="N74" s="5" t="s">
        <v>23</v>
      </c>
      <c r="O74" s="5" t="s">
        <v>33</v>
      </c>
      <c r="P74" s="3">
        <v>10</v>
      </c>
      <c r="Q74" s="3">
        <v>11</v>
      </c>
      <c r="R74" s="5" t="b">
        <v>1</v>
      </c>
      <c r="S74" s="3">
        <v>4</v>
      </c>
      <c r="T74" s="3">
        <v>4</v>
      </c>
    </row>
    <row r="75" spans="1:20">
      <c r="A75" s="5" t="s">
        <v>62</v>
      </c>
      <c r="B75" s="5" t="s">
        <v>63</v>
      </c>
      <c r="C75" s="6">
        <v>45222</v>
      </c>
      <c r="D75" s="8">
        <v>53</v>
      </c>
      <c r="E75" s="5" t="s">
        <v>36</v>
      </c>
      <c r="F75" s="5" t="s">
        <v>52</v>
      </c>
      <c r="G75" s="5" t="s">
        <v>64</v>
      </c>
      <c r="H75" s="7">
        <v>772.83</v>
      </c>
      <c r="I75" s="3">
        <v>2</v>
      </c>
      <c r="J75" s="3">
        <f t="shared" si="2"/>
        <v>1545.66</v>
      </c>
      <c r="K75" s="4">
        <v>0</v>
      </c>
      <c r="L75" s="23">
        <f t="shared" si="3"/>
        <v>0</v>
      </c>
      <c r="M75" s="7">
        <v>1545.66</v>
      </c>
      <c r="N75" s="5" t="s">
        <v>23</v>
      </c>
      <c r="O75" s="5" t="s">
        <v>33</v>
      </c>
      <c r="P75" s="3">
        <v>27</v>
      </c>
      <c r="Q75" s="3">
        <v>7</v>
      </c>
      <c r="R75" s="5" t="b">
        <v>0</v>
      </c>
      <c r="S75" s="3">
        <v>7</v>
      </c>
      <c r="T75" s="3">
        <v>3</v>
      </c>
    </row>
    <row r="76" spans="1:20">
      <c r="A76" s="5" t="s">
        <v>1315</v>
      </c>
      <c r="B76" s="5" t="s">
        <v>1316</v>
      </c>
      <c r="C76" s="6">
        <v>45025</v>
      </c>
      <c r="D76" s="8">
        <v>18</v>
      </c>
      <c r="E76" s="5" t="s">
        <v>20</v>
      </c>
      <c r="F76" s="5" t="s">
        <v>32</v>
      </c>
      <c r="G76" s="5" t="s">
        <v>37</v>
      </c>
      <c r="H76" s="7">
        <v>52.78</v>
      </c>
      <c r="I76" s="3">
        <v>5</v>
      </c>
      <c r="J76" s="3">
        <f t="shared" si="2"/>
        <v>263.89999999999998</v>
      </c>
      <c r="K76" s="4">
        <v>13.58</v>
      </c>
      <c r="L76" s="23">
        <f t="shared" si="3"/>
        <v>5.1458885941644564E-2</v>
      </c>
      <c r="M76" s="7">
        <v>250.32</v>
      </c>
      <c r="N76" s="5" t="s">
        <v>1298</v>
      </c>
      <c r="O76" s="5" t="s">
        <v>33</v>
      </c>
      <c r="P76" s="3">
        <v>24</v>
      </c>
      <c r="Q76" s="3">
        <v>9</v>
      </c>
      <c r="R76" s="5" t="b">
        <v>0</v>
      </c>
      <c r="S76" s="3">
        <v>4</v>
      </c>
      <c r="T76" s="3">
        <v>5</v>
      </c>
    </row>
    <row r="77" spans="1:20">
      <c r="A77" s="5" t="s">
        <v>743</v>
      </c>
      <c r="B77" s="5" t="s">
        <v>744</v>
      </c>
      <c r="C77" s="6">
        <v>45287</v>
      </c>
      <c r="D77" s="8">
        <v>44</v>
      </c>
      <c r="E77" s="5" t="s">
        <v>20</v>
      </c>
      <c r="F77" s="5" t="s">
        <v>21</v>
      </c>
      <c r="G77" s="5" t="s">
        <v>53</v>
      </c>
      <c r="H77" s="7">
        <v>21.9</v>
      </c>
      <c r="I77" s="3">
        <v>4</v>
      </c>
      <c r="J77" s="3">
        <f t="shared" si="2"/>
        <v>87.6</v>
      </c>
      <c r="K77" s="4">
        <v>4.97</v>
      </c>
      <c r="L77" s="23">
        <f t="shared" si="3"/>
        <v>5.6735159817351596E-2</v>
      </c>
      <c r="M77" s="7">
        <v>82.63</v>
      </c>
      <c r="N77" s="5" t="s">
        <v>692</v>
      </c>
      <c r="O77" s="5" t="s">
        <v>29</v>
      </c>
      <c r="P77" s="3">
        <v>34</v>
      </c>
      <c r="Q77" s="3">
        <v>14</v>
      </c>
      <c r="R77" s="5" t="b">
        <v>1</v>
      </c>
      <c r="S77" s="3">
        <v>6</v>
      </c>
      <c r="T77" s="3">
        <v>5</v>
      </c>
    </row>
    <row r="78" spans="1:20">
      <c r="A78" s="5" t="s">
        <v>65</v>
      </c>
      <c r="B78" s="5" t="s">
        <v>66</v>
      </c>
      <c r="C78" s="6">
        <v>44962</v>
      </c>
      <c r="D78" s="8">
        <v>36</v>
      </c>
      <c r="E78" s="5" t="s">
        <v>36</v>
      </c>
      <c r="F78" s="5" t="s">
        <v>32</v>
      </c>
      <c r="G78" s="5" t="s">
        <v>22</v>
      </c>
      <c r="H78" s="7">
        <v>165.02</v>
      </c>
      <c r="I78" s="3">
        <v>1</v>
      </c>
      <c r="J78" s="3">
        <f t="shared" si="2"/>
        <v>165.02</v>
      </c>
      <c r="K78" s="4">
        <v>0</v>
      </c>
      <c r="L78" s="23">
        <f t="shared" si="3"/>
        <v>0</v>
      </c>
      <c r="M78" s="7">
        <v>165.02</v>
      </c>
      <c r="N78" s="5" t="s">
        <v>23</v>
      </c>
      <c r="O78" s="5" t="s">
        <v>24</v>
      </c>
      <c r="P78" s="3">
        <v>7</v>
      </c>
      <c r="Q78" s="3">
        <v>13</v>
      </c>
      <c r="R78" s="5" t="b">
        <v>1</v>
      </c>
      <c r="S78" s="3">
        <v>3</v>
      </c>
      <c r="T78" s="3">
        <v>2</v>
      </c>
    </row>
    <row r="79" spans="1:20">
      <c r="A79" s="5" t="s">
        <v>67</v>
      </c>
      <c r="B79" s="5" t="s">
        <v>68</v>
      </c>
      <c r="C79" s="6">
        <v>44950</v>
      </c>
      <c r="D79" s="8">
        <v>31</v>
      </c>
      <c r="E79" s="5" t="s">
        <v>20</v>
      </c>
      <c r="F79" s="5" t="s">
        <v>32</v>
      </c>
      <c r="G79" s="5" t="s">
        <v>53</v>
      </c>
      <c r="H79" s="7">
        <v>39.770000000000003</v>
      </c>
      <c r="I79" s="3">
        <v>1</v>
      </c>
      <c r="J79" s="3">
        <f t="shared" si="2"/>
        <v>39.770000000000003</v>
      </c>
      <c r="K79" s="4">
        <v>0</v>
      </c>
      <c r="L79" s="23">
        <f t="shared" si="3"/>
        <v>0</v>
      </c>
      <c r="M79" s="7">
        <v>39.770000000000003</v>
      </c>
      <c r="N79" s="5" t="s">
        <v>23</v>
      </c>
      <c r="O79" s="5" t="s">
        <v>33</v>
      </c>
      <c r="P79" s="3">
        <v>12</v>
      </c>
      <c r="Q79" s="3">
        <v>6</v>
      </c>
      <c r="R79" s="5" t="b">
        <v>0</v>
      </c>
      <c r="S79" s="3">
        <v>9</v>
      </c>
      <c r="T79" s="3">
        <v>5</v>
      </c>
    </row>
    <row r="80" spans="1:20">
      <c r="A80" s="5" t="s">
        <v>745</v>
      </c>
      <c r="B80" s="5" t="s">
        <v>746</v>
      </c>
      <c r="C80" s="6">
        <v>45265</v>
      </c>
      <c r="D80" s="8">
        <v>36</v>
      </c>
      <c r="E80" s="5" t="s">
        <v>20</v>
      </c>
      <c r="F80" s="5" t="s">
        <v>21</v>
      </c>
      <c r="G80" s="5" t="s">
        <v>37</v>
      </c>
      <c r="H80" s="7">
        <v>232.93</v>
      </c>
      <c r="I80" s="3">
        <v>2</v>
      </c>
      <c r="J80" s="3">
        <f t="shared" si="2"/>
        <v>465.86</v>
      </c>
      <c r="K80" s="4">
        <v>0</v>
      </c>
      <c r="L80" s="23">
        <f t="shared" si="3"/>
        <v>0</v>
      </c>
      <c r="M80" s="7">
        <v>465.86</v>
      </c>
      <c r="N80" s="5" t="s">
        <v>692</v>
      </c>
      <c r="O80" s="5" t="s">
        <v>33</v>
      </c>
      <c r="P80" s="3">
        <v>11</v>
      </c>
      <c r="Q80" s="3">
        <v>6</v>
      </c>
      <c r="R80" s="5" t="b">
        <v>1</v>
      </c>
      <c r="S80" s="3">
        <v>4</v>
      </c>
      <c r="T80" s="3">
        <v>4</v>
      </c>
    </row>
    <row r="81" spans="1:20">
      <c r="A81" s="5" t="s">
        <v>1238</v>
      </c>
      <c r="B81" s="5" t="s">
        <v>1239</v>
      </c>
      <c r="C81" s="6">
        <v>45043</v>
      </c>
      <c r="D81" s="8">
        <v>18</v>
      </c>
      <c r="E81" s="5" t="s">
        <v>20</v>
      </c>
      <c r="F81" s="5" t="s">
        <v>52</v>
      </c>
      <c r="G81" s="5" t="s">
        <v>28</v>
      </c>
      <c r="H81" s="7">
        <v>252.16</v>
      </c>
      <c r="I81" s="3">
        <v>1</v>
      </c>
      <c r="J81" s="3">
        <f t="shared" si="2"/>
        <v>252.16</v>
      </c>
      <c r="K81" s="4">
        <v>0</v>
      </c>
      <c r="L81" s="23">
        <f t="shared" si="3"/>
        <v>0</v>
      </c>
      <c r="M81" s="7">
        <v>252.16</v>
      </c>
      <c r="N81" s="5" t="s">
        <v>1231</v>
      </c>
      <c r="O81" s="5" t="s">
        <v>24</v>
      </c>
      <c r="P81" s="3">
        <v>47</v>
      </c>
      <c r="Q81" s="3">
        <v>9</v>
      </c>
      <c r="R81" s="5" t="b">
        <v>1</v>
      </c>
      <c r="S81" s="3">
        <v>6</v>
      </c>
      <c r="T81" s="3">
        <v>5</v>
      </c>
    </row>
    <row r="82" spans="1:20">
      <c r="A82" s="5" t="s">
        <v>1317</v>
      </c>
      <c r="B82" s="5" t="s">
        <v>1318</v>
      </c>
      <c r="C82" s="6">
        <v>45322</v>
      </c>
      <c r="D82" s="8">
        <v>32</v>
      </c>
      <c r="E82" s="5" t="s">
        <v>20</v>
      </c>
      <c r="F82" s="5" t="s">
        <v>76</v>
      </c>
      <c r="G82" s="5" t="s">
        <v>64</v>
      </c>
      <c r="H82" s="7">
        <v>2699.1</v>
      </c>
      <c r="I82" s="3">
        <v>2</v>
      </c>
      <c r="J82" s="3">
        <f t="shared" si="2"/>
        <v>5398.2</v>
      </c>
      <c r="K82" s="4">
        <v>480.87</v>
      </c>
      <c r="L82" s="23">
        <f t="shared" si="3"/>
        <v>8.9079693231077034E-2</v>
      </c>
      <c r="M82" s="7">
        <v>4917.33</v>
      </c>
      <c r="N82" s="5" t="s">
        <v>1298</v>
      </c>
      <c r="O82" s="5" t="s">
        <v>24</v>
      </c>
      <c r="P82" s="3">
        <v>23</v>
      </c>
      <c r="Q82" s="3">
        <v>8</v>
      </c>
      <c r="R82" s="5" t="b">
        <v>0</v>
      </c>
      <c r="S82" s="3">
        <v>11</v>
      </c>
      <c r="T82" s="3">
        <v>3</v>
      </c>
    </row>
    <row r="83" spans="1:20">
      <c r="A83" s="5" t="s">
        <v>747</v>
      </c>
      <c r="B83" s="5" t="s">
        <v>748</v>
      </c>
      <c r="C83" s="6">
        <v>45075</v>
      </c>
      <c r="D83" s="8">
        <v>39</v>
      </c>
      <c r="E83" s="5" t="s">
        <v>36</v>
      </c>
      <c r="F83" s="5" t="s">
        <v>52</v>
      </c>
      <c r="G83" s="5" t="s">
        <v>56</v>
      </c>
      <c r="H83" s="7">
        <v>255.73</v>
      </c>
      <c r="I83" s="3">
        <v>5</v>
      </c>
      <c r="J83" s="3">
        <f t="shared" si="2"/>
        <v>1278.6499999999999</v>
      </c>
      <c r="K83" s="4">
        <v>0</v>
      </c>
      <c r="L83" s="23">
        <f t="shared" si="3"/>
        <v>0</v>
      </c>
      <c r="M83" s="7">
        <v>1278.6500000000001</v>
      </c>
      <c r="N83" s="5" t="s">
        <v>692</v>
      </c>
      <c r="O83" s="5" t="s">
        <v>33</v>
      </c>
      <c r="P83" s="3">
        <v>12</v>
      </c>
      <c r="Q83" s="3">
        <v>6</v>
      </c>
      <c r="R83" s="5" t="b">
        <v>0</v>
      </c>
      <c r="S83" s="3">
        <v>6</v>
      </c>
      <c r="T83" s="3">
        <v>3</v>
      </c>
    </row>
    <row r="84" spans="1:20">
      <c r="A84" s="5" t="s">
        <v>69</v>
      </c>
      <c r="B84" s="5" t="s">
        <v>70</v>
      </c>
      <c r="C84" s="6">
        <v>44967</v>
      </c>
      <c r="D84" s="8">
        <v>52</v>
      </c>
      <c r="E84" s="5" t="s">
        <v>36</v>
      </c>
      <c r="F84" s="5" t="s">
        <v>27</v>
      </c>
      <c r="G84" s="5" t="s">
        <v>53</v>
      </c>
      <c r="H84" s="7">
        <v>42.89</v>
      </c>
      <c r="I84" s="3">
        <v>1</v>
      </c>
      <c r="J84" s="3">
        <f t="shared" si="2"/>
        <v>42.89</v>
      </c>
      <c r="K84" s="4">
        <v>0</v>
      </c>
      <c r="L84" s="23">
        <f t="shared" si="3"/>
        <v>0</v>
      </c>
      <c r="M84" s="7">
        <v>42.89</v>
      </c>
      <c r="N84" s="5" t="s">
        <v>23</v>
      </c>
      <c r="O84" s="5" t="s">
        <v>24</v>
      </c>
      <c r="P84" s="3">
        <v>26</v>
      </c>
      <c r="Q84" s="3">
        <v>10</v>
      </c>
      <c r="R84" s="5" t="b">
        <v>1</v>
      </c>
      <c r="S84" s="3">
        <v>8</v>
      </c>
      <c r="T84" s="3">
        <v>5</v>
      </c>
    </row>
    <row r="85" spans="1:20">
      <c r="A85" s="5" t="s">
        <v>71</v>
      </c>
      <c r="B85" s="5" t="s">
        <v>72</v>
      </c>
      <c r="C85" s="6">
        <v>45364</v>
      </c>
      <c r="D85" s="8">
        <v>28</v>
      </c>
      <c r="E85" s="5" t="s">
        <v>36</v>
      </c>
      <c r="F85" s="5" t="s">
        <v>73</v>
      </c>
      <c r="G85" s="5" t="s">
        <v>64</v>
      </c>
      <c r="H85" s="7">
        <v>2289.9</v>
      </c>
      <c r="I85" s="3">
        <v>1</v>
      </c>
      <c r="J85" s="3">
        <f t="shared" si="2"/>
        <v>2289.9</v>
      </c>
      <c r="K85" s="4">
        <v>0</v>
      </c>
      <c r="L85" s="23">
        <f t="shared" si="3"/>
        <v>0</v>
      </c>
      <c r="M85" s="7">
        <v>2289.9</v>
      </c>
      <c r="N85" s="5" t="s">
        <v>23</v>
      </c>
      <c r="O85" s="5" t="s">
        <v>33</v>
      </c>
      <c r="P85" s="3">
        <v>11</v>
      </c>
      <c r="Q85" s="3">
        <v>8</v>
      </c>
      <c r="R85" s="5" t="b">
        <v>0</v>
      </c>
      <c r="S85" s="3">
        <v>6</v>
      </c>
      <c r="T85" s="3">
        <v>5</v>
      </c>
    </row>
    <row r="86" spans="1:20">
      <c r="A86" s="5" t="s">
        <v>368</v>
      </c>
      <c r="B86" s="5" t="s">
        <v>369</v>
      </c>
      <c r="C86" s="6">
        <v>45046</v>
      </c>
      <c r="D86" s="8">
        <v>25</v>
      </c>
      <c r="E86" s="5" t="s">
        <v>122</v>
      </c>
      <c r="F86" s="5" t="s">
        <v>27</v>
      </c>
      <c r="G86" s="5" t="s">
        <v>53</v>
      </c>
      <c r="H86" s="7">
        <v>53.09</v>
      </c>
      <c r="I86" s="3">
        <v>5</v>
      </c>
      <c r="J86" s="3">
        <f t="shared" si="2"/>
        <v>265.45000000000005</v>
      </c>
      <c r="K86" s="4">
        <v>0</v>
      </c>
      <c r="L86" s="23">
        <f t="shared" si="3"/>
        <v>0</v>
      </c>
      <c r="M86" s="7">
        <v>265.45</v>
      </c>
      <c r="N86" s="5" t="s">
        <v>327</v>
      </c>
      <c r="O86" s="5" t="s">
        <v>33</v>
      </c>
      <c r="P86" s="3">
        <v>5</v>
      </c>
      <c r="Q86" s="3">
        <v>3</v>
      </c>
      <c r="R86" s="5" t="b">
        <v>0</v>
      </c>
      <c r="S86" s="3">
        <v>6</v>
      </c>
      <c r="T86" s="3">
        <v>4</v>
      </c>
    </row>
    <row r="87" spans="1:20">
      <c r="A87" s="5" t="s">
        <v>1319</v>
      </c>
      <c r="B87" s="5" t="s">
        <v>1320</v>
      </c>
      <c r="C87" s="6">
        <v>45370</v>
      </c>
      <c r="D87" s="8">
        <v>28</v>
      </c>
      <c r="E87" s="5" t="s">
        <v>20</v>
      </c>
      <c r="F87" s="5" t="s">
        <v>52</v>
      </c>
      <c r="G87" s="5" t="s">
        <v>22</v>
      </c>
      <c r="H87" s="7">
        <v>331.93</v>
      </c>
      <c r="I87" s="3">
        <v>1</v>
      </c>
      <c r="J87" s="3">
        <f t="shared" si="2"/>
        <v>331.93</v>
      </c>
      <c r="K87" s="4">
        <v>57.9</v>
      </c>
      <c r="L87" s="23">
        <f t="shared" si="3"/>
        <v>0.17443436869219414</v>
      </c>
      <c r="M87" s="7">
        <v>274.02999999999997</v>
      </c>
      <c r="N87" s="5" t="s">
        <v>1298</v>
      </c>
      <c r="O87" s="5" t="s">
        <v>24</v>
      </c>
      <c r="P87" s="3">
        <v>15</v>
      </c>
      <c r="Q87" s="3">
        <v>17</v>
      </c>
      <c r="R87" s="5" t="b">
        <v>0</v>
      </c>
      <c r="S87" s="3">
        <v>5</v>
      </c>
      <c r="T87" s="3">
        <v>5</v>
      </c>
    </row>
    <row r="88" spans="1:20">
      <c r="A88" s="5" t="s">
        <v>74</v>
      </c>
      <c r="B88" s="5" t="s">
        <v>75</v>
      </c>
      <c r="C88" s="6">
        <v>44978</v>
      </c>
      <c r="D88" s="8">
        <v>45</v>
      </c>
      <c r="E88" s="5" t="s">
        <v>20</v>
      </c>
      <c r="F88" s="5" t="s">
        <v>76</v>
      </c>
      <c r="G88" s="5" t="s">
        <v>53</v>
      </c>
      <c r="H88" s="7">
        <v>22.1</v>
      </c>
      <c r="I88" s="3">
        <v>2</v>
      </c>
      <c r="J88" s="3">
        <f t="shared" si="2"/>
        <v>44.2</v>
      </c>
      <c r="K88" s="4">
        <v>4.92</v>
      </c>
      <c r="L88" s="23">
        <f t="shared" si="3"/>
        <v>0.11131221719457013</v>
      </c>
      <c r="M88" s="7">
        <v>39.28</v>
      </c>
      <c r="N88" s="5" t="s">
        <v>23</v>
      </c>
      <c r="O88" s="5" t="s">
        <v>24</v>
      </c>
      <c r="P88" s="3">
        <v>9</v>
      </c>
      <c r="Q88" s="3">
        <v>7</v>
      </c>
      <c r="R88" s="5" t="b">
        <v>0</v>
      </c>
      <c r="S88" s="3">
        <v>2</v>
      </c>
      <c r="T88" s="3">
        <v>5</v>
      </c>
    </row>
    <row r="89" spans="1:20">
      <c r="A89" s="5" t="s">
        <v>77</v>
      </c>
      <c r="B89" s="5" t="s">
        <v>78</v>
      </c>
      <c r="C89" s="6">
        <v>45121</v>
      </c>
      <c r="D89" s="8">
        <v>38</v>
      </c>
      <c r="E89" s="5" t="s">
        <v>20</v>
      </c>
      <c r="F89" s="5" t="s">
        <v>73</v>
      </c>
      <c r="G89" s="5" t="s">
        <v>28</v>
      </c>
      <c r="H89" s="7">
        <v>156.28</v>
      </c>
      <c r="I89" s="3">
        <v>5</v>
      </c>
      <c r="J89" s="3">
        <f t="shared" si="2"/>
        <v>781.4</v>
      </c>
      <c r="K89" s="4">
        <v>0</v>
      </c>
      <c r="L89" s="23">
        <f t="shared" si="3"/>
        <v>0</v>
      </c>
      <c r="M89" s="7">
        <v>781.4</v>
      </c>
      <c r="N89" s="5" t="s">
        <v>23</v>
      </c>
      <c r="O89" s="5" t="s">
        <v>24</v>
      </c>
      <c r="P89" s="3">
        <v>6</v>
      </c>
      <c r="Q89" s="3">
        <v>7</v>
      </c>
      <c r="R89" s="5" t="b">
        <v>1</v>
      </c>
      <c r="S89" s="3">
        <v>4</v>
      </c>
      <c r="T89" s="3">
        <v>3</v>
      </c>
    </row>
    <row r="90" spans="1:20">
      <c r="A90" s="5" t="s">
        <v>749</v>
      </c>
      <c r="B90" s="5" t="s">
        <v>750</v>
      </c>
      <c r="C90" s="6">
        <v>45069</v>
      </c>
      <c r="D90" s="8">
        <v>28</v>
      </c>
      <c r="E90" s="5" t="s">
        <v>20</v>
      </c>
      <c r="F90" s="5" t="s">
        <v>59</v>
      </c>
      <c r="G90" s="5" t="s">
        <v>22</v>
      </c>
      <c r="H90" s="7">
        <v>386.18</v>
      </c>
      <c r="I90" s="3">
        <v>2</v>
      </c>
      <c r="J90" s="3">
        <f t="shared" si="2"/>
        <v>772.36</v>
      </c>
      <c r="K90" s="4">
        <v>83.42</v>
      </c>
      <c r="L90" s="23">
        <f t="shared" si="3"/>
        <v>0.10800662903309338</v>
      </c>
      <c r="M90" s="7">
        <v>688.94</v>
      </c>
      <c r="N90" s="5" t="s">
        <v>692</v>
      </c>
      <c r="O90" s="5" t="s">
        <v>33</v>
      </c>
      <c r="P90" s="3">
        <v>7</v>
      </c>
      <c r="Q90" s="3">
        <v>10</v>
      </c>
      <c r="R90" s="5" t="b">
        <v>1</v>
      </c>
      <c r="S90" s="3">
        <v>3</v>
      </c>
      <c r="T90" s="3">
        <v>4</v>
      </c>
    </row>
    <row r="91" spans="1:20">
      <c r="A91" s="5" t="s">
        <v>370</v>
      </c>
      <c r="B91" s="5" t="s">
        <v>371</v>
      </c>
      <c r="C91" s="6">
        <v>45159</v>
      </c>
      <c r="D91" s="8">
        <v>41</v>
      </c>
      <c r="E91" s="5" t="s">
        <v>20</v>
      </c>
      <c r="F91" s="5" t="s">
        <v>52</v>
      </c>
      <c r="G91" s="5" t="s">
        <v>22</v>
      </c>
      <c r="H91" s="7">
        <v>112.21</v>
      </c>
      <c r="I91" s="3">
        <v>1</v>
      </c>
      <c r="J91" s="3">
        <f t="shared" si="2"/>
        <v>112.21</v>
      </c>
      <c r="K91" s="4">
        <v>0</v>
      </c>
      <c r="L91" s="23">
        <f t="shared" si="3"/>
        <v>0</v>
      </c>
      <c r="M91" s="7">
        <v>112.21</v>
      </c>
      <c r="N91" s="5" t="s">
        <v>327</v>
      </c>
      <c r="O91" s="5" t="s">
        <v>33</v>
      </c>
      <c r="P91" s="3">
        <v>24</v>
      </c>
      <c r="Q91" s="3">
        <v>8</v>
      </c>
      <c r="R91" s="5" t="b">
        <v>1</v>
      </c>
      <c r="S91" s="3">
        <v>5</v>
      </c>
      <c r="T91" s="3">
        <v>3</v>
      </c>
    </row>
    <row r="92" spans="1:20">
      <c r="A92" s="5" t="s">
        <v>372</v>
      </c>
      <c r="B92" s="5" t="s">
        <v>373</v>
      </c>
      <c r="C92" s="6">
        <v>45252</v>
      </c>
      <c r="D92" s="8">
        <v>36</v>
      </c>
      <c r="E92" s="5" t="s">
        <v>36</v>
      </c>
      <c r="F92" s="5" t="s">
        <v>32</v>
      </c>
      <c r="G92" s="5" t="s">
        <v>64</v>
      </c>
      <c r="H92" s="7">
        <v>305.23</v>
      </c>
      <c r="I92" s="3">
        <v>5</v>
      </c>
      <c r="J92" s="3">
        <f t="shared" si="2"/>
        <v>1526.15</v>
      </c>
      <c r="K92" s="4">
        <v>0</v>
      </c>
      <c r="L92" s="23">
        <f t="shared" si="3"/>
        <v>0</v>
      </c>
      <c r="M92" s="7">
        <v>1526.15</v>
      </c>
      <c r="N92" s="5" t="s">
        <v>327</v>
      </c>
      <c r="O92" s="5" t="s">
        <v>24</v>
      </c>
      <c r="P92" s="3">
        <v>46</v>
      </c>
      <c r="Q92" s="3">
        <v>5</v>
      </c>
      <c r="R92" s="5" t="b">
        <v>0</v>
      </c>
      <c r="S92" s="3">
        <v>2</v>
      </c>
      <c r="T92" s="3">
        <v>5</v>
      </c>
    </row>
    <row r="93" spans="1:20">
      <c r="A93" s="5" t="s">
        <v>79</v>
      </c>
      <c r="B93" s="5" t="s">
        <v>80</v>
      </c>
      <c r="C93" s="6">
        <v>45354</v>
      </c>
      <c r="D93" s="8">
        <v>46</v>
      </c>
      <c r="E93" s="5" t="s">
        <v>36</v>
      </c>
      <c r="F93" s="5" t="s">
        <v>49</v>
      </c>
      <c r="G93" s="5" t="s">
        <v>46</v>
      </c>
      <c r="H93" s="7">
        <v>192.94</v>
      </c>
      <c r="I93" s="3">
        <v>3</v>
      </c>
      <c r="J93" s="3">
        <f t="shared" si="2"/>
        <v>578.81999999999994</v>
      </c>
      <c r="K93" s="4">
        <v>22.26</v>
      </c>
      <c r="L93" s="23">
        <f t="shared" si="3"/>
        <v>3.8457551570436413E-2</v>
      </c>
      <c r="M93" s="7">
        <v>556.55999999999995</v>
      </c>
      <c r="N93" s="5" t="s">
        <v>23</v>
      </c>
      <c r="O93" s="5" t="s">
        <v>29</v>
      </c>
      <c r="P93" s="3">
        <v>9</v>
      </c>
      <c r="Q93" s="3">
        <v>6</v>
      </c>
      <c r="R93" s="5" t="b">
        <v>1</v>
      </c>
      <c r="S93" s="3">
        <v>5</v>
      </c>
      <c r="T93" s="3">
        <v>5</v>
      </c>
    </row>
    <row r="94" spans="1:20">
      <c r="A94" s="5" t="s">
        <v>374</v>
      </c>
      <c r="B94" s="5" t="s">
        <v>375</v>
      </c>
      <c r="C94" s="6">
        <v>45113</v>
      </c>
      <c r="D94" s="8">
        <v>26</v>
      </c>
      <c r="E94" s="5" t="s">
        <v>20</v>
      </c>
      <c r="F94" s="5" t="s">
        <v>32</v>
      </c>
      <c r="G94" s="5" t="s">
        <v>37</v>
      </c>
      <c r="H94" s="7">
        <v>195.25</v>
      </c>
      <c r="I94" s="3">
        <v>3</v>
      </c>
      <c r="J94" s="3">
        <f t="shared" si="2"/>
        <v>585.75</v>
      </c>
      <c r="K94" s="4">
        <v>46.36</v>
      </c>
      <c r="L94" s="23">
        <f t="shared" si="3"/>
        <v>7.9146393512590701E-2</v>
      </c>
      <c r="M94" s="7">
        <v>539.39</v>
      </c>
      <c r="N94" s="5" t="s">
        <v>327</v>
      </c>
      <c r="O94" s="5" t="s">
        <v>33</v>
      </c>
      <c r="P94" s="3">
        <v>21</v>
      </c>
      <c r="Q94" s="3">
        <v>12</v>
      </c>
      <c r="R94" s="5" t="b">
        <v>1</v>
      </c>
      <c r="S94" s="3">
        <v>11</v>
      </c>
      <c r="T94" s="3">
        <v>4</v>
      </c>
    </row>
    <row r="95" spans="1:20">
      <c r="A95" s="5" t="s">
        <v>751</v>
      </c>
      <c r="B95" s="5" t="s">
        <v>752</v>
      </c>
      <c r="C95" s="6">
        <v>45010</v>
      </c>
      <c r="D95" s="8">
        <v>31</v>
      </c>
      <c r="E95" s="5" t="s">
        <v>36</v>
      </c>
      <c r="F95" s="5" t="s">
        <v>21</v>
      </c>
      <c r="G95" s="5" t="s">
        <v>53</v>
      </c>
      <c r="H95" s="7">
        <v>23.79</v>
      </c>
      <c r="I95" s="3">
        <v>4</v>
      </c>
      <c r="J95" s="3">
        <f t="shared" si="2"/>
        <v>95.16</v>
      </c>
      <c r="K95" s="4">
        <v>6.27</v>
      </c>
      <c r="L95" s="23">
        <f t="shared" si="3"/>
        <v>6.5889029003783101E-2</v>
      </c>
      <c r="M95" s="7">
        <v>88.89</v>
      </c>
      <c r="N95" s="5" t="s">
        <v>692</v>
      </c>
      <c r="O95" s="5" t="s">
        <v>33</v>
      </c>
      <c r="P95" s="3">
        <v>15</v>
      </c>
      <c r="Q95" s="3">
        <v>9</v>
      </c>
      <c r="R95" s="5" t="b">
        <v>0</v>
      </c>
      <c r="S95" s="3">
        <v>11</v>
      </c>
      <c r="T95" s="3">
        <v>5</v>
      </c>
    </row>
    <row r="96" spans="1:20">
      <c r="A96" s="5" t="s">
        <v>753</v>
      </c>
      <c r="B96" s="5" t="s">
        <v>754</v>
      </c>
      <c r="C96" s="6">
        <v>45116</v>
      </c>
      <c r="D96" s="8">
        <v>30</v>
      </c>
      <c r="E96" s="5" t="s">
        <v>36</v>
      </c>
      <c r="F96" s="5" t="s">
        <v>32</v>
      </c>
      <c r="G96" s="5" t="s">
        <v>56</v>
      </c>
      <c r="H96" s="7">
        <v>583.94000000000005</v>
      </c>
      <c r="I96" s="3">
        <v>2</v>
      </c>
      <c r="J96" s="3">
        <f t="shared" si="2"/>
        <v>1167.8800000000001</v>
      </c>
      <c r="K96" s="4">
        <v>0</v>
      </c>
      <c r="L96" s="23">
        <f t="shared" si="3"/>
        <v>0</v>
      </c>
      <c r="M96" s="7">
        <v>1167.8800000000001</v>
      </c>
      <c r="N96" s="5" t="s">
        <v>692</v>
      </c>
      <c r="O96" s="5" t="s">
        <v>24</v>
      </c>
      <c r="P96" s="3">
        <v>4</v>
      </c>
      <c r="Q96" s="3">
        <v>8</v>
      </c>
      <c r="R96" s="5" t="b">
        <v>0</v>
      </c>
      <c r="S96" s="3">
        <v>7</v>
      </c>
      <c r="T96" s="3">
        <v>5</v>
      </c>
    </row>
    <row r="97" spans="1:20">
      <c r="A97" s="5" t="s">
        <v>376</v>
      </c>
      <c r="B97" s="5" t="s">
        <v>377</v>
      </c>
      <c r="C97" s="6">
        <v>45108</v>
      </c>
      <c r="D97" s="8">
        <v>18</v>
      </c>
      <c r="E97" s="5" t="s">
        <v>36</v>
      </c>
      <c r="F97" s="5" t="s">
        <v>49</v>
      </c>
      <c r="G97" s="5" t="s">
        <v>115</v>
      </c>
      <c r="H97" s="7">
        <v>14.65</v>
      </c>
      <c r="I97" s="3">
        <v>1</v>
      </c>
      <c r="J97" s="3">
        <f t="shared" si="2"/>
        <v>14.65</v>
      </c>
      <c r="K97" s="4">
        <v>0</v>
      </c>
      <c r="L97" s="23">
        <f t="shared" si="3"/>
        <v>0</v>
      </c>
      <c r="M97" s="7">
        <v>14.65</v>
      </c>
      <c r="N97" s="5" t="s">
        <v>327</v>
      </c>
      <c r="O97" s="5" t="s">
        <v>33</v>
      </c>
      <c r="P97" s="3">
        <v>37</v>
      </c>
      <c r="Q97" s="3">
        <v>7</v>
      </c>
      <c r="R97" s="5" t="b">
        <v>1</v>
      </c>
      <c r="S97" s="3">
        <v>4</v>
      </c>
      <c r="T97" s="3">
        <v>3</v>
      </c>
    </row>
    <row r="98" spans="1:20">
      <c r="A98" s="5" t="s">
        <v>81</v>
      </c>
      <c r="B98" s="5" t="s">
        <v>82</v>
      </c>
      <c r="C98" s="6">
        <v>45034</v>
      </c>
      <c r="D98" s="8">
        <v>38</v>
      </c>
      <c r="E98" s="5" t="s">
        <v>36</v>
      </c>
      <c r="F98" s="5" t="s">
        <v>83</v>
      </c>
      <c r="G98" s="5" t="s">
        <v>22</v>
      </c>
      <c r="H98" s="7">
        <v>123.37</v>
      </c>
      <c r="I98" s="3">
        <v>5</v>
      </c>
      <c r="J98" s="3">
        <f t="shared" si="2"/>
        <v>616.85</v>
      </c>
      <c r="K98" s="4">
        <v>0</v>
      </c>
      <c r="L98" s="23">
        <f t="shared" si="3"/>
        <v>0</v>
      </c>
      <c r="M98" s="7">
        <v>616.85</v>
      </c>
      <c r="N98" s="5" t="s">
        <v>23</v>
      </c>
      <c r="O98" s="5" t="s">
        <v>33</v>
      </c>
      <c r="P98" s="3">
        <v>30</v>
      </c>
      <c r="Q98" s="3">
        <v>11</v>
      </c>
      <c r="R98" s="5" t="b">
        <v>1</v>
      </c>
      <c r="S98" s="3">
        <v>5</v>
      </c>
      <c r="T98" s="3">
        <v>4</v>
      </c>
    </row>
    <row r="99" spans="1:20">
      <c r="A99" s="5" t="s">
        <v>84</v>
      </c>
      <c r="B99" s="5" t="s">
        <v>85</v>
      </c>
      <c r="C99" s="6">
        <v>45270</v>
      </c>
      <c r="D99" s="8">
        <v>38</v>
      </c>
      <c r="E99" s="5" t="s">
        <v>36</v>
      </c>
      <c r="F99" s="5" t="s">
        <v>21</v>
      </c>
      <c r="G99" s="5" t="s">
        <v>46</v>
      </c>
      <c r="H99" s="7">
        <v>499.36</v>
      </c>
      <c r="I99" s="3">
        <v>1</v>
      </c>
      <c r="J99" s="3">
        <f t="shared" si="2"/>
        <v>499.36</v>
      </c>
      <c r="K99" s="4">
        <v>54.45</v>
      </c>
      <c r="L99" s="23">
        <f t="shared" si="3"/>
        <v>0.10903957065043256</v>
      </c>
      <c r="M99" s="7">
        <v>444.91</v>
      </c>
      <c r="N99" s="5" t="s">
        <v>23</v>
      </c>
      <c r="O99" s="5" t="s">
        <v>33</v>
      </c>
      <c r="P99" s="3">
        <v>13</v>
      </c>
      <c r="Q99" s="3">
        <v>13</v>
      </c>
      <c r="R99" s="5" t="b">
        <v>1</v>
      </c>
      <c r="S99" s="3">
        <v>9</v>
      </c>
      <c r="T99" s="3">
        <v>4</v>
      </c>
    </row>
    <row r="100" spans="1:20">
      <c r="A100" s="5" t="s">
        <v>378</v>
      </c>
      <c r="B100" s="5" t="s">
        <v>379</v>
      </c>
      <c r="C100" s="6">
        <v>45063</v>
      </c>
      <c r="D100" s="8">
        <v>35</v>
      </c>
      <c r="E100" s="5" t="s">
        <v>36</v>
      </c>
      <c r="F100" s="5" t="s">
        <v>59</v>
      </c>
      <c r="G100" s="5" t="s">
        <v>22</v>
      </c>
      <c r="H100" s="7">
        <v>235.59</v>
      </c>
      <c r="I100" s="3">
        <v>1</v>
      </c>
      <c r="J100" s="3">
        <f t="shared" si="2"/>
        <v>235.59</v>
      </c>
      <c r="K100" s="4">
        <v>0</v>
      </c>
      <c r="L100" s="23">
        <f t="shared" si="3"/>
        <v>0</v>
      </c>
      <c r="M100" s="7">
        <v>235.59</v>
      </c>
      <c r="N100" s="5" t="s">
        <v>327</v>
      </c>
      <c r="O100" s="5" t="s">
        <v>24</v>
      </c>
      <c r="P100" s="3">
        <v>14</v>
      </c>
      <c r="Q100" s="3">
        <v>8</v>
      </c>
      <c r="R100" s="5" t="b">
        <v>1</v>
      </c>
      <c r="S100" s="3">
        <v>6</v>
      </c>
      <c r="T100" s="3">
        <v>4</v>
      </c>
    </row>
    <row r="101" spans="1:20">
      <c r="A101" s="5" t="s">
        <v>755</v>
      </c>
      <c r="B101" s="5" t="s">
        <v>756</v>
      </c>
      <c r="C101" s="6">
        <v>45286</v>
      </c>
      <c r="D101" s="8">
        <v>32</v>
      </c>
      <c r="E101" s="5" t="s">
        <v>36</v>
      </c>
      <c r="F101" s="5" t="s">
        <v>21</v>
      </c>
      <c r="G101" s="5" t="s">
        <v>46</v>
      </c>
      <c r="H101" s="7">
        <v>861.36</v>
      </c>
      <c r="I101" s="3">
        <v>2</v>
      </c>
      <c r="J101" s="3">
        <f t="shared" si="2"/>
        <v>1722.72</v>
      </c>
      <c r="K101" s="4">
        <v>0</v>
      </c>
      <c r="L101" s="23">
        <f t="shared" si="3"/>
        <v>0</v>
      </c>
      <c r="M101" s="7">
        <v>1722.72</v>
      </c>
      <c r="N101" s="5" t="s">
        <v>692</v>
      </c>
      <c r="O101" s="5" t="s">
        <v>33</v>
      </c>
      <c r="P101" s="3">
        <v>21</v>
      </c>
      <c r="Q101" s="3">
        <v>6</v>
      </c>
      <c r="R101" s="5" t="b">
        <v>0</v>
      </c>
      <c r="S101" s="3">
        <v>14</v>
      </c>
      <c r="T101" s="3">
        <v>5</v>
      </c>
    </row>
    <row r="102" spans="1:20">
      <c r="A102" s="5" t="s">
        <v>757</v>
      </c>
      <c r="B102" s="5" t="s">
        <v>758</v>
      </c>
      <c r="C102" s="6">
        <v>45276</v>
      </c>
      <c r="D102" s="8">
        <v>18</v>
      </c>
      <c r="E102" s="5" t="s">
        <v>36</v>
      </c>
      <c r="F102" s="5" t="s">
        <v>21</v>
      </c>
      <c r="G102" s="5" t="s">
        <v>46</v>
      </c>
      <c r="H102" s="7">
        <v>572.97</v>
      </c>
      <c r="I102" s="3">
        <v>4</v>
      </c>
      <c r="J102" s="3">
        <f t="shared" si="2"/>
        <v>2291.88</v>
      </c>
      <c r="K102" s="4">
        <v>0</v>
      </c>
      <c r="L102" s="23">
        <f t="shared" si="3"/>
        <v>0</v>
      </c>
      <c r="M102" s="7">
        <v>2291.88</v>
      </c>
      <c r="N102" s="5" t="s">
        <v>692</v>
      </c>
      <c r="O102" s="5" t="s">
        <v>33</v>
      </c>
      <c r="P102" s="3">
        <v>64</v>
      </c>
      <c r="Q102" s="3">
        <v>6</v>
      </c>
      <c r="R102" s="5" t="b">
        <v>1</v>
      </c>
      <c r="S102" s="3">
        <v>7</v>
      </c>
      <c r="T102" s="3">
        <v>3</v>
      </c>
    </row>
    <row r="103" spans="1:20">
      <c r="A103" s="5" t="s">
        <v>759</v>
      </c>
      <c r="B103" s="5" t="s">
        <v>760</v>
      </c>
      <c r="C103" s="6">
        <v>45258</v>
      </c>
      <c r="D103" s="8">
        <v>29</v>
      </c>
      <c r="E103" s="5" t="s">
        <v>20</v>
      </c>
      <c r="F103" s="5" t="s">
        <v>76</v>
      </c>
      <c r="G103" s="5" t="s">
        <v>56</v>
      </c>
      <c r="H103" s="7">
        <v>262.87</v>
      </c>
      <c r="I103" s="3">
        <v>1</v>
      </c>
      <c r="J103" s="3">
        <f t="shared" si="2"/>
        <v>262.87</v>
      </c>
      <c r="K103" s="4">
        <v>42.7</v>
      </c>
      <c r="L103" s="23">
        <f t="shared" si="3"/>
        <v>0.16243770685129533</v>
      </c>
      <c r="M103" s="7">
        <v>220.17</v>
      </c>
      <c r="N103" s="5" t="s">
        <v>692</v>
      </c>
      <c r="O103" s="5" t="s">
        <v>33</v>
      </c>
      <c r="P103" s="3">
        <v>17</v>
      </c>
      <c r="Q103" s="3">
        <v>8</v>
      </c>
      <c r="R103" s="5" t="b">
        <v>1</v>
      </c>
      <c r="S103" s="3">
        <v>7</v>
      </c>
      <c r="T103" s="3">
        <v>4</v>
      </c>
    </row>
    <row r="104" spans="1:20">
      <c r="A104" s="5" t="s">
        <v>86</v>
      </c>
      <c r="B104" s="5" t="s">
        <v>87</v>
      </c>
      <c r="C104" s="6">
        <v>44963</v>
      </c>
      <c r="D104" s="8">
        <v>30</v>
      </c>
      <c r="E104" s="5" t="s">
        <v>20</v>
      </c>
      <c r="F104" s="5" t="s">
        <v>88</v>
      </c>
      <c r="G104" s="5" t="s">
        <v>46</v>
      </c>
      <c r="H104" s="7">
        <v>367.4</v>
      </c>
      <c r="I104" s="3">
        <v>2</v>
      </c>
      <c r="J104" s="3">
        <f t="shared" si="2"/>
        <v>734.8</v>
      </c>
      <c r="K104" s="4">
        <v>0</v>
      </c>
      <c r="L104" s="23">
        <f t="shared" si="3"/>
        <v>0</v>
      </c>
      <c r="M104" s="7">
        <v>734.8</v>
      </c>
      <c r="N104" s="5" t="s">
        <v>23</v>
      </c>
      <c r="O104" s="5" t="s">
        <v>33</v>
      </c>
      <c r="P104" s="3">
        <v>22</v>
      </c>
      <c r="Q104" s="3">
        <v>9</v>
      </c>
      <c r="R104" s="5" t="b">
        <v>1</v>
      </c>
      <c r="S104" s="3">
        <v>7</v>
      </c>
      <c r="T104" s="3">
        <v>5</v>
      </c>
    </row>
    <row r="105" spans="1:20">
      <c r="A105" s="5" t="s">
        <v>761</v>
      </c>
      <c r="B105" s="5" t="s">
        <v>762</v>
      </c>
      <c r="C105" s="6">
        <v>45238</v>
      </c>
      <c r="D105" s="8">
        <v>25</v>
      </c>
      <c r="E105" s="5" t="s">
        <v>36</v>
      </c>
      <c r="F105" s="5" t="s">
        <v>59</v>
      </c>
      <c r="G105" s="5" t="s">
        <v>56</v>
      </c>
      <c r="H105" s="7">
        <v>417.84</v>
      </c>
      <c r="I105" s="3">
        <v>5</v>
      </c>
      <c r="J105" s="3">
        <f t="shared" si="2"/>
        <v>2089.1999999999998</v>
      </c>
      <c r="K105" s="4">
        <v>52.71</v>
      </c>
      <c r="L105" s="23">
        <f t="shared" si="3"/>
        <v>2.5229753015508331E-2</v>
      </c>
      <c r="M105" s="7">
        <v>2036.49</v>
      </c>
      <c r="N105" s="5" t="s">
        <v>692</v>
      </c>
      <c r="O105" s="5" t="s">
        <v>24</v>
      </c>
      <c r="P105" s="3">
        <v>6</v>
      </c>
      <c r="Q105" s="3">
        <v>14</v>
      </c>
      <c r="R105" s="5" t="b">
        <v>1</v>
      </c>
      <c r="S105" s="3">
        <v>6</v>
      </c>
      <c r="T105" s="3">
        <v>2</v>
      </c>
    </row>
    <row r="106" spans="1:20">
      <c r="A106" s="5" t="s">
        <v>380</v>
      </c>
      <c r="B106" s="5" t="s">
        <v>381</v>
      </c>
      <c r="C106" s="6">
        <v>45252</v>
      </c>
      <c r="D106" s="8">
        <v>33</v>
      </c>
      <c r="E106" s="5" t="s">
        <v>20</v>
      </c>
      <c r="F106" s="5" t="s">
        <v>52</v>
      </c>
      <c r="G106" s="5" t="s">
        <v>64</v>
      </c>
      <c r="H106" s="7">
        <v>187.58</v>
      </c>
      <c r="I106" s="3">
        <v>1</v>
      </c>
      <c r="J106" s="3">
        <f t="shared" si="2"/>
        <v>187.58</v>
      </c>
      <c r="K106" s="4">
        <v>17.72</v>
      </c>
      <c r="L106" s="23">
        <f t="shared" si="3"/>
        <v>9.4466361019298423E-2</v>
      </c>
      <c r="M106" s="7">
        <v>169.86</v>
      </c>
      <c r="N106" s="5" t="s">
        <v>327</v>
      </c>
      <c r="O106" s="5" t="s">
        <v>33</v>
      </c>
      <c r="P106" s="3">
        <v>5</v>
      </c>
      <c r="Q106" s="3">
        <v>6</v>
      </c>
      <c r="R106" s="5" t="b">
        <v>0</v>
      </c>
      <c r="S106" s="3">
        <v>6</v>
      </c>
      <c r="T106" s="3">
        <v>4</v>
      </c>
    </row>
    <row r="107" spans="1:20">
      <c r="A107" s="5" t="s">
        <v>89</v>
      </c>
      <c r="B107" s="5" t="s">
        <v>90</v>
      </c>
      <c r="C107" s="6">
        <v>45014</v>
      </c>
      <c r="D107" s="8">
        <v>39</v>
      </c>
      <c r="E107" s="5" t="s">
        <v>20</v>
      </c>
      <c r="F107" s="5" t="s">
        <v>73</v>
      </c>
      <c r="G107" s="5" t="s">
        <v>22</v>
      </c>
      <c r="H107" s="7">
        <v>626.76</v>
      </c>
      <c r="I107" s="3">
        <v>4</v>
      </c>
      <c r="J107" s="3">
        <f t="shared" si="2"/>
        <v>2507.04</v>
      </c>
      <c r="K107" s="4">
        <v>0</v>
      </c>
      <c r="L107" s="23">
        <f t="shared" si="3"/>
        <v>0</v>
      </c>
      <c r="M107" s="7">
        <v>2507.04</v>
      </c>
      <c r="N107" s="5" t="s">
        <v>23</v>
      </c>
      <c r="O107" s="5" t="s">
        <v>33</v>
      </c>
      <c r="P107" s="3">
        <v>29</v>
      </c>
      <c r="Q107" s="3">
        <v>8</v>
      </c>
      <c r="R107" s="5" t="b">
        <v>1</v>
      </c>
      <c r="S107" s="3">
        <v>6</v>
      </c>
      <c r="T107" s="3">
        <v>3</v>
      </c>
    </row>
    <row r="108" spans="1:20">
      <c r="A108" s="5" t="s">
        <v>1240</v>
      </c>
      <c r="B108" s="5" t="s">
        <v>1241</v>
      </c>
      <c r="C108" s="6">
        <v>45200</v>
      </c>
      <c r="D108" s="8">
        <v>57</v>
      </c>
      <c r="E108" s="5" t="s">
        <v>36</v>
      </c>
      <c r="F108" s="5" t="s">
        <v>32</v>
      </c>
      <c r="G108" s="5" t="s">
        <v>56</v>
      </c>
      <c r="H108" s="7">
        <v>593.52</v>
      </c>
      <c r="I108" s="3">
        <v>3</v>
      </c>
      <c r="J108" s="3">
        <f t="shared" si="2"/>
        <v>1780.56</v>
      </c>
      <c r="K108" s="4">
        <v>0</v>
      </c>
      <c r="L108" s="23">
        <f t="shared" si="3"/>
        <v>0</v>
      </c>
      <c r="M108" s="7">
        <v>1780.56</v>
      </c>
      <c r="N108" s="5" t="s">
        <v>1231</v>
      </c>
      <c r="O108" s="5" t="s">
        <v>33</v>
      </c>
      <c r="P108" s="3">
        <v>12</v>
      </c>
      <c r="Q108" s="3">
        <v>14</v>
      </c>
      <c r="R108" s="5" t="b">
        <v>1</v>
      </c>
      <c r="S108" s="3">
        <v>6</v>
      </c>
      <c r="T108" s="3">
        <v>4</v>
      </c>
    </row>
    <row r="109" spans="1:20">
      <c r="A109" s="5" t="s">
        <v>1242</v>
      </c>
      <c r="B109" s="5" t="s">
        <v>1243</v>
      </c>
      <c r="C109" s="6">
        <v>45300</v>
      </c>
      <c r="D109" s="8">
        <v>37</v>
      </c>
      <c r="E109" s="5" t="s">
        <v>20</v>
      </c>
      <c r="F109" s="5" t="s">
        <v>21</v>
      </c>
      <c r="G109" s="5" t="s">
        <v>37</v>
      </c>
      <c r="H109" s="7">
        <v>107.61</v>
      </c>
      <c r="I109" s="3">
        <v>1</v>
      </c>
      <c r="J109" s="3">
        <f t="shared" si="2"/>
        <v>107.61</v>
      </c>
      <c r="K109" s="4">
        <v>0</v>
      </c>
      <c r="L109" s="23">
        <f t="shared" si="3"/>
        <v>0</v>
      </c>
      <c r="M109" s="7">
        <v>107.61</v>
      </c>
      <c r="N109" s="5" t="s">
        <v>1231</v>
      </c>
      <c r="O109" s="5" t="s">
        <v>29</v>
      </c>
      <c r="P109" s="3">
        <v>26</v>
      </c>
      <c r="Q109" s="3">
        <v>5</v>
      </c>
      <c r="R109" s="5" t="b">
        <v>1</v>
      </c>
      <c r="S109" s="3">
        <v>2</v>
      </c>
      <c r="T109" s="3">
        <v>5</v>
      </c>
    </row>
    <row r="110" spans="1:20">
      <c r="A110" s="5" t="s">
        <v>1244</v>
      </c>
      <c r="B110" s="5" t="s">
        <v>1245</v>
      </c>
      <c r="C110" s="6">
        <v>45052</v>
      </c>
      <c r="D110" s="8">
        <v>38</v>
      </c>
      <c r="E110" s="5" t="s">
        <v>36</v>
      </c>
      <c r="F110" s="5" t="s">
        <v>21</v>
      </c>
      <c r="G110" s="5" t="s">
        <v>28</v>
      </c>
      <c r="H110" s="7">
        <v>226.86</v>
      </c>
      <c r="I110" s="3">
        <v>1</v>
      </c>
      <c r="J110" s="3">
        <f t="shared" si="2"/>
        <v>226.86</v>
      </c>
      <c r="K110" s="4">
        <v>0</v>
      </c>
      <c r="L110" s="23">
        <f t="shared" si="3"/>
        <v>0</v>
      </c>
      <c r="M110" s="7">
        <v>226.86</v>
      </c>
      <c r="N110" s="5" t="s">
        <v>1231</v>
      </c>
      <c r="O110" s="5" t="s">
        <v>33</v>
      </c>
      <c r="P110" s="3">
        <v>23</v>
      </c>
      <c r="Q110" s="3">
        <v>7</v>
      </c>
      <c r="R110" s="5" t="b">
        <v>1</v>
      </c>
      <c r="S110" s="3">
        <v>1</v>
      </c>
      <c r="T110" s="3">
        <v>3</v>
      </c>
    </row>
    <row r="111" spans="1:20">
      <c r="A111" s="5" t="s">
        <v>91</v>
      </c>
      <c r="B111" s="5" t="s">
        <v>92</v>
      </c>
      <c r="C111" s="6">
        <v>45010</v>
      </c>
      <c r="D111" s="8">
        <v>34</v>
      </c>
      <c r="E111" s="5" t="s">
        <v>36</v>
      </c>
      <c r="F111" s="5" t="s">
        <v>59</v>
      </c>
      <c r="G111" s="5" t="s">
        <v>22</v>
      </c>
      <c r="H111" s="7">
        <v>368.43</v>
      </c>
      <c r="I111" s="3">
        <v>2</v>
      </c>
      <c r="J111" s="3">
        <f t="shared" si="2"/>
        <v>736.86</v>
      </c>
      <c r="K111" s="4">
        <v>26.91</v>
      </c>
      <c r="L111" s="23">
        <f t="shared" si="3"/>
        <v>3.6519827375620879E-2</v>
      </c>
      <c r="M111" s="7">
        <v>709.95</v>
      </c>
      <c r="N111" s="5" t="s">
        <v>23</v>
      </c>
      <c r="O111" s="5" t="s">
        <v>24</v>
      </c>
      <c r="P111" s="3">
        <v>8</v>
      </c>
      <c r="Q111" s="3">
        <v>12</v>
      </c>
      <c r="R111" s="5" t="b">
        <v>0</v>
      </c>
      <c r="S111" s="3">
        <v>3</v>
      </c>
      <c r="T111" s="3">
        <v>5</v>
      </c>
    </row>
    <row r="112" spans="1:20">
      <c r="A112" s="5" t="s">
        <v>93</v>
      </c>
      <c r="B112" s="5" t="s">
        <v>94</v>
      </c>
      <c r="C112" s="6">
        <v>45163</v>
      </c>
      <c r="D112" s="8">
        <v>18</v>
      </c>
      <c r="E112" s="5" t="s">
        <v>36</v>
      </c>
      <c r="F112" s="5" t="s">
        <v>88</v>
      </c>
      <c r="G112" s="5" t="s">
        <v>28</v>
      </c>
      <c r="H112" s="7">
        <v>245.23</v>
      </c>
      <c r="I112" s="3">
        <v>1</v>
      </c>
      <c r="J112" s="3">
        <f t="shared" si="2"/>
        <v>245.23</v>
      </c>
      <c r="K112" s="4">
        <v>0</v>
      </c>
      <c r="L112" s="23">
        <f t="shared" si="3"/>
        <v>0</v>
      </c>
      <c r="M112" s="7">
        <v>245.23</v>
      </c>
      <c r="N112" s="5" t="s">
        <v>23</v>
      </c>
      <c r="O112" s="5" t="s">
        <v>33</v>
      </c>
      <c r="P112" s="3">
        <v>12</v>
      </c>
      <c r="Q112" s="3">
        <v>12</v>
      </c>
      <c r="R112" s="5" t="b">
        <v>1</v>
      </c>
      <c r="S112" s="3">
        <v>4</v>
      </c>
      <c r="T112" s="3">
        <v>4</v>
      </c>
    </row>
    <row r="113" spans="1:20">
      <c r="A113" s="5" t="s">
        <v>95</v>
      </c>
      <c r="B113" s="5" t="s">
        <v>96</v>
      </c>
      <c r="C113" s="6">
        <v>45121</v>
      </c>
      <c r="D113" s="8">
        <v>34</v>
      </c>
      <c r="E113" s="5" t="s">
        <v>36</v>
      </c>
      <c r="F113" s="5" t="s">
        <v>21</v>
      </c>
      <c r="G113" s="5" t="s">
        <v>37</v>
      </c>
      <c r="H113" s="7">
        <v>73.66</v>
      </c>
      <c r="I113" s="3">
        <v>1</v>
      </c>
      <c r="J113" s="3">
        <f t="shared" si="2"/>
        <v>73.66</v>
      </c>
      <c r="K113" s="4">
        <v>18.95</v>
      </c>
      <c r="L113" s="23">
        <f t="shared" si="3"/>
        <v>0.25726310073309799</v>
      </c>
      <c r="M113" s="7">
        <v>54.71</v>
      </c>
      <c r="N113" s="5" t="s">
        <v>23</v>
      </c>
      <c r="O113" s="5" t="s">
        <v>33</v>
      </c>
      <c r="P113" s="3">
        <v>11</v>
      </c>
      <c r="Q113" s="3">
        <v>9</v>
      </c>
      <c r="R113" s="5" t="b">
        <v>1</v>
      </c>
      <c r="S113" s="3">
        <v>10</v>
      </c>
      <c r="T113" s="3">
        <v>3</v>
      </c>
    </row>
    <row r="114" spans="1:20">
      <c r="A114" s="5" t="s">
        <v>1321</v>
      </c>
      <c r="B114" s="5" t="s">
        <v>1322</v>
      </c>
      <c r="C114" s="6">
        <v>45065</v>
      </c>
      <c r="D114" s="8">
        <v>35</v>
      </c>
      <c r="E114" s="5" t="s">
        <v>20</v>
      </c>
      <c r="F114" s="5" t="s">
        <v>32</v>
      </c>
      <c r="G114" s="5" t="s">
        <v>53</v>
      </c>
      <c r="H114" s="7">
        <v>36.14</v>
      </c>
      <c r="I114" s="3">
        <v>2</v>
      </c>
      <c r="J114" s="3">
        <f t="shared" si="2"/>
        <v>72.28</v>
      </c>
      <c r="K114" s="4">
        <v>3.85</v>
      </c>
      <c r="L114" s="23">
        <f t="shared" si="3"/>
        <v>5.3265080243497513E-2</v>
      </c>
      <c r="M114" s="7">
        <v>68.430000000000007</v>
      </c>
      <c r="N114" s="5" t="s">
        <v>1298</v>
      </c>
      <c r="O114" s="5" t="s">
        <v>33</v>
      </c>
      <c r="P114" s="3">
        <v>9</v>
      </c>
      <c r="Q114" s="3">
        <v>11</v>
      </c>
      <c r="R114" s="5" t="b">
        <v>0</v>
      </c>
      <c r="S114" s="3">
        <v>9</v>
      </c>
      <c r="T114" s="3">
        <v>4</v>
      </c>
    </row>
    <row r="115" spans="1:20">
      <c r="A115" s="5" t="s">
        <v>1246</v>
      </c>
      <c r="B115" s="5" t="s">
        <v>1247</v>
      </c>
      <c r="C115" s="6">
        <v>45254</v>
      </c>
      <c r="D115" s="8">
        <v>64</v>
      </c>
      <c r="E115" s="5" t="s">
        <v>36</v>
      </c>
      <c r="F115" s="5" t="s">
        <v>88</v>
      </c>
      <c r="G115" s="5" t="s">
        <v>37</v>
      </c>
      <c r="H115" s="7">
        <v>180.82</v>
      </c>
      <c r="I115" s="3">
        <v>4</v>
      </c>
      <c r="J115" s="3">
        <f t="shared" si="2"/>
        <v>723.28</v>
      </c>
      <c r="K115" s="4">
        <v>0</v>
      </c>
      <c r="L115" s="23">
        <f t="shared" si="3"/>
        <v>0</v>
      </c>
      <c r="M115" s="7">
        <v>723.28</v>
      </c>
      <c r="N115" s="5" t="s">
        <v>1231</v>
      </c>
      <c r="O115" s="5" t="s">
        <v>33</v>
      </c>
      <c r="P115" s="3">
        <v>7</v>
      </c>
      <c r="Q115" s="3">
        <v>8</v>
      </c>
      <c r="R115" s="5" t="b">
        <v>0</v>
      </c>
      <c r="S115" s="3">
        <v>3</v>
      </c>
      <c r="T115" s="3">
        <v>5</v>
      </c>
    </row>
    <row r="116" spans="1:20">
      <c r="A116" s="5" t="s">
        <v>382</v>
      </c>
      <c r="B116" s="5" t="s">
        <v>383</v>
      </c>
      <c r="C116" s="6">
        <v>45279</v>
      </c>
      <c r="D116" s="8">
        <v>32</v>
      </c>
      <c r="E116" s="5" t="s">
        <v>36</v>
      </c>
      <c r="F116" s="5" t="s">
        <v>32</v>
      </c>
      <c r="G116" s="5" t="s">
        <v>64</v>
      </c>
      <c r="H116" s="7">
        <v>3964.15</v>
      </c>
      <c r="I116" s="3">
        <v>1</v>
      </c>
      <c r="J116" s="3">
        <f t="shared" si="2"/>
        <v>3964.15</v>
      </c>
      <c r="K116" s="4">
        <v>820.08</v>
      </c>
      <c r="L116" s="23">
        <f t="shared" si="3"/>
        <v>0.2068741092037385</v>
      </c>
      <c r="M116" s="7">
        <v>3144.07</v>
      </c>
      <c r="N116" s="5" t="s">
        <v>327</v>
      </c>
      <c r="O116" s="5" t="s">
        <v>24</v>
      </c>
      <c r="P116" s="3">
        <v>19</v>
      </c>
      <c r="Q116" s="3">
        <v>15</v>
      </c>
      <c r="R116" s="5" t="b">
        <v>0</v>
      </c>
      <c r="S116" s="3">
        <v>4</v>
      </c>
      <c r="T116" s="3">
        <v>2</v>
      </c>
    </row>
    <row r="117" spans="1:20">
      <c r="A117" s="5" t="s">
        <v>384</v>
      </c>
      <c r="B117" s="5" t="s">
        <v>385</v>
      </c>
      <c r="C117" s="6">
        <v>45212</v>
      </c>
      <c r="D117" s="8">
        <v>38</v>
      </c>
      <c r="E117" s="5" t="s">
        <v>122</v>
      </c>
      <c r="F117" s="5" t="s">
        <v>49</v>
      </c>
      <c r="G117" s="5" t="s">
        <v>53</v>
      </c>
      <c r="H117" s="7">
        <v>16.899999999999999</v>
      </c>
      <c r="I117" s="3">
        <v>2</v>
      </c>
      <c r="J117" s="3">
        <f t="shared" si="2"/>
        <v>33.799999999999997</v>
      </c>
      <c r="K117" s="4">
        <v>0</v>
      </c>
      <c r="L117" s="23">
        <f t="shared" si="3"/>
        <v>0</v>
      </c>
      <c r="M117" s="7">
        <v>33.799999999999997</v>
      </c>
      <c r="N117" s="5" t="s">
        <v>327</v>
      </c>
      <c r="O117" s="5" t="s">
        <v>33</v>
      </c>
      <c r="P117" s="3">
        <v>8</v>
      </c>
      <c r="Q117" s="3">
        <v>6</v>
      </c>
      <c r="R117" s="5" t="b">
        <v>1</v>
      </c>
      <c r="S117" s="3">
        <v>5</v>
      </c>
      <c r="T117" s="3">
        <v>4</v>
      </c>
    </row>
    <row r="118" spans="1:20">
      <c r="A118" s="5" t="s">
        <v>386</v>
      </c>
      <c r="B118" s="5" t="s">
        <v>387</v>
      </c>
      <c r="C118" s="6">
        <v>45039</v>
      </c>
      <c r="D118" s="8">
        <v>34</v>
      </c>
      <c r="E118" s="5" t="s">
        <v>20</v>
      </c>
      <c r="F118" s="5" t="s">
        <v>32</v>
      </c>
      <c r="G118" s="5" t="s">
        <v>53</v>
      </c>
      <c r="H118" s="7">
        <v>89.46</v>
      </c>
      <c r="I118" s="3">
        <v>1</v>
      </c>
      <c r="J118" s="3">
        <f t="shared" si="2"/>
        <v>89.46</v>
      </c>
      <c r="K118" s="4">
        <v>0</v>
      </c>
      <c r="L118" s="23">
        <f t="shared" si="3"/>
        <v>0</v>
      </c>
      <c r="M118" s="7">
        <v>89.46</v>
      </c>
      <c r="N118" s="5" t="s">
        <v>327</v>
      </c>
      <c r="O118" s="5" t="s">
        <v>24</v>
      </c>
      <c r="P118" s="3">
        <v>7</v>
      </c>
      <c r="Q118" s="3">
        <v>5</v>
      </c>
      <c r="R118" s="5" t="b">
        <v>1</v>
      </c>
      <c r="S118" s="3">
        <v>15</v>
      </c>
      <c r="T118" s="3">
        <v>5</v>
      </c>
    </row>
    <row r="119" spans="1:20">
      <c r="A119" s="5" t="s">
        <v>97</v>
      </c>
      <c r="B119" s="5" t="s">
        <v>98</v>
      </c>
      <c r="C119" s="6">
        <v>45277</v>
      </c>
      <c r="D119" s="8">
        <v>20</v>
      </c>
      <c r="E119" s="5" t="s">
        <v>20</v>
      </c>
      <c r="F119" s="5" t="s">
        <v>52</v>
      </c>
      <c r="G119" s="5" t="s">
        <v>46</v>
      </c>
      <c r="H119" s="7">
        <v>367.58</v>
      </c>
      <c r="I119" s="3">
        <v>3</v>
      </c>
      <c r="J119" s="3">
        <f t="shared" si="2"/>
        <v>1102.74</v>
      </c>
      <c r="K119" s="4">
        <v>58.54</v>
      </c>
      <c r="L119" s="23">
        <f t="shared" si="3"/>
        <v>5.3085949543863468E-2</v>
      </c>
      <c r="M119" s="7">
        <v>1044.2</v>
      </c>
      <c r="N119" s="5" t="s">
        <v>23</v>
      </c>
      <c r="O119" s="5" t="s">
        <v>29</v>
      </c>
      <c r="P119" s="3">
        <v>13</v>
      </c>
      <c r="Q119" s="3">
        <v>12</v>
      </c>
      <c r="R119" s="5" t="b">
        <v>0</v>
      </c>
      <c r="S119" s="3">
        <v>6</v>
      </c>
      <c r="T119" s="3">
        <v>4</v>
      </c>
    </row>
    <row r="120" spans="1:20">
      <c r="A120" s="5" t="s">
        <v>99</v>
      </c>
      <c r="B120" s="5" t="s">
        <v>100</v>
      </c>
      <c r="C120" s="6">
        <v>45093</v>
      </c>
      <c r="D120" s="8">
        <v>48</v>
      </c>
      <c r="E120" s="5" t="s">
        <v>36</v>
      </c>
      <c r="F120" s="5" t="s">
        <v>83</v>
      </c>
      <c r="G120" s="5" t="s">
        <v>37</v>
      </c>
      <c r="H120" s="7">
        <v>89.98</v>
      </c>
      <c r="I120" s="3">
        <v>1</v>
      </c>
      <c r="J120" s="3">
        <f t="shared" si="2"/>
        <v>89.98</v>
      </c>
      <c r="K120" s="4">
        <v>0</v>
      </c>
      <c r="L120" s="23">
        <f t="shared" si="3"/>
        <v>0</v>
      </c>
      <c r="M120" s="7">
        <v>89.98</v>
      </c>
      <c r="N120" s="5" t="s">
        <v>23</v>
      </c>
      <c r="O120" s="5" t="s">
        <v>24</v>
      </c>
      <c r="P120" s="3">
        <v>9</v>
      </c>
      <c r="Q120" s="3">
        <v>9</v>
      </c>
      <c r="R120" s="5" t="b">
        <v>0</v>
      </c>
      <c r="S120" s="3">
        <v>14</v>
      </c>
      <c r="T120" s="3">
        <v>2</v>
      </c>
    </row>
    <row r="121" spans="1:20">
      <c r="A121" s="5" t="s">
        <v>1323</v>
      </c>
      <c r="B121" s="5" t="s">
        <v>1324</v>
      </c>
      <c r="C121" s="6">
        <v>45358</v>
      </c>
      <c r="D121" s="8">
        <v>44</v>
      </c>
      <c r="E121" s="5" t="s">
        <v>20</v>
      </c>
      <c r="F121" s="5" t="s">
        <v>32</v>
      </c>
      <c r="G121" s="5" t="s">
        <v>115</v>
      </c>
      <c r="H121" s="7">
        <v>7.89</v>
      </c>
      <c r="I121" s="3">
        <v>1</v>
      </c>
      <c r="J121" s="3">
        <f t="shared" si="2"/>
        <v>7.89</v>
      </c>
      <c r="K121" s="4">
        <v>0</v>
      </c>
      <c r="L121" s="23">
        <f t="shared" si="3"/>
        <v>0</v>
      </c>
      <c r="M121" s="7">
        <v>7.89</v>
      </c>
      <c r="N121" s="5" t="s">
        <v>1298</v>
      </c>
      <c r="O121" s="5" t="s">
        <v>29</v>
      </c>
      <c r="P121" s="3">
        <v>12</v>
      </c>
      <c r="Q121" s="3">
        <v>9</v>
      </c>
      <c r="R121" s="5" t="b">
        <v>1</v>
      </c>
      <c r="S121" s="3">
        <v>7</v>
      </c>
      <c r="T121" s="3">
        <v>4</v>
      </c>
    </row>
    <row r="122" spans="1:20">
      <c r="A122" s="5" t="s">
        <v>388</v>
      </c>
      <c r="B122" s="5" t="s">
        <v>389</v>
      </c>
      <c r="C122" s="6">
        <v>45320</v>
      </c>
      <c r="D122" s="8">
        <v>44</v>
      </c>
      <c r="E122" s="5" t="s">
        <v>36</v>
      </c>
      <c r="F122" s="5" t="s">
        <v>21</v>
      </c>
      <c r="G122" s="5" t="s">
        <v>46</v>
      </c>
      <c r="H122" s="7">
        <v>439.39</v>
      </c>
      <c r="I122" s="3">
        <v>5</v>
      </c>
      <c r="J122" s="3">
        <f t="shared" si="2"/>
        <v>2196.9499999999998</v>
      </c>
      <c r="K122" s="4">
        <v>0</v>
      </c>
      <c r="L122" s="23">
        <f t="shared" si="3"/>
        <v>0</v>
      </c>
      <c r="M122" s="7">
        <v>2196.9499999999998</v>
      </c>
      <c r="N122" s="5" t="s">
        <v>327</v>
      </c>
      <c r="O122" s="5" t="s">
        <v>33</v>
      </c>
      <c r="P122" s="3">
        <v>13</v>
      </c>
      <c r="Q122" s="3">
        <v>6</v>
      </c>
      <c r="R122" s="5" t="b">
        <v>1</v>
      </c>
      <c r="S122" s="3">
        <v>6</v>
      </c>
      <c r="T122" s="3">
        <v>5</v>
      </c>
    </row>
    <row r="123" spans="1:20">
      <c r="A123" s="5" t="s">
        <v>763</v>
      </c>
      <c r="B123" s="5" t="s">
        <v>764</v>
      </c>
      <c r="C123" s="6">
        <v>45324</v>
      </c>
      <c r="D123" s="8">
        <v>24</v>
      </c>
      <c r="E123" s="5" t="s">
        <v>20</v>
      </c>
      <c r="F123" s="5" t="s">
        <v>52</v>
      </c>
      <c r="G123" s="5" t="s">
        <v>37</v>
      </c>
      <c r="H123" s="7">
        <v>64.77</v>
      </c>
      <c r="I123" s="3">
        <v>5</v>
      </c>
      <c r="J123" s="3">
        <f t="shared" si="2"/>
        <v>323.84999999999997</v>
      </c>
      <c r="K123" s="4">
        <v>0</v>
      </c>
      <c r="L123" s="23">
        <f t="shared" si="3"/>
        <v>0</v>
      </c>
      <c r="M123" s="7">
        <v>323.85000000000002</v>
      </c>
      <c r="N123" s="5" t="s">
        <v>692</v>
      </c>
      <c r="O123" s="5" t="s">
        <v>33</v>
      </c>
      <c r="P123" s="3">
        <v>27</v>
      </c>
      <c r="Q123" s="3">
        <v>8</v>
      </c>
      <c r="R123" s="5" t="b">
        <v>0</v>
      </c>
      <c r="S123" s="3">
        <v>2</v>
      </c>
      <c r="T123" s="3">
        <v>5</v>
      </c>
    </row>
    <row r="124" spans="1:20">
      <c r="A124" s="5" t="s">
        <v>1248</v>
      </c>
      <c r="B124" s="5" t="s">
        <v>1249</v>
      </c>
      <c r="C124" s="6">
        <v>44955</v>
      </c>
      <c r="D124" s="8">
        <v>51</v>
      </c>
      <c r="E124" s="5" t="s">
        <v>20</v>
      </c>
      <c r="F124" s="5" t="s">
        <v>88</v>
      </c>
      <c r="G124" s="5" t="s">
        <v>53</v>
      </c>
      <c r="H124" s="7">
        <v>13.38</v>
      </c>
      <c r="I124" s="3">
        <v>1</v>
      </c>
      <c r="J124" s="3">
        <f t="shared" si="2"/>
        <v>13.38</v>
      </c>
      <c r="K124" s="4">
        <v>2.36</v>
      </c>
      <c r="L124" s="23">
        <f t="shared" si="3"/>
        <v>0.1763826606875934</v>
      </c>
      <c r="M124" s="7">
        <v>11.02</v>
      </c>
      <c r="N124" s="5" t="s">
        <v>1231</v>
      </c>
      <c r="O124" s="5" t="s">
        <v>33</v>
      </c>
      <c r="P124" s="3">
        <v>11</v>
      </c>
      <c r="Q124" s="3">
        <v>9</v>
      </c>
      <c r="R124" s="5" t="b">
        <v>1</v>
      </c>
      <c r="S124" s="3">
        <v>5</v>
      </c>
      <c r="T124" s="3">
        <v>1</v>
      </c>
    </row>
    <row r="125" spans="1:20">
      <c r="A125" s="5" t="s">
        <v>765</v>
      </c>
      <c r="B125" s="5" t="s">
        <v>766</v>
      </c>
      <c r="C125" s="6">
        <v>45044</v>
      </c>
      <c r="D125" s="8">
        <v>18</v>
      </c>
      <c r="E125" s="5" t="s">
        <v>20</v>
      </c>
      <c r="F125" s="5" t="s">
        <v>88</v>
      </c>
      <c r="G125" s="5" t="s">
        <v>115</v>
      </c>
      <c r="H125" s="7">
        <v>126.06</v>
      </c>
      <c r="I125" s="3">
        <v>2</v>
      </c>
      <c r="J125" s="3">
        <f t="shared" si="2"/>
        <v>252.12</v>
      </c>
      <c r="K125" s="4">
        <v>0</v>
      </c>
      <c r="L125" s="23">
        <f t="shared" si="3"/>
        <v>0</v>
      </c>
      <c r="M125" s="7">
        <v>252.12</v>
      </c>
      <c r="N125" s="5" t="s">
        <v>692</v>
      </c>
      <c r="O125" s="5" t="s">
        <v>24</v>
      </c>
      <c r="P125" s="3">
        <v>28</v>
      </c>
      <c r="Q125" s="3">
        <v>11</v>
      </c>
      <c r="R125" s="5" t="b">
        <v>1</v>
      </c>
      <c r="S125" s="3">
        <v>8</v>
      </c>
      <c r="T125" s="3">
        <v>4</v>
      </c>
    </row>
    <row r="126" spans="1:20">
      <c r="A126" s="5" t="s">
        <v>767</v>
      </c>
      <c r="B126" s="5" t="s">
        <v>768</v>
      </c>
      <c r="C126" s="6">
        <v>45347</v>
      </c>
      <c r="D126" s="8">
        <v>42</v>
      </c>
      <c r="E126" s="5" t="s">
        <v>20</v>
      </c>
      <c r="F126" s="5" t="s">
        <v>32</v>
      </c>
      <c r="G126" s="5" t="s">
        <v>46</v>
      </c>
      <c r="H126" s="7">
        <v>500.35</v>
      </c>
      <c r="I126" s="3">
        <v>3</v>
      </c>
      <c r="J126" s="3">
        <f t="shared" si="2"/>
        <v>1501.0500000000002</v>
      </c>
      <c r="K126" s="4">
        <v>0</v>
      </c>
      <c r="L126" s="23">
        <f t="shared" si="3"/>
        <v>0</v>
      </c>
      <c r="M126" s="7">
        <v>1501.05</v>
      </c>
      <c r="N126" s="5" t="s">
        <v>692</v>
      </c>
      <c r="O126" s="5" t="s">
        <v>24</v>
      </c>
      <c r="P126" s="3">
        <v>20</v>
      </c>
      <c r="Q126" s="3">
        <v>7</v>
      </c>
      <c r="R126" s="5" t="b">
        <v>1</v>
      </c>
      <c r="S126" s="3">
        <v>4</v>
      </c>
      <c r="T126" s="3">
        <v>2</v>
      </c>
    </row>
    <row r="127" spans="1:20">
      <c r="A127" s="5" t="s">
        <v>101</v>
      </c>
      <c r="B127" s="5" t="s">
        <v>102</v>
      </c>
      <c r="C127" s="6">
        <v>44943</v>
      </c>
      <c r="D127" s="8">
        <v>61</v>
      </c>
      <c r="E127" s="5" t="s">
        <v>36</v>
      </c>
      <c r="F127" s="5" t="s">
        <v>32</v>
      </c>
      <c r="G127" s="5" t="s">
        <v>28</v>
      </c>
      <c r="H127" s="7">
        <v>185.75</v>
      </c>
      <c r="I127" s="3">
        <v>1</v>
      </c>
      <c r="J127" s="3">
        <f t="shared" si="2"/>
        <v>185.75</v>
      </c>
      <c r="K127" s="4">
        <v>0</v>
      </c>
      <c r="L127" s="23">
        <f t="shared" si="3"/>
        <v>0</v>
      </c>
      <c r="M127" s="7">
        <v>185.75</v>
      </c>
      <c r="N127" s="5" t="s">
        <v>23</v>
      </c>
      <c r="O127" s="5" t="s">
        <v>33</v>
      </c>
      <c r="P127" s="3">
        <v>24</v>
      </c>
      <c r="Q127" s="3">
        <v>12</v>
      </c>
      <c r="R127" s="5" t="b">
        <v>0</v>
      </c>
      <c r="S127" s="3">
        <v>10</v>
      </c>
      <c r="T127" s="3">
        <v>5</v>
      </c>
    </row>
    <row r="128" spans="1:20">
      <c r="A128" s="5" t="s">
        <v>769</v>
      </c>
      <c r="B128" s="5" t="s">
        <v>770</v>
      </c>
      <c r="C128" s="6">
        <v>45339</v>
      </c>
      <c r="D128" s="8">
        <v>23</v>
      </c>
      <c r="E128" s="5" t="s">
        <v>36</v>
      </c>
      <c r="F128" s="5" t="s">
        <v>49</v>
      </c>
      <c r="G128" s="5" t="s">
        <v>22</v>
      </c>
      <c r="H128" s="7">
        <v>501.52</v>
      </c>
      <c r="I128" s="3">
        <v>2</v>
      </c>
      <c r="J128" s="3">
        <f t="shared" si="2"/>
        <v>1003.04</v>
      </c>
      <c r="K128" s="4">
        <v>0</v>
      </c>
      <c r="L128" s="23">
        <f t="shared" si="3"/>
        <v>0</v>
      </c>
      <c r="M128" s="7">
        <v>1003.04</v>
      </c>
      <c r="N128" s="5" t="s">
        <v>692</v>
      </c>
      <c r="O128" s="5" t="s">
        <v>33</v>
      </c>
      <c r="P128" s="3">
        <v>1</v>
      </c>
      <c r="Q128" s="3">
        <v>8</v>
      </c>
      <c r="R128" s="5" t="b">
        <v>1</v>
      </c>
      <c r="S128" s="3">
        <v>10</v>
      </c>
      <c r="T128" s="3">
        <v>1</v>
      </c>
    </row>
    <row r="129" spans="1:20">
      <c r="A129" s="5" t="s">
        <v>771</v>
      </c>
      <c r="B129" s="5" t="s">
        <v>772</v>
      </c>
      <c r="C129" s="6">
        <v>45088</v>
      </c>
      <c r="D129" s="8">
        <v>28</v>
      </c>
      <c r="E129" s="5" t="s">
        <v>20</v>
      </c>
      <c r="F129" s="5" t="s">
        <v>52</v>
      </c>
      <c r="G129" s="5" t="s">
        <v>115</v>
      </c>
      <c r="H129" s="7">
        <v>93.22</v>
      </c>
      <c r="I129" s="3">
        <v>5</v>
      </c>
      <c r="J129" s="3">
        <f t="shared" si="2"/>
        <v>466.1</v>
      </c>
      <c r="K129" s="4">
        <v>0</v>
      </c>
      <c r="L129" s="23">
        <f t="shared" si="3"/>
        <v>0</v>
      </c>
      <c r="M129" s="7">
        <v>466.1</v>
      </c>
      <c r="N129" s="5" t="s">
        <v>692</v>
      </c>
      <c r="O129" s="5" t="s">
        <v>33</v>
      </c>
      <c r="P129" s="3">
        <v>13</v>
      </c>
      <c r="Q129" s="3">
        <v>6</v>
      </c>
      <c r="R129" s="5" t="b">
        <v>1</v>
      </c>
      <c r="S129" s="3">
        <v>2</v>
      </c>
      <c r="T129" s="3">
        <v>1</v>
      </c>
    </row>
    <row r="130" spans="1:20">
      <c r="A130" s="5" t="s">
        <v>773</v>
      </c>
      <c r="B130" s="5" t="s">
        <v>774</v>
      </c>
      <c r="C130" s="6">
        <v>45132</v>
      </c>
      <c r="D130" s="8">
        <v>36</v>
      </c>
      <c r="E130" s="5" t="s">
        <v>36</v>
      </c>
      <c r="F130" s="5" t="s">
        <v>49</v>
      </c>
      <c r="G130" s="5" t="s">
        <v>37</v>
      </c>
      <c r="H130" s="7">
        <v>38.58</v>
      </c>
      <c r="I130" s="3">
        <v>2</v>
      </c>
      <c r="J130" s="3">
        <f t="shared" si="2"/>
        <v>77.16</v>
      </c>
      <c r="K130" s="4">
        <v>0</v>
      </c>
      <c r="L130" s="23">
        <f t="shared" si="3"/>
        <v>0</v>
      </c>
      <c r="M130" s="7">
        <v>77.16</v>
      </c>
      <c r="N130" s="5" t="s">
        <v>692</v>
      </c>
      <c r="O130" s="5" t="s">
        <v>24</v>
      </c>
      <c r="P130" s="3">
        <v>11</v>
      </c>
      <c r="Q130" s="3">
        <v>14</v>
      </c>
      <c r="R130" s="5" t="b">
        <v>0</v>
      </c>
      <c r="S130" s="3">
        <v>2</v>
      </c>
      <c r="T130" s="3">
        <v>5</v>
      </c>
    </row>
    <row r="131" spans="1:20">
      <c r="A131" s="5" t="s">
        <v>775</v>
      </c>
      <c r="B131" s="5" t="s">
        <v>776</v>
      </c>
      <c r="C131" s="6">
        <v>45064</v>
      </c>
      <c r="D131" s="8">
        <v>28</v>
      </c>
      <c r="E131" s="5" t="s">
        <v>20</v>
      </c>
      <c r="F131" s="5" t="s">
        <v>32</v>
      </c>
      <c r="G131" s="5" t="s">
        <v>37</v>
      </c>
      <c r="H131" s="7">
        <v>164.8</v>
      </c>
      <c r="I131" s="3">
        <v>3</v>
      </c>
      <c r="J131" s="3">
        <f t="shared" ref="J131:J194" si="4">H131*I131</f>
        <v>494.40000000000003</v>
      </c>
      <c r="K131" s="4">
        <v>30.29</v>
      </c>
      <c r="L131" s="23">
        <f t="shared" ref="L131:L194" si="5">IF(J131=0,0,K131/J131)</f>
        <v>6.126618122977346E-2</v>
      </c>
      <c r="M131" s="7">
        <v>464.11</v>
      </c>
      <c r="N131" s="5" t="s">
        <v>692</v>
      </c>
      <c r="O131" s="5" t="s">
        <v>33</v>
      </c>
      <c r="P131" s="3">
        <v>10</v>
      </c>
      <c r="Q131" s="3">
        <v>9</v>
      </c>
      <c r="R131" s="5" t="b">
        <v>0</v>
      </c>
      <c r="S131" s="3">
        <v>11</v>
      </c>
      <c r="T131" s="3">
        <v>2</v>
      </c>
    </row>
    <row r="132" spans="1:20">
      <c r="A132" s="5" t="s">
        <v>390</v>
      </c>
      <c r="B132" s="5" t="s">
        <v>391</v>
      </c>
      <c r="C132" s="6">
        <v>44960</v>
      </c>
      <c r="D132" s="8">
        <v>18</v>
      </c>
      <c r="E132" s="5" t="s">
        <v>36</v>
      </c>
      <c r="F132" s="5" t="s">
        <v>32</v>
      </c>
      <c r="G132" s="5" t="s">
        <v>46</v>
      </c>
      <c r="H132" s="7">
        <v>117.22</v>
      </c>
      <c r="I132" s="3">
        <v>2</v>
      </c>
      <c r="J132" s="3">
        <f t="shared" si="4"/>
        <v>234.44</v>
      </c>
      <c r="K132" s="4">
        <v>0</v>
      </c>
      <c r="L132" s="23">
        <f t="shared" si="5"/>
        <v>0</v>
      </c>
      <c r="M132" s="7">
        <v>234.44</v>
      </c>
      <c r="N132" s="5" t="s">
        <v>327</v>
      </c>
      <c r="O132" s="5" t="s">
        <v>29</v>
      </c>
      <c r="P132" s="3">
        <v>17</v>
      </c>
      <c r="Q132" s="3">
        <v>8</v>
      </c>
      <c r="R132" s="5" t="b">
        <v>0</v>
      </c>
      <c r="S132" s="3">
        <v>3</v>
      </c>
      <c r="T132" s="3">
        <v>4</v>
      </c>
    </row>
    <row r="133" spans="1:20">
      <c r="A133" s="5" t="s">
        <v>777</v>
      </c>
      <c r="B133" s="5" t="s">
        <v>778</v>
      </c>
      <c r="C133" s="6">
        <v>45035</v>
      </c>
      <c r="D133" s="8">
        <v>35</v>
      </c>
      <c r="E133" s="5" t="s">
        <v>20</v>
      </c>
      <c r="F133" s="5" t="s">
        <v>49</v>
      </c>
      <c r="G133" s="5" t="s">
        <v>37</v>
      </c>
      <c r="H133" s="7">
        <v>137.06</v>
      </c>
      <c r="I133" s="3">
        <v>3</v>
      </c>
      <c r="J133" s="3">
        <f t="shared" si="4"/>
        <v>411.18</v>
      </c>
      <c r="K133" s="4">
        <v>28.04</v>
      </c>
      <c r="L133" s="23">
        <f t="shared" si="5"/>
        <v>6.819397830633786E-2</v>
      </c>
      <c r="M133" s="7">
        <v>383.14</v>
      </c>
      <c r="N133" s="5" t="s">
        <v>692</v>
      </c>
      <c r="O133" s="5" t="s">
        <v>33</v>
      </c>
      <c r="P133" s="3">
        <v>14</v>
      </c>
      <c r="Q133" s="3">
        <v>13</v>
      </c>
      <c r="R133" s="5" t="b">
        <v>1</v>
      </c>
      <c r="S133" s="3">
        <v>4</v>
      </c>
      <c r="T133" s="3">
        <v>5</v>
      </c>
    </row>
    <row r="134" spans="1:20">
      <c r="A134" s="5" t="s">
        <v>392</v>
      </c>
      <c r="B134" s="5" t="s">
        <v>393</v>
      </c>
      <c r="C134" s="6">
        <v>45217</v>
      </c>
      <c r="D134" s="8">
        <v>22</v>
      </c>
      <c r="E134" s="5" t="s">
        <v>36</v>
      </c>
      <c r="F134" s="5" t="s">
        <v>32</v>
      </c>
      <c r="G134" s="5" t="s">
        <v>53</v>
      </c>
      <c r="H134" s="7">
        <v>136.26</v>
      </c>
      <c r="I134" s="3">
        <v>1</v>
      </c>
      <c r="J134" s="3">
        <f t="shared" si="4"/>
        <v>136.26</v>
      </c>
      <c r="K134" s="4">
        <v>0</v>
      </c>
      <c r="L134" s="23">
        <f t="shared" si="5"/>
        <v>0</v>
      </c>
      <c r="M134" s="7">
        <v>136.26</v>
      </c>
      <c r="N134" s="5" t="s">
        <v>327</v>
      </c>
      <c r="O134" s="5" t="s">
        <v>33</v>
      </c>
      <c r="P134" s="3">
        <v>33</v>
      </c>
      <c r="Q134" s="3">
        <v>15</v>
      </c>
      <c r="R134" s="5" t="b">
        <v>1</v>
      </c>
      <c r="S134" s="3">
        <v>2</v>
      </c>
      <c r="T134" s="3">
        <v>5</v>
      </c>
    </row>
    <row r="135" spans="1:20">
      <c r="A135" s="5" t="s">
        <v>779</v>
      </c>
      <c r="B135" s="5" t="s">
        <v>780</v>
      </c>
      <c r="C135" s="6">
        <v>45375</v>
      </c>
      <c r="D135" s="8">
        <v>40</v>
      </c>
      <c r="E135" s="5" t="s">
        <v>36</v>
      </c>
      <c r="F135" s="5" t="s">
        <v>88</v>
      </c>
      <c r="G135" s="5" t="s">
        <v>46</v>
      </c>
      <c r="H135" s="7">
        <v>660.6</v>
      </c>
      <c r="I135" s="3">
        <v>2</v>
      </c>
      <c r="J135" s="3">
        <f t="shared" si="4"/>
        <v>1321.2</v>
      </c>
      <c r="K135" s="4">
        <v>0</v>
      </c>
      <c r="L135" s="23">
        <f t="shared" si="5"/>
        <v>0</v>
      </c>
      <c r="M135" s="7">
        <v>1321.2</v>
      </c>
      <c r="N135" s="5" t="s">
        <v>692</v>
      </c>
      <c r="O135" s="5" t="s">
        <v>33</v>
      </c>
      <c r="P135" s="3">
        <v>24</v>
      </c>
      <c r="Q135" s="3">
        <v>7</v>
      </c>
      <c r="R135" s="5" t="b">
        <v>1</v>
      </c>
      <c r="S135" s="3">
        <v>4</v>
      </c>
      <c r="T135" s="3">
        <v>3</v>
      </c>
    </row>
    <row r="136" spans="1:20">
      <c r="A136" s="5" t="s">
        <v>103</v>
      </c>
      <c r="B136" s="5" t="s">
        <v>104</v>
      </c>
      <c r="C136" s="6">
        <v>45294</v>
      </c>
      <c r="D136" s="8">
        <v>23</v>
      </c>
      <c r="E136" s="5" t="s">
        <v>36</v>
      </c>
      <c r="F136" s="5" t="s">
        <v>32</v>
      </c>
      <c r="G136" s="5" t="s">
        <v>46</v>
      </c>
      <c r="H136" s="7">
        <v>338.82</v>
      </c>
      <c r="I136" s="3">
        <v>5</v>
      </c>
      <c r="J136" s="3">
        <f t="shared" si="4"/>
        <v>1694.1</v>
      </c>
      <c r="K136" s="4">
        <v>84.41</v>
      </c>
      <c r="L136" s="23">
        <f t="shared" si="5"/>
        <v>4.9825866241662242E-2</v>
      </c>
      <c r="M136" s="7">
        <v>1609.69</v>
      </c>
      <c r="N136" s="5" t="s">
        <v>23</v>
      </c>
      <c r="O136" s="5" t="s">
        <v>33</v>
      </c>
      <c r="P136" s="3">
        <v>11</v>
      </c>
      <c r="Q136" s="3">
        <v>11</v>
      </c>
      <c r="R136" s="5" t="b">
        <v>1</v>
      </c>
      <c r="S136" s="3">
        <v>4</v>
      </c>
      <c r="T136" s="3">
        <v>4</v>
      </c>
    </row>
    <row r="137" spans="1:20">
      <c r="A137" s="5" t="s">
        <v>781</v>
      </c>
      <c r="B137" s="5" t="s">
        <v>782</v>
      </c>
      <c r="C137" s="6">
        <v>45088</v>
      </c>
      <c r="D137" s="8">
        <v>53</v>
      </c>
      <c r="E137" s="5" t="s">
        <v>36</v>
      </c>
      <c r="F137" s="5" t="s">
        <v>32</v>
      </c>
      <c r="G137" s="5" t="s">
        <v>115</v>
      </c>
      <c r="H137" s="7">
        <v>176.88</v>
      </c>
      <c r="I137" s="3">
        <v>1</v>
      </c>
      <c r="J137" s="3">
        <f t="shared" si="4"/>
        <v>176.88</v>
      </c>
      <c r="K137" s="4">
        <v>0</v>
      </c>
      <c r="L137" s="23">
        <f t="shared" si="5"/>
        <v>0</v>
      </c>
      <c r="M137" s="7">
        <v>176.88</v>
      </c>
      <c r="N137" s="5" t="s">
        <v>692</v>
      </c>
      <c r="O137" s="5" t="s">
        <v>24</v>
      </c>
      <c r="P137" s="3">
        <v>9</v>
      </c>
      <c r="Q137" s="3">
        <v>5</v>
      </c>
      <c r="R137" s="5" t="b">
        <v>1</v>
      </c>
      <c r="S137" s="3">
        <v>4</v>
      </c>
      <c r="T137" s="3">
        <v>4</v>
      </c>
    </row>
    <row r="138" spans="1:20">
      <c r="A138" s="5" t="s">
        <v>783</v>
      </c>
      <c r="B138" s="5" t="s">
        <v>784</v>
      </c>
      <c r="C138" s="6">
        <v>45035</v>
      </c>
      <c r="D138" s="8">
        <v>25</v>
      </c>
      <c r="E138" s="5" t="s">
        <v>36</v>
      </c>
      <c r="F138" s="5" t="s">
        <v>83</v>
      </c>
      <c r="G138" s="5" t="s">
        <v>56</v>
      </c>
      <c r="H138" s="7">
        <v>662.8</v>
      </c>
      <c r="I138" s="3">
        <v>2</v>
      </c>
      <c r="J138" s="3">
        <f t="shared" si="4"/>
        <v>1325.6</v>
      </c>
      <c r="K138" s="4">
        <v>0</v>
      </c>
      <c r="L138" s="23">
        <f t="shared" si="5"/>
        <v>0</v>
      </c>
      <c r="M138" s="7">
        <v>1325.6</v>
      </c>
      <c r="N138" s="5" t="s">
        <v>692</v>
      </c>
      <c r="O138" s="5" t="s">
        <v>24</v>
      </c>
      <c r="P138" s="3">
        <v>6</v>
      </c>
      <c r="Q138" s="3">
        <v>9</v>
      </c>
      <c r="R138" s="5" t="b">
        <v>1</v>
      </c>
      <c r="S138" s="3">
        <v>12</v>
      </c>
      <c r="T138" s="3">
        <v>4</v>
      </c>
    </row>
    <row r="139" spans="1:20">
      <c r="A139" s="5" t="s">
        <v>785</v>
      </c>
      <c r="B139" s="5" t="s">
        <v>786</v>
      </c>
      <c r="C139" s="6">
        <v>45262</v>
      </c>
      <c r="D139" s="8">
        <v>31</v>
      </c>
      <c r="E139" s="5" t="s">
        <v>36</v>
      </c>
      <c r="F139" s="5" t="s">
        <v>21</v>
      </c>
      <c r="G139" s="5" t="s">
        <v>28</v>
      </c>
      <c r="H139" s="7">
        <v>69.540000000000006</v>
      </c>
      <c r="I139" s="3">
        <v>1</v>
      </c>
      <c r="J139" s="3">
        <f t="shared" si="4"/>
        <v>69.540000000000006</v>
      </c>
      <c r="K139" s="4">
        <v>6.55</v>
      </c>
      <c r="L139" s="23">
        <f t="shared" si="5"/>
        <v>9.4190394017831455E-2</v>
      </c>
      <c r="M139" s="7">
        <v>62.99</v>
      </c>
      <c r="N139" s="5" t="s">
        <v>692</v>
      </c>
      <c r="O139" s="5" t="s">
        <v>33</v>
      </c>
      <c r="P139" s="3">
        <v>23</v>
      </c>
      <c r="Q139" s="3">
        <v>6</v>
      </c>
      <c r="R139" s="5" t="b">
        <v>1</v>
      </c>
      <c r="S139" s="3">
        <v>11</v>
      </c>
      <c r="T139" s="3">
        <v>5</v>
      </c>
    </row>
    <row r="140" spans="1:20">
      <c r="A140" s="5" t="s">
        <v>394</v>
      </c>
      <c r="B140" s="5" t="s">
        <v>395</v>
      </c>
      <c r="C140" s="6">
        <v>45182</v>
      </c>
      <c r="D140" s="8">
        <v>44</v>
      </c>
      <c r="E140" s="5" t="s">
        <v>36</v>
      </c>
      <c r="F140" s="5" t="s">
        <v>27</v>
      </c>
      <c r="G140" s="5" t="s">
        <v>28</v>
      </c>
      <c r="H140" s="7">
        <v>90.07</v>
      </c>
      <c r="I140" s="3">
        <v>3</v>
      </c>
      <c r="J140" s="3">
        <f t="shared" si="4"/>
        <v>270.20999999999998</v>
      </c>
      <c r="K140" s="4">
        <v>0</v>
      </c>
      <c r="L140" s="23">
        <f t="shared" si="5"/>
        <v>0</v>
      </c>
      <c r="M140" s="7">
        <v>270.20999999999998</v>
      </c>
      <c r="N140" s="5" t="s">
        <v>327</v>
      </c>
      <c r="O140" s="5" t="s">
        <v>33</v>
      </c>
      <c r="P140" s="3">
        <v>21</v>
      </c>
      <c r="Q140" s="3">
        <v>7</v>
      </c>
      <c r="R140" s="5" t="b">
        <v>1</v>
      </c>
      <c r="S140" s="3">
        <v>5</v>
      </c>
      <c r="T140" s="3">
        <v>5</v>
      </c>
    </row>
    <row r="141" spans="1:20">
      <c r="A141" s="5" t="s">
        <v>396</v>
      </c>
      <c r="B141" s="5" t="s">
        <v>397</v>
      </c>
      <c r="C141" s="6">
        <v>45129</v>
      </c>
      <c r="D141" s="8">
        <v>20</v>
      </c>
      <c r="E141" s="5" t="s">
        <v>36</v>
      </c>
      <c r="F141" s="5" t="s">
        <v>32</v>
      </c>
      <c r="G141" s="5" t="s">
        <v>56</v>
      </c>
      <c r="H141" s="7">
        <v>342.96</v>
      </c>
      <c r="I141" s="3">
        <v>3</v>
      </c>
      <c r="J141" s="3">
        <f t="shared" si="4"/>
        <v>1028.8799999999999</v>
      </c>
      <c r="K141" s="4">
        <v>0</v>
      </c>
      <c r="L141" s="23">
        <f t="shared" si="5"/>
        <v>0</v>
      </c>
      <c r="M141" s="7">
        <v>1028.8800000000001</v>
      </c>
      <c r="N141" s="5" t="s">
        <v>327</v>
      </c>
      <c r="O141" s="5" t="s">
        <v>33</v>
      </c>
      <c r="P141" s="3">
        <v>29</v>
      </c>
      <c r="Q141" s="3">
        <v>10</v>
      </c>
      <c r="R141" s="5" t="b">
        <v>1</v>
      </c>
      <c r="S141" s="3">
        <v>9</v>
      </c>
      <c r="T141" s="3">
        <v>5</v>
      </c>
    </row>
    <row r="142" spans="1:20">
      <c r="A142" s="5" t="s">
        <v>398</v>
      </c>
      <c r="B142" s="5" t="s">
        <v>399</v>
      </c>
      <c r="C142" s="6">
        <v>45256</v>
      </c>
      <c r="D142" s="8">
        <v>37</v>
      </c>
      <c r="E142" s="5" t="s">
        <v>36</v>
      </c>
      <c r="F142" s="5" t="s">
        <v>73</v>
      </c>
      <c r="G142" s="5" t="s">
        <v>115</v>
      </c>
      <c r="H142" s="7">
        <v>203.57</v>
      </c>
      <c r="I142" s="3">
        <v>5</v>
      </c>
      <c r="J142" s="3">
        <f t="shared" si="4"/>
        <v>1017.8499999999999</v>
      </c>
      <c r="K142" s="4">
        <v>26.14</v>
      </c>
      <c r="L142" s="23">
        <f t="shared" si="5"/>
        <v>2.5681583730412145E-2</v>
      </c>
      <c r="M142" s="7">
        <v>991.71</v>
      </c>
      <c r="N142" s="5" t="s">
        <v>327</v>
      </c>
      <c r="O142" s="5" t="s">
        <v>33</v>
      </c>
      <c r="P142" s="3">
        <v>13</v>
      </c>
      <c r="Q142" s="3">
        <v>5</v>
      </c>
      <c r="R142" s="5" t="b">
        <v>0</v>
      </c>
      <c r="S142" s="3">
        <v>6</v>
      </c>
      <c r="T142" s="3">
        <v>3</v>
      </c>
    </row>
    <row r="143" spans="1:20">
      <c r="A143" s="5" t="s">
        <v>1250</v>
      </c>
      <c r="B143" s="5" t="s">
        <v>1251</v>
      </c>
      <c r="C143" s="6">
        <v>45161</v>
      </c>
      <c r="D143" s="8">
        <v>50</v>
      </c>
      <c r="E143" s="5" t="s">
        <v>20</v>
      </c>
      <c r="F143" s="5" t="s">
        <v>27</v>
      </c>
      <c r="G143" s="5" t="s">
        <v>53</v>
      </c>
      <c r="H143" s="7">
        <v>69.61</v>
      </c>
      <c r="I143" s="3">
        <v>1</v>
      </c>
      <c r="J143" s="3">
        <f t="shared" si="4"/>
        <v>69.61</v>
      </c>
      <c r="K143" s="4">
        <v>5.46</v>
      </c>
      <c r="L143" s="23">
        <f t="shared" si="5"/>
        <v>7.843700617727338E-2</v>
      </c>
      <c r="M143" s="7">
        <v>64.150000000000006</v>
      </c>
      <c r="N143" s="5" t="s">
        <v>1231</v>
      </c>
      <c r="O143" s="5" t="s">
        <v>24</v>
      </c>
      <c r="P143" s="3">
        <v>24</v>
      </c>
      <c r="Q143" s="3">
        <v>4</v>
      </c>
      <c r="R143" s="5" t="b">
        <v>0</v>
      </c>
      <c r="S143" s="3">
        <v>10</v>
      </c>
      <c r="T143" s="3">
        <v>4</v>
      </c>
    </row>
    <row r="144" spans="1:20">
      <c r="A144" s="5" t="s">
        <v>1325</v>
      </c>
      <c r="B144" s="5" t="s">
        <v>1326</v>
      </c>
      <c r="C144" s="6">
        <v>45000</v>
      </c>
      <c r="D144" s="8">
        <v>18</v>
      </c>
      <c r="E144" s="5" t="s">
        <v>36</v>
      </c>
      <c r="F144" s="5" t="s">
        <v>52</v>
      </c>
      <c r="G144" s="5" t="s">
        <v>22</v>
      </c>
      <c r="H144" s="7">
        <v>360.56</v>
      </c>
      <c r="I144" s="3">
        <v>4</v>
      </c>
      <c r="J144" s="3">
        <f t="shared" si="4"/>
        <v>1442.24</v>
      </c>
      <c r="K144" s="4">
        <v>0</v>
      </c>
      <c r="L144" s="23">
        <f t="shared" si="5"/>
        <v>0</v>
      </c>
      <c r="M144" s="7">
        <v>1442.24</v>
      </c>
      <c r="N144" s="5" t="s">
        <v>1298</v>
      </c>
      <c r="O144" s="5" t="s">
        <v>24</v>
      </c>
      <c r="P144" s="3">
        <v>20</v>
      </c>
      <c r="Q144" s="3">
        <v>7</v>
      </c>
      <c r="R144" s="5" t="b">
        <v>1</v>
      </c>
      <c r="S144" s="3">
        <v>13</v>
      </c>
      <c r="T144" s="3">
        <v>4</v>
      </c>
    </row>
    <row r="145" spans="1:20">
      <c r="A145" s="5" t="s">
        <v>400</v>
      </c>
      <c r="B145" s="5" t="s">
        <v>401</v>
      </c>
      <c r="C145" s="6">
        <v>45062</v>
      </c>
      <c r="D145" s="8">
        <v>37</v>
      </c>
      <c r="E145" s="5" t="s">
        <v>20</v>
      </c>
      <c r="F145" s="5" t="s">
        <v>59</v>
      </c>
      <c r="G145" s="5" t="s">
        <v>37</v>
      </c>
      <c r="H145" s="7">
        <v>125.21</v>
      </c>
      <c r="I145" s="3">
        <v>4</v>
      </c>
      <c r="J145" s="3">
        <f t="shared" si="4"/>
        <v>500.84</v>
      </c>
      <c r="K145" s="4">
        <v>28.05</v>
      </c>
      <c r="L145" s="23">
        <f t="shared" si="5"/>
        <v>5.6005910071080592E-2</v>
      </c>
      <c r="M145" s="7">
        <v>472.79</v>
      </c>
      <c r="N145" s="5" t="s">
        <v>327</v>
      </c>
      <c r="O145" s="5" t="s">
        <v>33</v>
      </c>
      <c r="P145" s="3">
        <v>13</v>
      </c>
      <c r="Q145" s="3">
        <v>5</v>
      </c>
      <c r="R145" s="5" t="b">
        <v>1</v>
      </c>
      <c r="S145" s="3">
        <v>6</v>
      </c>
      <c r="T145" s="3">
        <v>4</v>
      </c>
    </row>
    <row r="146" spans="1:20">
      <c r="A146" s="5" t="s">
        <v>787</v>
      </c>
      <c r="B146" s="5" t="s">
        <v>788</v>
      </c>
      <c r="C146" s="6">
        <v>44998</v>
      </c>
      <c r="D146" s="8">
        <v>38</v>
      </c>
      <c r="E146" s="5" t="s">
        <v>36</v>
      </c>
      <c r="F146" s="5" t="s">
        <v>73</v>
      </c>
      <c r="G146" s="5" t="s">
        <v>115</v>
      </c>
      <c r="H146" s="7">
        <v>71.14</v>
      </c>
      <c r="I146" s="3">
        <v>4</v>
      </c>
      <c r="J146" s="3">
        <f t="shared" si="4"/>
        <v>284.56</v>
      </c>
      <c r="K146" s="4">
        <v>9.1300000000000008</v>
      </c>
      <c r="L146" s="23">
        <f t="shared" si="5"/>
        <v>3.2084621872364355E-2</v>
      </c>
      <c r="M146" s="7">
        <v>275.43</v>
      </c>
      <c r="N146" s="5" t="s">
        <v>692</v>
      </c>
      <c r="O146" s="5" t="s">
        <v>24</v>
      </c>
      <c r="P146" s="3">
        <v>15</v>
      </c>
      <c r="Q146" s="3">
        <v>9</v>
      </c>
      <c r="R146" s="5" t="b">
        <v>1</v>
      </c>
      <c r="S146" s="3">
        <v>1</v>
      </c>
      <c r="T146" s="3">
        <v>2</v>
      </c>
    </row>
    <row r="147" spans="1:20">
      <c r="A147" s="5" t="s">
        <v>402</v>
      </c>
      <c r="B147" s="5" t="s">
        <v>403</v>
      </c>
      <c r="C147" s="6">
        <v>45053</v>
      </c>
      <c r="D147" s="8">
        <v>44</v>
      </c>
      <c r="E147" s="5" t="s">
        <v>36</v>
      </c>
      <c r="F147" s="5" t="s">
        <v>52</v>
      </c>
      <c r="G147" s="5" t="s">
        <v>64</v>
      </c>
      <c r="H147" s="7">
        <v>984.42</v>
      </c>
      <c r="I147" s="3">
        <v>4</v>
      </c>
      <c r="J147" s="3">
        <f t="shared" si="4"/>
        <v>3937.68</v>
      </c>
      <c r="K147" s="4">
        <v>0</v>
      </c>
      <c r="L147" s="23">
        <f t="shared" si="5"/>
        <v>0</v>
      </c>
      <c r="M147" s="7">
        <v>3937.68</v>
      </c>
      <c r="N147" s="5" t="s">
        <v>327</v>
      </c>
      <c r="O147" s="5" t="s">
        <v>33</v>
      </c>
      <c r="P147" s="3">
        <v>5</v>
      </c>
      <c r="Q147" s="3">
        <v>11</v>
      </c>
      <c r="R147" s="5" t="b">
        <v>1</v>
      </c>
      <c r="S147" s="3">
        <v>10</v>
      </c>
      <c r="T147" s="3">
        <v>2</v>
      </c>
    </row>
    <row r="148" spans="1:20">
      <c r="A148" s="5" t="s">
        <v>789</v>
      </c>
      <c r="B148" s="5" t="s">
        <v>790</v>
      </c>
      <c r="C148" s="6">
        <v>45308</v>
      </c>
      <c r="D148" s="8">
        <v>20</v>
      </c>
      <c r="E148" s="5" t="s">
        <v>36</v>
      </c>
      <c r="F148" s="5" t="s">
        <v>73</v>
      </c>
      <c r="G148" s="5" t="s">
        <v>37</v>
      </c>
      <c r="H148" s="7">
        <v>42.62</v>
      </c>
      <c r="I148" s="3">
        <v>2</v>
      </c>
      <c r="J148" s="3">
        <f t="shared" si="4"/>
        <v>85.24</v>
      </c>
      <c r="K148" s="4">
        <v>0</v>
      </c>
      <c r="L148" s="23">
        <f t="shared" si="5"/>
        <v>0</v>
      </c>
      <c r="M148" s="7">
        <v>85.24</v>
      </c>
      <c r="N148" s="5" t="s">
        <v>692</v>
      </c>
      <c r="O148" s="5" t="s">
        <v>33</v>
      </c>
      <c r="P148" s="3">
        <v>38</v>
      </c>
      <c r="Q148" s="3">
        <v>9</v>
      </c>
      <c r="R148" s="5" t="b">
        <v>0</v>
      </c>
      <c r="S148" s="3">
        <v>4</v>
      </c>
      <c r="T148" s="3">
        <v>3</v>
      </c>
    </row>
    <row r="149" spans="1:20">
      <c r="A149" s="5" t="s">
        <v>105</v>
      </c>
      <c r="B149" s="5" t="s">
        <v>106</v>
      </c>
      <c r="C149" s="6">
        <v>45214</v>
      </c>
      <c r="D149" s="8">
        <v>19</v>
      </c>
      <c r="E149" s="5" t="s">
        <v>20</v>
      </c>
      <c r="F149" s="5" t="s">
        <v>73</v>
      </c>
      <c r="G149" s="5" t="s">
        <v>64</v>
      </c>
      <c r="H149" s="7">
        <v>1843.56</v>
      </c>
      <c r="I149" s="3">
        <v>4</v>
      </c>
      <c r="J149" s="3">
        <f t="shared" si="4"/>
        <v>7374.24</v>
      </c>
      <c r="K149" s="4">
        <v>0</v>
      </c>
      <c r="L149" s="23">
        <f t="shared" si="5"/>
        <v>0</v>
      </c>
      <c r="M149" s="7">
        <v>7374.24</v>
      </c>
      <c r="N149" s="5" t="s">
        <v>23</v>
      </c>
      <c r="O149" s="5" t="s">
        <v>33</v>
      </c>
      <c r="P149" s="3">
        <v>14</v>
      </c>
      <c r="Q149" s="3">
        <v>13</v>
      </c>
      <c r="R149" s="5" t="b">
        <v>1</v>
      </c>
      <c r="S149" s="3">
        <v>8</v>
      </c>
      <c r="T149" s="3">
        <v>3</v>
      </c>
    </row>
    <row r="150" spans="1:20">
      <c r="A150" s="5" t="s">
        <v>791</v>
      </c>
      <c r="B150" s="5" t="s">
        <v>792</v>
      </c>
      <c r="C150" s="6">
        <v>45202</v>
      </c>
      <c r="D150" s="8">
        <v>41</v>
      </c>
      <c r="E150" s="5" t="s">
        <v>20</v>
      </c>
      <c r="F150" s="5" t="s">
        <v>32</v>
      </c>
      <c r="G150" s="5" t="s">
        <v>115</v>
      </c>
      <c r="H150" s="7">
        <v>173.47</v>
      </c>
      <c r="I150" s="3">
        <v>2</v>
      </c>
      <c r="J150" s="3">
        <f t="shared" si="4"/>
        <v>346.94</v>
      </c>
      <c r="K150" s="4">
        <v>0</v>
      </c>
      <c r="L150" s="23">
        <f t="shared" si="5"/>
        <v>0</v>
      </c>
      <c r="M150" s="7">
        <v>346.94</v>
      </c>
      <c r="N150" s="5" t="s">
        <v>692</v>
      </c>
      <c r="O150" s="5" t="s">
        <v>33</v>
      </c>
      <c r="P150" s="3">
        <v>1</v>
      </c>
      <c r="Q150" s="3">
        <v>13</v>
      </c>
      <c r="R150" s="5" t="b">
        <v>1</v>
      </c>
      <c r="S150" s="3">
        <v>17</v>
      </c>
      <c r="T150" s="3">
        <v>3</v>
      </c>
    </row>
    <row r="151" spans="1:20">
      <c r="A151" s="5" t="s">
        <v>107</v>
      </c>
      <c r="B151" s="5" t="s">
        <v>108</v>
      </c>
      <c r="C151" s="6">
        <v>45061</v>
      </c>
      <c r="D151" s="8">
        <v>38</v>
      </c>
      <c r="E151" s="5" t="s">
        <v>36</v>
      </c>
      <c r="F151" s="5" t="s">
        <v>21</v>
      </c>
      <c r="G151" s="5" t="s">
        <v>28</v>
      </c>
      <c r="H151" s="7">
        <v>180.98</v>
      </c>
      <c r="I151" s="3">
        <v>1</v>
      </c>
      <c r="J151" s="3">
        <f t="shared" si="4"/>
        <v>180.98</v>
      </c>
      <c r="K151" s="4">
        <v>45</v>
      </c>
      <c r="L151" s="23">
        <f t="shared" si="5"/>
        <v>0.24864625925516634</v>
      </c>
      <c r="M151" s="7">
        <v>135.97999999999999</v>
      </c>
      <c r="N151" s="5" t="s">
        <v>23</v>
      </c>
      <c r="O151" s="5" t="s">
        <v>24</v>
      </c>
      <c r="P151" s="3">
        <v>10</v>
      </c>
      <c r="Q151" s="3">
        <v>8</v>
      </c>
      <c r="R151" s="5" t="b">
        <v>1</v>
      </c>
      <c r="S151" s="3">
        <v>6</v>
      </c>
      <c r="T151" s="3">
        <v>3</v>
      </c>
    </row>
    <row r="152" spans="1:20">
      <c r="A152" s="5" t="s">
        <v>1327</v>
      </c>
      <c r="B152" s="5" t="s">
        <v>1328</v>
      </c>
      <c r="C152" s="6">
        <v>45309</v>
      </c>
      <c r="D152" s="8">
        <v>38</v>
      </c>
      <c r="E152" s="5" t="s">
        <v>36</v>
      </c>
      <c r="F152" s="5" t="s">
        <v>52</v>
      </c>
      <c r="G152" s="5" t="s">
        <v>53</v>
      </c>
      <c r="H152" s="7">
        <v>102.45</v>
      </c>
      <c r="I152" s="3">
        <v>1</v>
      </c>
      <c r="J152" s="3">
        <f t="shared" si="4"/>
        <v>102.45</v>
      </c>
      <c r="K152" s="4">
        <v>0</v>
      </c>
      <c r="L152" s="23">
        <f t="shared" si="5"/>
        <v>0</v>
      </c>
      <c r="M152" s="7">
        <v>102.45</v>
      </c>
      <c r="N152" s="5" t="s">
        <v>1298</v>
      </c>
      <c r="O152" s="5" t="s">
        <v>33</v>
      </c>
      <c r="P152" s="3">
        <v>5</v>
      </c>
      <c r="Q152" s="3">
        <v>10</v>
      </c>
      <c r="R152" s="5" t="b">
        <v>0</v>
      </c>
      <c r="S152" s="3">
        <v>12</v>
      </c>
      <c r="T152" s="3">
        <v>4</v>
      </c>
    </row>
    <row r="153" spans="1:20">
      <c r="A153" s="5" t="s">
        <v>404</v>
      </c>
      <c r="B153" s="5" t="s">
        <v>405</v>
      </c>
      <c r="C153" s="6">
        <v>45226</v>
      </c>
      <c r="D153" s="8">
        <v>39</v>
      </c>
      <c r="E153" s="5" t="s">
        <v>20</v>
      </c>
      <c r="F153" s="5" t="s">
        <v>21</v>
      </c>
      <c r="G153" s="5" t="s">
        <v>22</v>
      </c>
      <c r="H153" s="7">
        <v>57.06</v>
      </c>
      <c r="I153" s="3">
        <v>2</v>
      </c>
      <c r="J153" s="3">
        <f t="shared" si="4"/>
        <v>114.12</v>
      </c>
      <c r="K153" s="4">
        <v>13.23</v>
      </c>
      <c r="L153" s="23">
        <f t="shared" si="5"/>
        <v>0.11593059936908517</v>
      </c>
      <c r="M153" s="7">
        <v>100.89</v>
      </c>
      <c r="N153" s="5" t="s">
        <v>327</v>
      </c>
      <c r="O153" s="5" t="s">
        <v>24</v>
      </c>
      <c r="P153" s="3">
        <v>32</v>
      </c>
      <c r="Q153" s="3">
        <v>12</v>
      </c>
      <c r="R153" s="5" t="b">
        <v>0</v>
      </c>
      <c r="S153" s="3">
        <v>9</v>
      </c>
      <c r="T153" s="3">
        <v>4</v>
      </c>
    </row>
    <row r="154" spans="1:20">
      <c r="A154" s="5" t="s">
        <v>406</v>
      </c>
      <c r="B154" s="5" t="s">
        <v>407</v>
      </c>
      <c r="C154" s="6">
        <v>45146</v>
      </c>
      <c r="D154" s="8">
        <v>26</v>
      </c>
      <c r="E154" s="5" t="s">
        <v>20</v>
      </c>
      <c r="F154" s="5" t="s">
        <v>27</v>
      </c>
      <c r="G154" s="5" t="s">
        <v>22</v>
      </c>
      <c r="H154" s="7">
        <v>293.22000000000003</v>
      </c>
      <c r="I154" s="3">
        <v>3</v>
      </c>
      <c r="J154" s="3">
        <f t="shared" si="4"/>
        <v>879.66000000000008</v>
      </c>
      <c r="K154" s="4">
        <v>0</v>
      </c>
      <c r="L154" s="23">
        <f t="shared" si="5"/>
        <v>0</v>
      </c>
      <c r="M154" s="7">
        <v>879.66</v>
      </c>
      <c r="N154" s="5" t="s">
        <v>327</v>
      </c>
      <c r="O154" s="5" t="s">
        <v>33</v>
      </c>
      <c r="P154" s="3">
        <v>11</v>
      </c>
      <c r="Q154" s="3">
        <v>15</v>
      </c>
      <c r="R154" s="5" t="b">
        <v>0</v>
      </c>
      <c r="S154" s="3">
        <v>11</v>
      </c>
      <c r="T154" s="3">
        <v>4</v>
      </c>
    </row>
    <row r="155" spans="1:20">
      <c r="A155" s="5" t="s">
        <v>408</v>
      </c>
      <c r="B155" s="5" t="s">
        <v>409</v>
      </c>
      <c r="C155" s="6">
        <v>45225</v>
      </c>
      <c r="D155" s="8">
        <v>37</v>
      </c>
      <c r="E155" s="5" t="s">
        <v>36</v>
      </c>
      <c r="F155" s="5" t="s">
        <v>21</v>
      </c>
      <c r="G155" s="5" t="s">
        <v>22</v>
      </c>
      <c r="H155" s="7">
        <v>159.53</v>
      </c>
      <c r="I155" s="3">
        <v>1</v>
      </c>
      <c r="J155" s="3">
        <f t="shared" si="4"/>
        <v>159.53</v>
      </c>
      <c r="K155" s="4">
        <v>0</v>
      </c>
      <c r="L155" s="23">
        <f t="shared" si="5"/>
        <v>0</v>
      </c>
      <c r="M155" s="7">
        <v>159.53</v>
      </c>
      <c r="N155" s="5" t="s">
        <v>327</v>
      </c>
      <c r="O155" s="5" t="s">
        <v>24</v>
      </c>
      <c r="P155" s="3">
        <v>6</v>
      </c>
      <c r="Q155" s="3">
        <v>7</v>
      </c>
      <c r="R155" s="5" t="b">
        <v>1</v>
      </c>
      <c r="S155" s="3">
        <v>8</v>
      </c>
      <c r="T155" s="3">
        <v>5</v>
      </c>
    </row>
    <row r="156" spans="1:20">
      <c r="A156" s="5" t="s">
        <v>793</v>
      </c>
      <c r="B156" s="5" t="s">
        <v>794</v>
      </c>
      <c r="C156" s="6">
        <v>45131</v>
      </c>
      <c r="D156" s="8">
        <v>38</v>
      </c>
      <c r="E156" s="5" t="s">
        <v>36</v>
      </c>
      <c r="F156" s="5" t="s">
        <v>76</v>
      </c>
      <c r="G156" s="5" t="s">
        <v>56</v>
      </c>
      <c r="H156" s="7">
        <v>257.99</v>
      </c>
      <c r="I156" s="3">
        <v>1</v>
      </c>
      <c r="J156" s="3">
        <f t="shared" si="4"/>
        <v>257.99</v>
      </c>
      <c r="K156" s="4">
        <v>0</v>
      </c>
      <c r="L156" s="23">
        <f t="shared" si="5"/>
        <v>0</v>
      </c>
      <c r="M156" s="7">
        <v>257.99</v>
      </c>
      <c r="N156" s="5" t="s">
        <v>692</v>
      </c>
      <c r="O156" s="5" t="s">
        <v>29</v>
      </c>
      <c r="P156" s="3">
        <v>14</v>
      </c>
      <c r="Q156" s="3">
        <v>6</v>
      </c>
      <c r="R156" s="5" t="b">
        <v>0</v>
      </c>
      <c r="S156" s="3">
        <v>7</v>
      </c>
      <c r="T156" s="3">
        <v>4</v>
      </c>
    </row>
    <row r="157" spans="1:20">
      <c r="A157" s="5" t="s">
        <v>1329</v>
      </c>
      <c r="B157" s="5" t="s">
        <v>1330</v>
      </c>
      <c r="C157" s="6">
        <v>45112</v>
      </c>
      <c r="D157" s="8">
        <v>26</v>
      </c>
      <c r="E157" s="5" t="s">
        <v>20</v>
      </c>
      <c r="F157" s="5" t="s">
        <v>52</v>
      </c>
      <c r="G157" s="5" t="s">
        <v>53</v>
      </c>
      <c r="H157" s="7">
        <v>114.28</v>
      </c>
      <c r="I157" s="3">
        <v>1</v>
      </c>
      <c r="J157" s="3">
        <f t="shared" si="4"/>
        <v>114.28</v>
      </c>
      <c r="K157" s="4">
        <v>0</v>
      </c>
      <c r="L157" s="23">
        <f t="shared" si="5"/>
        <v>0</v>
      </c>
      <c r="M157" s="7">
        <v>114.28</v>
      </c>
      <c r="N157" s="5" t="s">
        <v>1298</v>
      </c>
      <c r="O157" s="5" t="s">
        <v>24</v>
      </c>
      <c r="P157" s="3">
        <v>17</v>
      </c>
      <c r="Q157" s="3">
        <v>6</v>
      </c>
      <c r="R157" s="5" t="b">
        <v>1</v>
      </c>
      <c r="S157" s="3">
        <v>7</v>
      </c>
      <c r="T157" s="3">
        <v>5</v>
      </c>
    </row>
    <row r="158" spans="1:20">
      <c r="A158" s="5" t="s">
        <v>410</v>
      </c>
      <c r="B158" s="5" t="s">
        <v>411</v>
      </c>
      <c r="C158" s="6">
        <v>45039</v>
      </c>
      <c r="D158" s="8">
        <v>57</v>
      </c>
      <c r="E158" s="5" t="s">
        <v>20</v>
      </c>
      <c r="F158" s="5" t="s">
        <v>21</v>
      </c>
      <c r="G158" s="5" t="s">
        <v>64</v>
      </c>
      <c r="H158" s="7">
        <v>1034.05</v>
      </c>
      <c r="I158" s="3">
        <v>2</v>
      </c>
      <c r="J158" s="3">
        <f t="shared" si="4"/>
        <v>2068.1</v>
      </c>
      <c r="K158" s="4">
        <v>62.85</v>
      </c>
      <c r="L158" s="23">
        <f t="shared" si="5"/>
        <v>3.0390213239205068E-2</v>
      </c>
      <c r="M158" s="7">
        <v>2005.25</v>
      </c>
      <c r="N158" s="5" t="s">
        <v>327</v>
      </c>
      <c r="O158" s="5" t="s">
        <v>24</v>
      </c>
      <c r="P158" s="3">
        <v>24</v>
      </c>
      <c r="Q158" s="3">
        <v>16</v>
      </c>
      <c r="R158" s="5" t="b">
        <v>0</v>
      </c>
      <c r="S158" s="3">
        <v>6</v>
      </c>
      <c r="T158" s="3">
        <v>5</v>
      </c>
    </row>
    <row r="159" spans="1:20">
      <c r="A159" s="5" t="s">
        <v>795</v>
      </c>
      <c r="B159" s="5" t="s">
        <v>796</v>
      </c>
      <c r="C159" s="6">
        <v>44997</v>
      </c>
      <c r="D159" s="8">
        <v>40</v>
      </c>
      <c r="E159" s="5" t="s">
        <v>20</v>
      </c>
      <c r="F159" s="5" t="s">
        <v>59</v>
      </c>
      <c r="G159" s="5" t="s">
        <v>22</v>
      </c>
      <c r="H159" s="7">
        <v>351.6</v>
      </c>
      <c r="I159" s="3">
        <v>4</v>
      </c>
      <c r="J159" s="3">
        <f t="shared" si="4"/>
        <v>1406.4</v>
      </c>
      <c r="K159" s="4">
        <v>0</v>
      </c>
      <c r="L159" s="23">
        <f t="shared" si="5"/>
        <v>0</v>
      </c>
      <c r="M159" s="7">
        <v>1406.4</v>
      </c>
      <c r="N159" s="5" t="s">
        <v>692</v>
      </c>
      <c r="O159" s="5" t="s">
        <v>33</v>
      </c>
      <c r="P159" s="3">
        <v>3</v>
      </c>
      <c r="Q159" s="3">
        <v>8</v>
      </c>
      <c r="R159" s="5" t="b">
        <v>0</v>
      </c>
      <c r="S159" s="3">
        <v>19</v>
      </c>
      <c r="T159" s="3">
        <v>3</v>
      </c>
    </row>
    <row r="160" spans="1:20">
      <c r="A160" s="5" t="s">
        <v>109</v>
      </c>
      <c r="B160" s="5" t="s">
        <v>110</v>
      </c>
      <c r="C160" s="6">
        <v>45187</v>
      </c>
      <c r="D160" s="8">
        <v>20</v>
      </c>
      <c r="E160" s="5" t="s">
        <v>36</v>
      </c>
      <c r="F160" s="5" t="s">
        <v>73</v>
      </c>
      <c r="G160" s="5" t="s">
        <v>53</v>
      </c>
      <c r="H160" s="7">
        <v>45.89</v>
      </c>
      <c r="I160" s="3">
        <v>1</v>
      </c>
      <c r="J160" s="3">
        <f t="shared" si="4"/>
        <v>45.89</v>
      </c>
      <c r="K160" s="4">
        <v>3.46</v>
      </c>
      <c r="L160" s="23">
        <f t="shared" si="5"/>
        <v>7.5397690128568312E-2</v>
      </c>
      <c r="M160" s="7">
        <v>42.43</v>
      </c>
      <c r="N160" s="5" t="s">
        <v>23</v>
      </c>
      <c r="O160" s="5" t="s">
        <v>24</v>
      </c>
      <c r="P160" s="3">
        <v>8</v>
      </c>
      <c r="Q160" s="3">
        <v>6</v>
      </c>
      <c r="R160" s="5" t="b">
        <v>0</v>
      </c>
      <c r="S160" s="3">
        <v>6</v>
      </c>
      <c r="T160" s="3">
        <v>4</v>
      </c>
    </row>
    <row r="161" spans="1:20">
      <c r="A161" s="5" t="s">
        <v>797</v>
      </c>
      <c r="B161" s="5" t="s">
        <v>798</v>
      </c>
      <c r="C161" s="6">
        <v>45179</v>
      </c>
      <c r="D161" s="8">
        <v>42</v>
      </c>
      <c r="E161" s="5" t="s">
        <v>20</v>
      </c>
      <c r="F161" s="5" t="s">
        <v>73</v>
      </c>
      <c r="G161" s="5" t="s">
        <v>37</v>
      </c>
      <c r="H161" s="7">
        <v>38.5</v>
      </c>
      <c r="I161" s="3">
        <v>1</v>
      </c>
      <c r="J161" s="3">
        <f t="shared" si="4"/>
        <v>38.5</v>
      </c>
      <c r="K161" s="4">
        <v>7.72</v>
      </c>
      <c r="L161" s="23">
        <f t="shared" si="5"/>
        <v>0.20051948051948051</v>
      </c>
      <c r="M161" s="7">
        <v>30.78</v>
      </c>
      <c r="N161" s="5" t="s">
        <v>692</v>
      </c>
      <c r="O161" s="5" t="s">
        <v>24</v>
      </c>
      <c r="P161" s="3">
        <v>14</v>
      </c>
      <c r="Q161" s="3">
        <v>6</v>
      </c>
      <c r="R161" s="5" t="b">
        <v>1</v>
      </c>
      <c r="S161" s="3">
        <v>9</v>
      </c>
      <c r="T161" s="3">
        <v>4</v>
      </c>
    </row>
    <row r="162" spans="1:20">
      <c r="A162" s="5" t="s">
        <v>799</v>
      </c>
      <c r="B162" s="5" t="s">
        <v>800</v>
      </c>
      <c r="C162" s="6">
        <v>44973</v>
      </c>
      <c r="D162" s="8">
        <v>23</v>
      </c>
      <c r="E162" s="5" t="s">
        <v>20</v>
      </c>
      <c r="F162" s="5" t="s">
        <v>32</v>
      </c>
      <c r="G162" s="5" t="s">
        <v>64</v>
      </c>
      <c r="H162" s="7">
        <v>2365.5</v>
      </c>
      <c r="I162" s="3">
        <v>2</v>
      </c>
      <c r="J162" s="3">
        <f t="shared" si="4"/>
        <v>4731</v>
      </c>
      <c r="K162" s="4">
        <v>0</v>
      </c>
      <c r="L162" s="23">
        <f t="shared" si="5"/>
        <v>0</v>
      </c>
      <c r="M162" s="7">
        <v>4731</v>
      </c>
      <c r="N162" s="5" t="s">
        <v>692</v>
      </c>
      <c r="O162" s="5" t="s">
        <v>24</v>
      </c>
      <c r="P162" s="3">
        <v>16</v>
      </c>
      <c r="Q162" s="3">
        <v>8</v>
      </c>
      <c r="R162" s="5" t="b">
        <v>1</v>
      </c>
      <c r="S162" s="3">
        <v>3</v>
      </c>
      <c r="T162" s="3">
        <v>4</v>
      </c>
    </row>
    <row r="163" spans="1:20">
      <c r="A163" s="5" t="s">
        <v>412</v>
      </c>
      <c r="B163" s="5" t="s">
        <v>413</v>
      </c>
      <c r="C163" s="6">
        <v>45313</v>
      </c>
      <c r="D163" s="8">
        <v>44</v>
      </c>
      <c r="E163" s="5" t="s">
        <v>20</v>
      </c>
      <c r="F163" s="5" t="s">
        <v>52</v>
      </c>
      <c r="G163" s="5" t="s">
        <v>28</v>
      </c>
      <c r="H163" s="7">
        <v>113.19</v>
      </c>
      <c r="I163" s="3">
        <v>3</v>
      </c>
      <c r="J163" s="3">
        <f t="shared" si="4"/>
        <v>339.57</v>
      </c>
      <c r="K163" s="4">
        <v>0</v>
      </c>
      <c r="L163" s="23">
        <f t="shared" si="5"/>
        <v>0</v>
      </c>
      <c r="M163" s="7">
        <v>339.57</v>
      </c>
      <c r="N163" s="5" t="s">
        <v>327</v>
      </c>
      <c r="O163" s="5" t="s">
        <v>33</v>
      </c>
      <c r="P163" s="3">
        <v>18</v>
      </c>
      <c r="Q163" s="3">
        <v>9</v>
      </c>
      <c r="R163" s="5" t="b">
        <v>0</v>
      </c>
      <c r="S163" s="3">
        <v>16</v>
      </c>
      <c r="T163" s="3">
        <v>1</v>
      </c>
    </row>
    <row r="164" spans="1:20">
      <c r="A164" s="5" t="s">
        <v>111</v>
      </c>
      <c r="B164" s="5" t="s">
        <v>112</v>
      </c>
      <c r="C164" s="6">
        <v>44951</v>
      </c>
      <c r="D164" s="8">
        <v>48</v>
      </c>
      <c r="E164" s="5" t="s">
        <v>20</v>
      </c>
      <c r="F164" s="5" t="s">
        <v>52</v>
      </c>
      <c r="G164" s="5" t="s">
        <v>56</v>
      </c>
      <c r="H164" s="7">
        <v>1049.78</v>
      </c>
      <c r="I164" s="3">
        <v>2</v>
      </c>
      <c r="J164" s="3">
        <f t="shared" si="4"/>
        <v>2099.56</v>
      </c>
      <c r="K164" s="4">
        <v>0</v>
      </c>
      <c r="L164" s="23">
        <f t="shared" si="5"/>
        <v>0</v>
      </c>
      <c r="M164" s="7">
        <v>2099.56</v>
      </c>
      <c r="N164" s="5" t="s">
        <v>23</v>
      </c>
      <c r="O164" s="5" t="s">
        <v>33</v>
      </c>
      <c r="P164" s="3">
        <v>10</v>
      </c>
      <c r="Q164" s="3">
        <v>7</v>
      </c>
      <c r="R164" s="5" t="b">
        <v>1</v>
      </c>
      <c r="S164" s="3">
        <v>11</v>
      </c>
      <c r="T164" s="3">
        <v>5</v>
      </c>
    </row>
    <row r="165" spans="1:20">
      <c r="A165" s="5" t="s">
        <v>414</v>
      </c>
      <c r="B165" s="5" t="s">
        <v>415</v>
      </c>
      <c r="C165" s="6">
        <v>45367</v>
      </c>
      <c r="D165" s="8">
        <v>25</v>
      </c>
      <c r="E165" s="5" t="s">
        <v>36</v>
      </c>
      <c r="F165" s="5" t="s">
        <v>83</v>
      </c>
      <c r="G165" s="5" t="s">
        <v>46</v>
      </c>
      <c r="H165" s="7">
        <v>221.81</v>
      </c>
      <c r="I165" s="3">
        <v>1</v>
      </c>
      <c r="J165" s="3">
        <f t="shared" si="4"/>
        <v>221.81</v>
      </c>
      <c r="K165" s="4">
        <v>0</v>
      </c>
      <c r="L165" s="23">
        <f t="shared" si="5"/>
        <v>0</v>
      </c>
      <c r="M165" s="7">
        <v>221.81</v>
      </c>
      <c r="N165" s="5" t="s">
        <v>327</v>
      </c>
      <c r="O165" s="5" t="s">
        <v>33</v>
      </c>
      <c r="P165" s="3">
        <v>8</v>
      </c>
      <c r="Q165" s="3">
        <v>6</v>
      </c>
      <c r="R165" s="5" t="b">
        <v>0</v>
      </c>
      <c r="S165" s="3">
        <v>4</v>
      </c>
      <c r="T165" s="3">
        <v>2</v>
      </c>
    </row>
    <row r="166" spans="1:20">
      <c r="A166" s="5" t="s">
        <v>113</v>
      </c>
      <c r="B166" s="5" t="s">
        <v>114</v>
      </c>
      <c r="C166" s="6">
        <v>44983</v>
      </c>
      <c r="D166" s="8">
        <v>46</v>
      </c>
      <c r="E166" s="5" t="s">
        <v>20</v>
      </c>
      <c r="F166" s="5" t="s">
        <v>52</v>
      </c>
      <c r="G166" s="5" t="s">
        <v>115</v>
      </c>
      <c r="H166" s="7">
        <v>40.43</v>
      </c>
      <c r="I166" s="3">
        <v>3</v>
      </c>
      <c r="J166" s="3">
        <f t="shared" si="4"/>
        <v>121.28999999999999</v>
      </c>
      <c r="K166" s="4">
        <v>9.11</v>
      </c>
      <c r="L166" s="23">
        <f t="shared" si="5"/>
        <v>7.5109242311814664E-2</v>
      </c>
      <c r="M166" s="7">
        <v>112.18</v>
      </c>
      <c r="N166" s="5" t="s">
        <v>23</v>
      </c>
      <c r="O166" s="5" t="s">
        <v>33</v>
      </c>
      <c r="P166" s="3">
        <v>4</v>
      </c>
      <c r="Q166" s="3">
        <v>8</v>
      </c>
      <c r="R166" s="5" t="b">
        <v>0</v>
      </c>
      <c r="S166" s="3">
        <v>8</v>
      </c>
      <c r="T166" s="3">
        <v>5</v>
      </c>
    </row>
    <row r="167" spans="1:20">
      <c r="A167" s="5" t="s">
        <v>801</v>
      </c>
      <c r="B167" s="5" t="s">
        <v>802</v>
      </c>
      <c r="C167" s="6">
        <v>45005</v>
      </c>
      <c r="D167" s="8">
        <v>39</v>
      </c>
      <c r="E167" s="5" t="s">
        <v>20</v>
      </c>
      <c r="F167" s="5" t="s">
        <v>88</v>
      </c>
      <c r="G167" s="5" t="s">
        <v>115</v>
      </c>
      <c r="H167" s="7">
        <v>85.71</v>
      </c>
      <c r="I167" s="3">
        <v>1</v>
      </c>
      <c r="J167" s="3">
        <f t="shared" si="4"/>
        <v>85.71</v>
      </c>
      <c r="K167" s="4">
        <v>0</v>
      </c>
      <c r="L167" s="23">
        <f t="shared" si="5"/>
        <v>0</v>
      </c>
      <c r="M167" s="7">
        <v>85.71</v>
      </c>
      <c r="N167" s="5" t="s">
        <v>692</v>
      </c>
      <c r="O167" s="5" t="s">
        <v>33</v>
      </c>
      <c r="P167" s="3">
        <v>16</v>
      </c>
      <c r="Q167" s="3">
        <v>12</v>
      </c>
      <c r="R167" s="5" t="b">
        <v>1</v>
      </c>
      <c r="S167" s="3">
        <v>8</v>
      </c>
      <c r="T167" s="3">
        <v>5</v>
      </c>
    </row>
    <row r="168" spans="1:20">
      <c r="A168" s="5" t="s">
        <v>416</v>
      </c>
      <c r="B168" s="5" t="s">
        <v>417</v>
      </c>
      <c r="C168" s="6">
        <v>45248</v>
      </c>
      <c r="D168" s="8">
        <v>44</v>
      </c>
      <c r="E168" s="5" t="s">
        <v>20</v>
      </c>
      <c r="F168" s="5" t="s">
        <v>49</v>
      </c>
      <c r="G168" s="5" t="s">
        <v>64</v>
      </c>
      <c r="H168" s="7">
        <v>758.95</v>
      </c>
      <c r="I168" s="3">
        <v>2</v>
      </c>
      <c r="J168" s="3">
        <f t="shared" si="4"/>
        <v>1517.9</v>
      </c>
      <c r="K168" s="4">
        <v>108.29</v>
      </c>
      <c r="L168" s="23">
        <f t="shared" si="5"/>
        <v>7.1341985638052566E-2</v>
      </c>
      <c r="M168" s="7">
        <v>1409.61</v>
      </c>
      <c r="N168" s="5" t="s">
        <v>327</v>
      </c>
      <c r="O168" s="5" t="s">
        <v>29</v>
      </c>
      <c r="P168" s="3">
        <v>6</v>
      </c>
      <c r="Q168" s="3">
        <v>7</v>
      </c>
      <c r="R168" s="5" t="b">
        <v>1</v>
      </c>
      <c r="S168" s="3">
        <v>9</v>
      </c>
      <c r="T168" s="3">
        <v>4</v>
      </c>
    </row>
    <row r="169" spans="1:20">
      <c r="A169" s="5" t="s">
        <v>803</v>
      </c>
      <c r="B169" s="5" t="s">
        <v>804</v>
      </c>
      <c r="C169" s="6">
        <v>45008</v>
      </c>
      <c r="D169" s="8">
        <v>57</v>
      </c>
      <c r="E169" s="5" t="s">
        <v>20</v>
      </c>
      <c r="F169" s="5" t="s">
        <v>52</v>
      </c>
      <c r="G169" s="5" t="s">
        <v>28</v>
      </c>
      <c r="H169" s="7">
        <v>236.55</v>
      </c>
      <c r="I169" s="3">
        <v>3</v>
      </c>
      <c r="J169" s="3">
        <f t="shared" si="4"/>
        <v>709.65000000000009</v>
      </c>
      <c r="K169" s="4">
        <v>0</v>
      </c>
      <c r="L169" s="23">
        <f t="shared" si="5"/>
        <v>0</v>
      </c>
      <c r="M169" s="7">
        <v>709.65</v>
      </c>
      <c r="N169" s="5" t="s">
        <v>692</v>
      </c>
      <c r="O169" s="5" t="s">
        <v>24</v>
      </c>
      <c r="P169" s="3">
        <v>11</v>
      </c>
      <c r="Q169" s="3">
        <v>10</v>
      </c>
      <c r="R169" s="5" t="b">
        <v>0</v>
      </c>
      <c r="S169" s="3">
        <v>6</v>
      </c>
      <c r="T169" s="3">
        <v>3</v>
      </c>
    </row>
    <row r="170" spans="1:20">
      <c r="A170" s="5" t="s">
        <v>1252</v>
      </c>
      <c r="B170" s="5" t="s">
        <v>1253</v>
      </c>
      <c r="C170" s="6">
        <v>45332</v>
      </c>
      <c r="D170" s="8">
        <v>32</v>
      </c>
      <c r="E170" s="5" t="s">
        <v>20</v>
      </c>
      <c r="F170" s="5" t="s">
        <v>73</v>
      </c>
      <c r="G170" s="5" t="s">
        <v>28</v>
      </c>
      <c r="H170" s="7">
        <v>28.21</v>
      </c>
      <c r="I170" s="3">
        <v>1</v>
      </c>
      <c r="J170" s="3">
        <f t="shared" si="4"/>
        <v>28.21</v>
      </c>
      <c r="K170" s="4">
        <v>0</v>
      </c>
      <c r="L170" s="23">
        <f t="shared" si="5"/>
        <v>0</v>
      </c>
      <c r="M170" s="7">
        <v>28.21</v>
      </c>
      <c r="N170" s="5" t="s">
        <v>1231</v>
      </c>
      <c r="O170" s="5" t="s">
        <v>24</v>
      </c>
      <c r="P170" s="3">
        <v>6</v>
      </c>
      <c r="Q170" s="3">
        <v>11</v>
      </c>
      <c r="R170" s="5" t="b">
        <v>1</v>
      </c>
      <c r="S170" s="3">
        <v>3</v>
      </c>
      <c r="T170" s="3">
        <v>4</v>
      </c>
    </row>
    <row r="171" spans="1:20">
      <c r="A171" s="5" t="s">
        <v>805</v>
      </c>
      <c r="B171" s="5" t="s">
        <v>806</v>
      </c>
      <c r="C171" s="6">
        <v>45275</v>
      </c>
      <c r="D171" s="8">
        <v>25</v>
      </c>
      <c r="E171" s="5" t="s">
        <v>36</v>
      </c>
      <c r="F171" s="5" t="s">
        <v>59</v>
      </c>
      <c r="G171" s="5" t="s">
        <v>28</v>
      </c>
      <c r="H171" s="7">
        <v>58.14</v>
      </c>
      <c r="I171" s="3">
        <v>1</v>
      </c>
      <c r="J171" s="3">
        <f t="shared" si="4"/>
        <v>58.14</v>
      </c>
      <c r="K171" s="4">
        <v>0</v>
      </c>
      <c r="L171" s="23">
        <f t="shared" si="5"/>
        <v>0</v>
      </c>
      <c r="M171" s="7">
        <v>58.14</v>
      </c>
      <c r="N171" s="5" t="s">
        <v>692</v>
      </c>
      <c r="O171" s="5" t="s">
        <v>24</v>
      </c>
      <c r="P171" s="3">
        <v>12</v>
      </c>
      <c r="Q171" s="3">
        <v>5</v>
      </c>
      <c r="R171" s="5" t="b">
        <v>1</v>
      </c>
      <c r="S171" s="3">
        <v>7</v>
      </c>
      <c r="T171" s="3">
        <v>3</v>
      </c>
    </row>
    <row r="172" spans="1:20">
      <c r="A172" s="5" t="s">
        <v>807</v>
      </c>
      <c r="B172" s="5" t="s">
        <v>808</v>
      </c>
      <c r="C172" s="6">
        <v>45143</v>
      </c>
      <c r="D172" s="8">
        <v>24</v>
      </c>
      <c r="E172" s="5" t="s">
        <v>36</v>
      </c>
      <c r="F172" s="5" t="s">
        <v>88</v>
      </c>
      <c r="G172" s="5" t="s">
        <v>37</v>
      </c>
      <c r="H172" s="7">
        <v>99.2</v>
      </c>
      <c r="I172" s="3">
        <v>1</v>
      </c>
      <c r="J172" s="3">
        <f t="shared" si="4"/>
        <v>99.2</v>
      </c>
      <c r="K172" s="4">
        <v>0</v>
      </c>
      <c r="L172" s="23">
        <f t="shared" si="5"/>
        <v>0</v>
      </c>
      <c r="M172" s="7">
        <v>99.2</v>
      </c>
      <c r="N172" s="5" t="s">
        <v>692</v>
      </c>
      <c r="O172" s="5" t="s">
        <v>24</v>
      </c>
      <c r="P172" s="3">
        <v>13</v>
      </c>
      <c r="Q172" s="3">
        <v>10</v>
      </c>
      <c r="R172" s="5" t="b">
        <v>1</v>
      </c>
      <c r="S172" s="3">
        <v>3</v>
      </c>
      <c r="T172" s="3">
        <v>3</v>
      </c>
    </row>
    <row r="173" spans="1:20">
      <c r="A173" s="5" t="s">
        <v>1331</v>
      </c>
      <c r="B173" s="5" t="s">
        <v>1332</v>
      </c>
      <c r="C173" s="6">
        <v>45232</v>
      </c>
      <c r="D173" s="8">
        <v>25</v>
      </c>
      <c r="E173" s="5" t="s">
        <v>36</v>
      </c>
      <c r="F173" s="5" t="s">
        <v>32</v>
      </c>
      <c r="G173" s="5" t="s">
        <v>64</v>
      </c>
      <c r="H173" s="7">
        <v>2214.16</v>
      </c>
      <c r="I173" s="3">
        <v>2</v>
      </c>
      <c r="J173" s="3">
        <f t="shared" si="4"/>
        <v>4428.32</v>
      </c>
      <c r="K173" s="4">
        <v>0</v>
      </c>
      <c r="L173" s="23">
        <f t="shared" si="5"/>
        <v>0</v>
      </c>
      <c r="M173" s="7">
        <v>4428.32</v>
      </c>
      <c r="N173" s="5" t="s">
        <v>1298</v>
      </c>
      <c r="O173" s="5" t="s">
        <v>24</v>
      </c>
      <c r="P173" s="3">
        <v>17</v>
      </c>
      <c r="Q173" s="3">
        <v>8</v>
      </c>
      <c r="R173" s="5" t="b">
        <v>1</v>
      </c>
      <c r="S173" s="3">
        <v>17</v>
      </c>
      <c r="T173" s="3">
        <v>5</v>
      </c>
    </row>
    <row r="174" spans="1:20">
      <c r="A174" s="5" t="s">
        <v>1254</v>
      </c>
      <c r="B174" s="5" t="s">
        <v>1255</v>
      </c>
      <c r="C174" s="6">
        <v>44959</v>
      </c>
      <c r="D174" s="8">
        <v>34</v>
      </c>
      <c r="E174" s="5" t="s">
        <v>36</v>
      </c>
      <c r="F174" s="5" t="s">
        <v>52</v>
      </c>
      <c r="G174" s="5" t="s">
        <v>64</v>
      </c>
      <c r="H174" s="7">
        <v>1563.53</v>
      </c>
      <c r="I174" s="3">
        <v>3</v>
      </c>
      <c r="J174" s="3">
        <f t="shared" si="4"/>
        <v>4690.59</v>
      </c>
      <c r="K174" s="4">
        <v>0</v>
      </c>
      <c r="L174" s="23">
        <f t="shared" si="5"/>
        <v>0</v>
      </c>
      <c r="M174" s="7">
        <v>4690.59</v>
      </c>
      <c r="N174" s="5" t="s">
        <v>1231</v>
      </c>
      <c r="O174" s="5" t="s">
        <v>24</v>
      </c>
      <c r="P174" s="3">
        <v>5</v>
      </c>
      <c r="Q174" s="3">
        <v>8</v>
      </c>
      <c r="R174" s="5" t="b">
        <v>1</v>
      </c>
      <c r="S174" s="3">
        <v>7</v>
      </c>
      <c r="T174" s="3">
        <v>4</v>
      </c>
    </row>
    <row r="175" spans="1:20">
      <c r="A175" s="5" t="s">
        <v>116</v>
      </c>
      <c r="B175" s="5" t="s">
        <v>117</v>
      </c>
      <c r="C175" s="6">
        <v>45124</v>
      </c>
      <c r="D175" s="8">
        <v>39</v>
      </c>
      <c r="E175" s="5" t="s">
        <v>36</v>
      </c>
      <c r="F175" s="5" t="s">
        <v>52</v>
      </c>
      <c r="G175" s="5" t="s">
        <v>46</v>
      </c>
      <c r="H175" s="7">
        <v>617.46</v>
      </c>
      <c r="I175" s="3">
        <v>1</v>
      </c>
      <c r="J175" s="3">
        <f t="shared" si="4"/>
        <v>617.46</v>
      </c>
      <c r="K175" s="4">
        <v>0</v>
      </c>
      <c r="L175" s="23">
        <f t="shared" si="5"/>
        <v>0</v>
      </c>
      <c r="M175" s="7">
        <v>617.46</v>
      </c>
      <c r="N175" s="5" t="s">
        <v>23</v>
      </c>
      <c r="O175" s="5" t="s">
        <v>24</v>
      </c>
      <c r="P175" s="3">
        <v>19</v>
      </c>
      <c r="Q175" s="3">
        <v>11</v>
      </c>
      <c r="R175" s="5" t="b">
        <v>1</v>
      </c>
      <c r="S175" s="3">
        <v>2</v>
      </c>
      <c r="T175" s="3">
        <v>4</v>
      </c>
    </row>
    <row r="176" spans="1:20">
      <c r="A176" s="5" t="s">
        <v>809</v>
      </c>
      <c r="B176" s="5" t="s">
        <v>810</v>
      </c>
      <c r="C176" s="6">
        <v>45122</v>
      </c>
      <c r="D176" s="8">
        <v>38</v>
      </c>
      <c r="E176" s="5" t="s">
        <v>20</v>
      </c>
      <c r="F176" s="5" t="s">
        <v>32</v>
      </c>
      <c r="G176" s="5" t="s">
        <v>22</v>
      </c>
      <c r="H176" s="7">
        <v>176.32</v>
      </c>
      <c r="I176" s="3">
        <v>1</v>
      </c>
      <c r="J176" s="3">
        <f t="shared" si="4"/>
        <v>176.32</v>
      </c>
      <c r="K176" s="4">
        <v>0</v>
      </c>
      <c r="L176" s="23">
        <f t="shared" si="5"/>
        <v>0</v>
      </c>
      <c r="M176" s="7">
        <v>176.32</v>
      </c>
      <c r="N176" s="5" t="s">
        <v>692</v>
      </c>
      <c r="O176" s="5" t="s">
        <v>24</v>
      </c>
      <c r="P176" s="3">
        <v>19</v>
      </c>
      <c r="Q176" s="3">
        <v>14</v>
      </c>
      <c r="R176" s="5" t="b">
        <v>0</v>
      </c>
      <c r="S176" s="3">
        <v>5</v>
      </c>
      <c r="T176" s="3">
        <v>5</v>
      </c>
    </row>
    <row r="177" spans="1:20">
      <c r="A177" s="5" t="s">
        <v>418</v>
      </c>
      <c r="B177" s="5" t="s">
        <v>419</v>
      </c>
      <c r="C177" s="6">
        <v>45232</v>
      </c>
      <c r="D177" s="8">
        <v>44</v>
      </c>
      <c r="E177" s="5" t="s">
        <v>36</v>
      </c>
      <c r="F177" s="5" t="s">
        <v>73</v>
      </c>
      <c r="G177" s="5" t="s">
        <v>37</v>
      </c>
      <c r="H177" s="7">
        <v>24.55</v>
      </c>
      <c r="I177" s="3">
        <v>1</v>
      </c>
      <c r="J177" s="3">
        <f t="shared" si="4"/>
        <v>24.55</v>
      </c>
      <c r="K177" s="4">
        <v>2.4500000000000002</v>
      </c>
      <c r="L177" s="23">
        <f t="shared" si="5"/>
        <v>9.9796334012219962E-2</v>
      </c>
      <c r="M177" s="7">
        <v>22.1</v>
      </c>
      <c r="N177" s="5" t="s">
        <v>327</v>
      </c>
      <c r="O177" s="5" t="s">
        <v>33</v>
      </c>
      <c r="P177" s="3">
        <v>7</v>
      </c>
      <c r="Q177" s="3">
        <v>7</v>
      </c>
      <c r="R177" s="5" t="b">
        <v>0</v>
      </c>
      <c r="S177" s="3">
        <v>7</v>
      </c>
      <c r="T177" s="3">
        <v>2</v>
      </c>
    </row>
    <row r="178" spans="1:20">
      <c r="A178" s="5" t="s">
        <v>420</v>
      </c>
      <c r="B178" s="5" t="s">
        <v>421</v>
      </c>
      <c r="C178" s="6">
        <v>45166</v>
      </c>
      <c r="D178" s="8">
        <v>35</v>
      </c>
      <c r="E178" s="5" t="s">
        <v>36</v>
      </c>
      <c r="F178" s="5" t="s">
        <v>88</v>
      </c>
      <c r="G178" s="5" t="s">
        <v>28</v>
      </c>
      <c r="H178" s="7">
        <v>118.56</v>
      </c>
      <c r="I178" s="3">
        <v>2</v>
      </c>
      <c r="J178" s="3">
        <f t="shared" si="4"/>
        <v>237.12</v>
      </c>
      <c r="K178" s="4">
        <v>10.62</v>
      </c>
      <c r="L178" s="23">
        <f t="shared" si="5"/>
        <v>4.4787449392712543E-2</v>
      </c>
      <c r="M178" s="7">
        <v>226.5</v>
      </c>
      <c r="N178" s="5" t="s">
        <v>327</v>
      </c>
      <c r="O178" s="5" t="s">
        <v>33</v>
      </c>
      <c r="P178" s="3">
        <v>6</v>
      </c>
      <c r="Q178" s="3">
        <v>12</v>
      </c>
      <c r="R178" s="5" t="b">
        <v>1</v>
      </c>
      <c r="S178" s="3">
        <v>19</v>
      </c>
      <c r="T178" s="3">
        <v>4</v>
      </c>
    </row>
    <row r="179" spans="1:20">
      <c r="A179" s="5" t="s">
        <v>118</v>
      </c>
      <c r="B179" s="5" t="s">
        <v>119</v>
      </c>
      <c r="C179" s="6">
        <v>45197</v>
      </c>
      <c r="D179" s="8">
        <v>52</v>
      </c>
      <c r="E179" s="5" t="s">
        <v>36</v>
      </c>
      <c r="F179" s="5" t="s">
        <v>52</v>
      </c>
      <c r="G179" s="5" t="s">
        <v>46</v>
      </c>
      <c r="H179" s="7">
        <v>357.87</v>
      </c>
      <c r="I179" s="3">
        <v>1</v>
      </c>
      <c r="J179" s="3">
        <f t="shared" si="4"/>
        <v>357.87</v>
      </c>
      <c r="K179" s="4">
        <v>39.409999999999997</v>
      </c>
      <c r="L179" s="23">
        <f t="shared" si="5"/>
        <v>0.11012378796769776</v>
      </c>
      <c r="M179" s="7">
        <v>318.45999999999998</v>
      </c>
      <c r="N179" s="5" t="s">
        <v>23</v>
      </c>
      <c r="O179" s="5" t="s">
        <v>33</v>
      </c>
      <c r="P179" s="3">
        <v>9</v>
      </c>
      <c r="Q179" s="3">
        <v>9</v>
      </c>
      <c r="R179" s="5" t="b">
        <v>1</v>
      </c>
      <c r="S179" s="3">
        <v>3</v>
      </c>
      <c r="T179" s="3">
        <v>4</v>
      </c>
    </row>
    <row r="180" spans="1:20">
      <c r="A180" s="5" t="s">
        <v>811</v>
      </c>
      <c r="B180" s="5" t="s">
        <v>812</v>
      </c>
      <c r="C180" s="6">
        <v>45055</v>
      </c>
      <c r="D180" s="8">
        <v>31</v>
      </c>
      <c r="E180" s="5" t="s">
        <v>36</v>
      </c>
      <c r="F180" s="5" t="s">
        <v>27</v>
      </c>
      <c r="G180" s="5" t="s">
        <v>64</v>
      </c>
      <c r="H180" s="7">
        <v>3135.28</v>
      </c>
      <c r="I180" s="3">
        <v>1</v>
      </c>
      <c r="J180" s="3">
        <f t="shared" si="4"/>
        <v>3135.28</v>
      </c>
      <c r="K180" s="4">
        <v>286.99</v>
      </c>
      <c r="L180" s="23">
        <f t="shared" si="5"/>
        <v>9.1535684213212218E-2</v>
      </c>
      <c r="M180" s="7">
        <v>2848.29</v>
      </c>
      <c r="N180" s="5" t="s">
        <v>692</v>
      </c>
      <c r="O180" s="5" t="s">
        <v>33</v>
      </c>
      <c r="P180" s="3">
        <v>28</v>
      </c>
      <c r="Q180" s="3">
        <v>13</v>
      </c>
      <c r="R180" s="5" t="b">
        <v>0</v>
      </c>
      <c r="S180" s="3">
        <v>3</v>
      </c>
      <c r="T180" s="3">
        <v>4</v>
      </c>
    </row>
    <row r="181" spans="1:20">
      <c r="A181" s="5" t="s">
        <v>813</v>
      </c>
      <c r="B181" s="5" t="s">
        <v>814</v>
      </c>
      <c r="C181" s="6">
        <v>45210</v>
      </c>
      <c r="D181" s="8">
        <v>67</v>
      </c>
      <c r="E181" s="5" t="s">
        <v>20</v>
      </c>
      <c r="F181" s="5" t="s">
        <v>49</v>
      </c>
      <c r="G181" s="5" t="s">
        <v>37</v>
      </c>
      <c r="H181" s="7">
        <v>144.91999999999999</v>
      </c>
      <c r="I181" s="3">
        <v>5</v>
      </c>
      <c r="J181" s="3">
        <f t="shared" si="4"/>
        <v>724.59999999999991</v>
      </c>
      <c r="K181" s="4">
        <v>18.88</v>
      </c>
      <c r="L181" s="23">
        <f t="shared" si="5"/>
        <v>2.6055754899254765E-2</v>
      </c>
      <c r="M181" s="7">
        <v>705.72</v>
      </c>
      <c r="N181" s="5" t="s">
        <v>692</v>
      </c>
      <c r="O181" s="5" t="s">
        <v>24</v>
      </c>
      <c r="P181" s="3">
        <v>4</v>
      </c>
      <c r="Q181" s="3">
        <v>7</v>
      </c>
      <c r="R181" s="5" t="b">
        <v>1</v>
      </c>
      <c r="S181" s="3">
        <v>6</v>
      </c>
      <c r="T181" s="3">
        <v>5</v>
      </c>
    </row>
    <row r="182" spans="1:20">
      <c r="A182" s="5" t="s">
        <v>422</v>
      </c>
      <c r="B182" s="5" t="s">
        <v>423</v>
      </c>
      <c r="C182" s="6">
        <v>45367</v>
      </c>
      <c r="D182" s="8">
        <v>42</v>
      </c>
      <c r="E182" s="5" t="s">
        <v>36</v>
      </c>
      <c r="F182" s="5" t="s">
        <v>52</v>
      </c>
      <c r="G182" s="5" t="s">
        <v>56</v>
      </c>
      <c r="H182" s="7">
        <v>239.92</v>
      </c>
      <c r="I182" s="3">
        <v>1</v>
      </c>
      <c r="J182" s="3">
        <f t="shared" si="4"/>
        <v>239.92</v>
      </c>
      <c r="K182" s="4">
        <v>0</v>
      </c>
      <c r="L182" s="23">
        <f t="shared" si="5"/>
        <v>0</v>
      </c>
      <c r="M182" s="7">
        <v>239.92</v>
      </c>
      <c r="N182" s="5" t="s">
        <v>327</v>
      </c>
      <c r="O182" s="5" t="s">
        <v>33</v>
      </c>
      <c r="P182" s="3">
        <v>18</v>
      </c>
      <c r="Q182" s="3">
        <v>11</v>
      </c>
      <c r="R182" s="5" t="b">
        <v>1</v>
      </c>
      <c r="S182" s="3">
        <v>6</v>
      </c>
      <c r="T182" s="3">
        <v>5</v>
      </c>
    </row>
    <row r="183" spans="1:20">
      <c r="A183" s="5" t="s">
        <v>815</v>
      </c>
      <c r="B183" s="5" t="s">
        <v>816</v>
      </c>
      <c r="C183" s="6">
        <v>44932</v>
      </c>
      <c r="D183" s="8">
        <v>24</v>
      </c>
      <c r="E183" s="5" t="s">
        <v>36</v>
      </c>
      <c r="F183" s="5" t="s">
        <v>32</v>
      </c>
      <c r="G183" s="5" t="s">
        <v>64</v>
      </c>
      <c r="H183" s="7">
        <v>164.61</v>
      </c>
      <c r="I183" s="3">
        <v>1</v>
      </c>
      <c r="J183" s="3">
        <f t="shared" si="4"/>
        <v>164.61</v>
      </c>
      <c r="K183" s="4">
        <v>28.42</v>
      </c>
      <c r="L183" s="23">
        <f t="shared" si="5"/>
        <v>0.17265050725958325</v>
      </c>
      <c r="M183" s="7">
        <v>136.19</v>
      </c>
      <c r="N183" s="5" t="s">
        <v>692</v>
      </c>
      <c r="O183" s="5" t="s">
        <v>33</v>
      </c>
      <c r="P183" s="3">
        <v>15</v>
      </c>
      <c r="Q183" s="3">
        <v>12</v>
      </c>
      <c r="R183" s="5" t="b">
        <v>1</v>
      </c>
      <c r="S183" s="3">
        <v>7</v>
      </c>
      <c r="T183" s="3">
        <v>4</v>
      </c>
    </row>
    <row r="184" spans="1:20">
      <c r="A184" s="5" t="s">
        <v>120</v>
      </c>
      <c r="B184" s="5" t="s">
        <v>121</v>
      </c>
      <c r="C184" s="6">
        <v>45275</v>
      </c>
      <c r="D184" s="8">
        <v>22</v>
      </c>
      <c r="E184" s="5" t="s">
        <v>122</v>
      </c>
      <c r="F184" s="5" t="s">
        <v>27</v>
      </c>
      <c r="G184" s="5" t="s">
        <v>56</v>
      </c>
      <c r="H184" s="7">
        <v>532.57000000000005</v>
      </c>
      <c r="I184" s="3">
        <v>5</v>
      </c>
      <c r="J184" s="3">
        <f t="shared" si="4"/>
        <v>2662.8500000000004</v>
      </c>
      <c r="K184" s="4">
        <v>0</v>
      </c>
      <c r="L184" s="23">
        <f t="shared" si="5"/>
        <v>0</v>
      </c>
      <c r="M184" s="7">
        <v>2662.85</v>
      </c>
      <c r="N184" s="5" t="s">
        <v>23</v>
      </c>
      <c r="O184" s="5" t="s">
        <v>24</v>
      </c>
      <c r="P184" s="3">
        <v>30</v>
      </c>
      <c r="Q184" s="3">
        <v>10</v>
      </c>
      <c r="R184" s="5" t="b">
        <v>1</v>
      </c>
      <c r="S184" s="3">
        <v>8</v>
      </c>
      <c r="T184" s="3">
        <v>4</v>
      </c>
    </row>
    <row r="185" spans="1:20">
      <c r="A185" s="5" t="s">
        <v>123</v>
      </c>
      <c r="B185" s="5" t="s">
        <v>124</v>
      </c>
      <c r="C185" s="6">
        <v>45296</v>
      </c>
      <c r="D185" s="8">
        <v>40</v>
      </c>
      <c r="E185" s="5" t="s">
        <v>20</v>
      </c>
      <c r="F185" s="5" t="s">
        <v>88</v>
      </c>
      <c r="G185" s="5" t="s">
        <v>53</v>
      </c>
      <c r="H185" s="7">
        <v>34.9</v>
      </c>
      <c r="I185" s="3">
        <v>2</v>
      </c>
      <c r="J185" s="3">
        <f t="shared" si="4"/>
        <v>69.8</v>
      </c>
      <c r="K185" s="4">
        <v>0</v>
      </c>
      <c r="L185" s="23">
        <f t="shared" si="5"/>
        <v>0</v>
      </c>
      <c r="M185" s="7">
        <v>69.8</v>
      </c>
      <c r="N185" s="5" t="s">
        <v>23</v>
      </c>
      <c r="O185" s="5" t="s">
        <v>33</v>
      </c>
      <c r="P185" s="3">
        <v>20</v>
      </c>
      <c r="Q185" s="3">
        <v>6</v>
      </c>
      <c r="R185" s="5" t="b">
        <v>0</v>
      </c>
      <c r="S185" s="3">
        <v>7</v>
      </c>
      <c r="T185" s="3">
        <v>4</v>
      </c>
    </row>
    <row r="186" spans="1:20">
      <c r="A186" s="5" t="s">
        <v>125</v>
      </c>
      <c r="B186" s="5" t="s">
        <v>126</v>
      </c>
      <c r="C186" s="6">
        <v>44985</v>
      </c>
      <c r="D186" s="8">
        <v>32</v>
      </c>
      <c r="E186" s="5" t="s">
        <v>20</v>
      </c>
      <c r="F186" s="5" t="s">
        <v>49</v>
      </c>
      <c r="G186" s="5" t="s">
        <v>56</v>
      </c>
      <c r="H186" s="7">
        <v>1647.9</v>
      </c>
      <c r="I186" s="3">
        <v>4</v>
      </c>
      <c r="J186" s="3">
        <f t="shared" si="4"/>
        <v>6591.6</v>
      </c>
      <c r="K186" s="4">
        <v>361.69</v>
      </c>
      <c r="L186" s="23">
        <f t="shared" si="5"/>
        <v>5.4871351416954907E-2</v>
      </c>
      <c r="M186" s="7">
        <v>6229.91</v>
      </c>
      <c r="N186" s="5" t="s">
        <v>23</v>
      </c>
      <c r="O186" s="5" t="s">
        <v>29</v>
      </c>
      <c r="P186" s="3">
        <v>1</v>
      </c>
      <c r="Q186" s="3">
        <v>13</v>
      </c>
      <c r="R186" s="5" t="b">
        <v>0</v>
      </c>
      <c r="S186" s="3">
        <v>14</v>
      </c>
      <c r="T186" s="3">
        <v>5</v>
      </c>
    </row>
    <row r="187" spans="1:20">
      <c r="A187" s="5" t="s">
        <v>424</v>
      </c>
      <c r="B187" s="5" t="s">
        <v>425</v>
      </c>
      <c r="C187" s="6">
        <v>45276</v>
      </c>
      <c r="D187" s="8">
        <v>43</v>
      </c>
      <c r="E187" s="5" t="s">
        <v>20</v>
      </c>
      <c r="F187" s="5" t="s">
        <v>32</v>
      </c>
      <c r="G187" s="5" t="s">
        <v>64</v>
      </c>
      <c r="H187" s="7">
        <v>3200.17</v>
      </c>
      <c r="I187" s="3">
        <v>5</v>
      </c>
      <c r="J187" s="3">
        <f t="shared" si="4"/>
        <v>16000.85</v>
      </c>
      <c r="K187" s="4">
        <v>0</v>
      </c>
      <c r="L187" s="23">
        <f t="shared" si="5"/>
        <v>0</v>
      </c>
      <c r="M187" s="7">
        <v>16000.85</v>
      </c>
      <c r="N187" s="5" t="s">
        <v>327</v>
      </c>
      <c r="O187" s="5" t="s">
        <v>24</v>
      </c>
      <c r="P187" s="3">
        <v>23</v>
      </c>
      <c r="Q187" s="3">
        <v>12</v>
      </c>
      <c r="R187" s="5" t="b">
        <v>0</v>
      </c>
      <c r="S187" s="3">
        <v>7</v>
      </c>
      <c r="T187" s="3">
        <v>5</v>
      </c>
    </row>
    <row r="188" spans="1:20">
      <c r="A188" s="5" t="s">
        <v>1333</v>
      </c>
      <c r="B188" s="5" t="s">
        <v>1334</v>
      </c>
      <c r="C188" s="6">
        <v>45201</v>
      </c>
      <c r="D188" s="8">
        <v>40</v>
      </c>
      <c r="E188" s="5" t="s">
        <v>36</v>
      </c>
      <c r="F188" s="5" t="s">
        <v>32</v>
      </c>
      <c r="G188" s="5" t="s">
        <v>46</v>
      </c>
      <c r="H188" s="7">
        <v>146.52000000000001</v>
      </c>
      <c r="I188" s="3">
        <v>2</v>
      </c>
      <c r="J188" s="3">
        <f t="shared" si="4"/>
        <v>293.04000000000002</v>
      </c>
      <c r="K188" s="4">
        <v>39.08</v>
      </c>
      <c r="L188" s="23">
        <f t="shared" si="5"/>
        <v>0.13336063336063333</v>
      </c>
      <c r="M188" s="7">
        <v>253.96</v>
      </c>
      <c r="N188" s="5" t="s">
        <v>1298</v>
      </c>
      <c r="O188" s="5" t="s">
        <v>24</v>
      </c>
      <c r="P188" s="3">
        <v>9</v>
      </c>
      <c r="Q188" s="3">
        <v>9</v>
      </c>
      <c r="R188" s="5" t="b">
        <v>0</v>
      </c>
      <c r="S188" s="3">
        <v>4</v>
      </c>
      <c r="T188" s="3">
        <v>3</v>
      </c>
    </row>
    <row r="189" spans="1:20">
      <c r="A189" s="5" t="s">
        <v>817</v>
      </c>
      <c r="B189" s="5" t="s">
        <v>818</v>
      </c>
      <c r="C189" s="6">
        <v>45311</v>
      </c>
      <c r="D189" s="8">
        <v>34</v>
      </c>
      <c r="E189" s="5" t="s">
        <v>20</v>
      </c>
      <c r="F189" s="5" t="s">
        <v>32</v>
      </c>
      <c r="G189" s="5" t="s">
        <v>64</v>
      </c>
      <c r="H189" s="7">
        <v>2258.91</v>
      </c>
      <c r="I189" s="3">
        <v>3</v>
      </c>
      <c r="J189" s="3">
        <f t="shared" si="4"/>
        <v>6776.73</v>
      </c>
      <c r="K189" s="4">
        <v>0</v>
      </c>
      <c r="L189" s="23">
        <f t="shared" si="5"/>
        <v>0</v>
      </c>
      <c r="M189" s="7">
        <v>6776.73</v>
      </c>
      <c r="N189" s="5" t="s">
        <v>692</v>
      </c>
      <c r="O189" s="5" t="s">
        <v>24</v>
      </c>
      <c r="P189" s="3">
        <v>10</v>
      </c>
      <c r="Q189" s="3">
        <v>14</v>
      </c>
      <c r="R189" s="5" t="b">
        <v>1</v>
      </c>
      <c r="S189" s="3">
        <v>9</v>
      </c>
      <c r="T189" s="3">
        <v>2</v>
      </c>
    </row>
    <row r="190" spans="1:20">
      <c r="A190" s="5" t="s">
        <v>819</v>
      </c>
      <c r="B190" s="5" t="s">
        <v>820</v>
      </c>
      <c r="C190" s="6">
        <v>45063</v>
      </c>
      <c r="D190" s="8">
        <v>24</v>
      </c>
      <c r="E190" s="5" t="s">
        <v>20</v>
      </c>
      <c r="F190" s="5" t="s">
        <v>73</v>
      </c>
      <c r="G190" s="5" t="s">
        <v>64</v>
      </c>
      <c r="H190" s="7">
        <v>2019.23</v>
      </c>
      <c r="I190" s="3">
        <v>3</v>
      </c>
      <c r="J190" s="3">
        <f t="shared" si="4"/>
        <v>6057.6900000000005</v>
      </c>
      <c r="K190" s="4">
        <v>0</v>
      </c>
      <c r="L190" s="23">
        <f t="shared" si="5"/>
        <v>0</v>
      </c>
      <c r="M190" s="7">
        <v>6057.69</v>
      </c>
      <c r="N190" s="5" t="s">
        <v>692</v>
      </c>
      <c r="O190" s="5" t="s">
        <v>24</v>
      </c>
      <c r="P190" s="3">
        <v>6</v>
      </c>
      <c r="Q190" s="3">
        <v>8</v>
      </c>
      <c r="R190" s="5" t="b">
        <v>1</v>
      </c>
      <c r="S190" s="3">
        <v>9</v>
      </c>
      <c r="T190" s="3">
        <v>5</v>
      </c>
    </row>
    <row r="191" spans="1:20">
      <c r="A191" s="5" t="s">
        <v>426</v>
      </c>
      <c r="B191" s="5" t="s">
        <v>427</v>
      </c>
      <c r="C191" s="6">
        <v>45320</v>
      </c>
      <c r="D191" s="8">
        <v>18</v>
      </c>
      <c r="E191" s="5" t="s">
        <v>122</v>
      </c>
      <c r="F191" s="5" t="s">
        <v>27</v>
      </c>
      <c r="G191" s="5" t="s">
        <v>53</v>
      </c>
      <c r="H191" s="7">
        <v>64.180000000000007</v>
      </c>
      <c r="I191" s="3">
        <v>3</v>
      </c>
      <c r="J191" s="3">
        <f t="shared" si="4"/>
        <v>192.54000000000002</v>
      </c>
      <c r="K191" s="4">
        <v>14.83</v>
      </c>
      <c r="L191" s="23">
        <f t="shared" si="5"/>
        <v>7.7022956268827256E-2</v>
      </c>
      <c r="M191" s="7">
        <v>177.71</v>
      </c>
      <c r="N191" s="5" t="s">
        <v>327</v>
      </c>
      <c r="O191" s="5" t="s">
        <v>24</v>
      </c>
      <c r="P191" s="3">
        <v>20</v>
      </c>
      <c r="Q191" s="3">
        <v>11</v>
      </c>
      <c r="R191" s="5" t="b">
        <v>0</v>
      </c>
      <c r="S191" s="3">
        <v>5</v>
      </c>
      <c r="T191" s="3">
        <v>3</v>
      </c>
    </row>
    <row r="192" spans="1:20">
      <c r="A192" s="5" t="s">
        <v>821</v>
      </c>
      <c r="B192" s="5" t="s">
        <v>822</v>
      </c>
      <c r="C192" s="6">
        <v>45255</v>
      </c>
      <c r="D192" s="8">
        <v>29</v>
      </c>
      <c r="E192" s="5" t="s">
        <v>20</v>
      </c>
      <c r="F192" s="5" t="s">
        <v>32</v>
      </c>
      <c r="G192" s="5" t="s">
        <v>28</v>
      </c>
      <c r="H192" s="7">
        <v>675.6</v>
      </c>
      <c r="I192" s="3">
        <v>1</v>
      </c>
      <c r="J192" s="3">
        <f t="shared" si="4"/>
        <v>675.6</v>
      </c>
      <c r="K192" s="4">
        <v>0</v>
      </c>
      <c r="L192" s="23">
        <f t="shared" si="5"/>
        <v>0</v>
      </c>
      <c r="M192" s="7">
        <v>675.6</v>
      </c>
      <c r="N192" s="5" t="s">
        <v>692</v>
      </c>
      <c r="O192" s="5" t="s">
        <v>24</v>
      </c>
      <c r="P192" s="3">
        <v>4</v>
      </c>
      <c r="Q192" s="3">
        <v>10</v>
      </c>
      <c r="R192" s="5" t="b">
        <v>0</v>
      </c>
      <c r="S192" s="3">
        <v>2</v>
      </c>
      <c r="T192" s="3">
        <v>5</v>
      </c>
    </row>
    <row r="193" spans="1:20">
      <c r="A193" s="5" t="s">
        <v>823</v>
      </c>
      <c r="B193" s="5" t="s">
        <v>824</v>
      </c>
      <c r="C193" s="6">
        <v>45101</v>
      </c>
      <c r="D193" s="8">
        <v>45</v>
      </c>
      <c r="E193" s="5" t="s">
        <v>36</v>
      </c>
      <c r="F193" s="5" t="s">
        <v>59</v>
      </c>
      <c r="G193" s="5" t="s">
        <v>22</v>
      </c>
      <c r="H193" s="7">
        <v>224.13</v>
      </c>
      <c r="I193" s="3">
        <v>1</v>
      </c>
      <c r="J193" s="3">
        <f t="shared" si="4"/>
        <v>224.13</v>
      </c>
      <c r="K193" s="4">
        <v>47.75</v>
      </c>
      <c r="L193" s="23">
        <f t="shared" si="5"/>
        <v>0.21304600008923394</v>
      </c>
      <c r="M193" s="7">
        <v>176.38</v>
      </c>
      <c r="N193" s="5" t="s">
        <v>692</v>
      </c>
      <c r="O193" s="5" t="s">
        <v>33</v>
      </c>
      <c r="P193" s="3">
        <v>12</v>
      </c>
      <c r="Q193" s="3">
        <v>7</v>
      </c>
      <c r="R193" s="5" t="b">
        <v>1</v>
      </c>
      <c r="S193" s="3">
        <v>5</v>
      </c>
      <c r="T193" s="3">
        <v>5</v>
      </c>
    </row>
    <row r="194" spans="1:20">
      <c r="A194" s="5" t="s">
        <v>825</v>
      </c>
      <c r="B194" s="5" t="s">
        <v>826</v>
      </c>
      <c r="C194" s="6">
        <v>44984</v>
      </c>
      <c r="D194" s="8">
        <v>37</v>
      </c>
      <c r="E194" s="5" t="s">
        <v>20</v>
      </c>
      <c r="F194" s="5" t="s">
        <v>73</v>
      </c>
      <c r="G194" s="5" t="s">
        <v>64</v>
      </c>
      <c r="H194" s="7">
        <v>2450.69</v>
      </c>
      <c r="I194" s="3">
        <v>1</v>
      </c>
      <c r="J194" s="3">
        <f t="shared" si="4"/>
        <v>2450.69</v>
      </c>
      <c r="K194" s="4">
        <v>0</v>
      </c>
      <c r="L194" s="23">
        <f t="shared" si="5"/>
        <v>0</v>
      </c>
      <c r="M194" s="7">
        <v>2450.69</v>
      </c>
      <c r="N194" s="5" t="s">
        <v>692</v>
      </c>
      <c r="O194" s="5" t="s">
        <v>24</v>
      </c>
      <c r="P194" s="3">
        <v>31</v>
      </c>
      <c r="Q194" s="3">
        <v>8</v>
      </c>
      <c r="R194" s="5" t="b">
        <v>1</v>
      </c>
      <c r="S194" s="3">
        <v>6</v>
      </c>
      <c r="T194" s="3">
        <v>4</v>
      </c>
    </row>
    <row r="195" spans="1:20">
      <c r="A195" s="5" t="s">
        <v>1335</v>
      </c>
      <c r="B195" s="5" t="s">
        <v>1336</v>
      </c>
      <c r="C195" s="6">
        <v>45077</v>
      </c>
      <c r="D195" s="8">
        <v>20</v>
      </c>
      <c r="E195" s="5" t="s">
        <v>36</v>
      </c>
      <c r="F195" s="5" t="s">
        <v>49</v>
      </c>
      <c r="G195" s="5" t="s">
        <v>53</v>
      </c>
      <c r="H195" s="7">
        <v>84.6</v>
      </c>
      <c r="I195" s="3">
        <v>3</v>
      </c>
      <c r="J195" s="3">
        <f t="shared" ref="J195:J258" si="6">H195*I195</f>
        <v>253.79999999999998</v>
      </c>
      <c r="K195" s="4">
        <v>0</v>
      </c>
      <c r="L195" s="23">
        <f t="shared" ref="L195:L258" si="7">IF(J195=0,0,K195/J195)</f>
        <v>0</v>
      </c>
      <c r="M195" s="7">
        <v>253.8</v>
      </c>
      <c r="N195" s="5" t="s">
        <v>1298</v>
      </c>
      <c r="O195" s="5" t="s">
        <v>24</v>
      </c>
      <c r="P195" s="3">
        <v>21</v>
      </c>
      <c r="Q195" s="3">
        <v>7</v>
      </c>
      <c r="R195" s="5" t="b">
        <v>0</v>
      </c>
      <c r="S195" s="3">
        <v>2</v>
      </c>
      <c r="T195" s="3">
        <v>5</v>
      </c>
    </row>
    <row r="196" spans="1:20">
      <c r="A196" s="5" t="s">
        <v>1337</v>
      </c>
      <c r="B196" s="5" t="s">
        <v>1338</v>
      </c>
      <c r="C196" s="6">
        <v>45149</v>
      </c>
      <c r="D196" s="8">
        <v>37</v>
      </c>
      <c r="E196" s="5" t="s">
        <v>36</v>
      </c>
      <c r="F196" s="5" t="s">
        <v>83</v>
      </c>
      <c r="G196" s="5" t="s">
        <v>46</v>
      </c>
      <c r="H196" s="7">
        <v>561.6</v>
      </c>
      <c r="I196" s="3">
        <v>3</v>
      </c>
      <c r="J196" s="3">
        <f t="shared" si="6"/>
        <v>1684.8000000000002</v>
      </c>
      <c r="K196" s="4">
        <v>0</v>
      </c>
      <c r="L196" s="23">
        <f t="shared" si="7"/>
        <v>0</v>
      </c>
      <c r="M196" s="7">
        <v>1684.8</v>
      </c>
      <c r="N196" s="5" t="s">
        <v>1298</v>
      </c>
      <c r="O196" s="5" t="s">
        <v>33</v>
      </c>
      <c r="P196" s="3">
        <v>16</v>
      </c>
      <c r="Q196" s="3">
        <v>9</v>
      </c>
      <c r="R196" s="5" t="b">
        <v>1</v>
      </c>
      <c r="S196" s="3">
        <v>4</v>
      </c>
      <c r="T196" s="3">
        <v>2</v>
      </c>
    </row>
    <row r="197" spans="1:20">
      <c r="A197" s="5" t="s">
        <v>428</v>
      </c>
      <c r="B197" s="5" t="s">
        <v>429</v>
      </c>
      <c r="C197" s="6">
        <v>45007</v>
      </c>
      <c r="D197" s="8">
        <v>39</v>
      </c>
      <c r="E197" s="5" t="s">
        <v>36</v>
      </c>
      <c r="F197" s="5" t="s">
        <v>32</v>
      </c>
      <c r="G197" s="5" t="s">
        <v>53</v>
      </c>
      <c r="H197" s="7">
        <v>123.96</v>
      </c>
      <c r="I197" s="3">
        <v>3</v>
      </c>
      <c r="J197" s="3">
        <f t="shared" si="6"/>
        <v>371.88</v>
      </c>
      <c r="K197" s="4">
        <v>0</v>
      </c>
      <c r="L197" s="23">
        <f t="shared" si="7"/>
        <v>0</v>
      </c>
      <c r="M197" s="7">
        <v>371.88</v>
      </c>
      <c r="N197" s="5" t="s">
        <v>327</v>
      </c>
      <c r="O197" s="5" t="s">
        <v>33</v>
      </c>
      <c r="P197" s="3">
        <v>9</v>
      </c>
      <c r="Q197" s="3">
        <v>15</v>
      </c>
      <c r="R197" s="5" t="b">
        <v>1</v>
      </c>
      <c r="S197" s="3">
        <v>3</v>
      </c>
      <c r="T197" s="3">
        <v>5</v>
      </c>
    </row>
    <row r="198" spans="1:20">
      <c r="A198" s="5" t="s">
        <v>827</v>
      </c>
      <c r="B198" s="5" t="s">
        <v>828</v>
      </c>
      <c r="C198" s="6">
        <v>45159</v>
      </c>
      <c r="D198" s="8">
        <v>24</v>
      </c>
      <c r="E198" s="5" t="s">
        <v>36</v>
      </c>
      <c r="F198" s="5" t="s">
        <v>88</v>
      </c>
      <c r="G198" s="5" t="s">
        <v>115</v>
      </c>
      <c r="H198" s="7">
        <v>68.58</v>
      </c>
      <c r="I198" s="3">
        <v>4</v>
      </c>
      <c r="J198" s="3">
        <f t="shared" si="6"/>
        <v>274.32</v>
      </c>
      <c r="K198" s="4">
        <v>0</v>
      </c>
      <c r="L198" s="23">
        <f t="shared" si="7"/>
        <v>0</v>
      </c>
      <c r="M198" s="7">
        <v>274.32</v>
      </c>
      <c r="N198" s="5" t="s">
        <v>692</v>
      </c>
      <c r="O198" s="5" t="s">
        <v>33</v>
      </c>
      <c r="P198" s="3">
        <v>22</v>
      </c>
      <c r="Q198" s="3">
        <v>14</v>
      </c>
      <c r="R198" s="5" t="b">
        <v>1</v>
      </c>
      <c r="S198" s="3">
        <v>3</v>
      </c>
      <c r="T198" s="3">
        <v>2</v>
      </c>
    </row>
    <row r="199" spans="1:20">
      <c r="A199" s="5" t="s">
        <v>829</v>
      </c>
      <c r="B199" s="5" t="s">
        <v>830</v>
      </c>
      <c r="C199" s="6">
        <v>44928</v>
      </c>
      <c r="D199" s="8">
        <v>36</v>
      </c>
      <c r="E199" s="5" t="s">
        <v>20</v>
      </c>
      <c r="F199" s="5" t="s">
        <v>32</v>
      </c>
      <c r="G199" s="5" t="s">
        <v>53</v>
      </c>
      <c r="H199" s="7">
        <v>81.91</v>
      </c>
      <c r="I199" s="3">
        <v>1</v>
      </c>
      <c r="J199" s="3">
        <f t="shared" si="6"/>
        <v>81.91</v>
      </c>
      <c r="K199" s="4">
        <v>0</v>
      </c>
      <c r="L199" s="23">
        <f t="shared" si="7"/>
        <v>0</v>
      </c>
      <c r="M199" s="7">
        <v>81.91</v>
      </c>
      <c r="N199" s="5" t="s">
        <v>692</v>
      </c>
      <c r="O199" s="5" t="s">
        <v>33</v>
      </c>
      <c r="P199" s="3">
        <v>8</v>
      </c>
      <c r="Q199" s="3">
        <v>14</v>
      </c>
      <c r="R199" s="5" t="b">
        <v>1</v>
      </c>
      <c r="S199" s="3">
        <v>6</v>
      </c>
      <c r="T199" s="3">
        <v>4</v>
      </c>
    </row>
    <row r="200" spans="1:20">
      <c r="A200" s="5" t="s">
        <v>831</v>
      </c>
      <c r="B200" s="5" t="s">
        <v>832</v>
      </c>
      <c r="C200" s="6">
        <v>45296</v>
      </c>
      <c r="D200" s="8">
        <v>35</v>
      </c>
      <c r="E200" s="5" t="s">
        <v>20</v>
      </c>
      <c r="F200" s="5" t="s">
        <v>52</v>
      </c>
      <c r="G200" s="5" t="s">
        <v>56</v>
      </c>
      <c r="H200" s="7">
        <v>341.94</v>
      </c>
      <c r="I200" s="3">
        <v>2</v>
      </c>
      <c r="J200" s="3">
        <f t="shared" si="6"/>
        <v>683.88</v>
      </c>
      <c r="K200" s="4">
        <v>84.41</v>
      </c>
      <c r="L200" s="23">
        <f t="shared" si="7"/>
        <v>0.1234280867988536</v>
      </c>
      <c r="M200" s="7">
        <v>599.47</v>
      </c>
      <c r="N200" s="5" t="s">
        <v>692</v>
      </c>
      <c r="O200" s="5" t="s">
        <v>33</v>
      </c>
      <c r="P200" s="3">
        <v>18</v>
      </c>
      <c r="Q200" s="3">
        <v>9</v>
      </c>
      <c r="R200" s="5" t="b">
        <v>1</v>
      </c>
      <c r="S200" s="3">
        <v>6</v>
      </c>
      <c r="T200" s="3">
        <v>4</v>
      </c>
    </row>
    <row r="201" spans="1:20">
      <c r="A201" s="5" t="s">
        <v>833</v>
      </c>
      <c r="B201" s="5" t="s">
        <v>834</v>
      </c>
      <c r="C201" s="6">
        <v>45375</v>
      </c>
      <c r="D201" s="8">
        <v>21</v>
      </c>
      <c r="E201" s="5" t="s">
        <v>20</v>
      </c>
      <c r="F201" s="5" t="s">
        <v>88</v>
      </c>
      <c r="G201" s="5" t="s">
        <v>22</v>
      </c>
      <c r="H201" s="7">
        <v>96.08</v>
      </c>
      <c r="I201" s="3">
        <v>2</v>
      </c>
      <c r="J201" s="3">
        <f t="shared" si="6"/>
        <v>192.16</v>
      </c>
      <c r="K201" s="4">
        <v>0</v>
      </c>
      <c r="L201" s="23">
        <f t="shared" si="7"/>
        <v>0</v>
      </c>
      <c r="M201" s="7">
        <v>192.16</v>
      </c>
      <c r="N201" s="5" t="s">
        <v>692</v>
      </c>
      <c r="O201" s="5" t="s">
        <v>24</v>
      </c>
      <c r="P201" s="3">
        <v>24</v>
      </c>
      <c r="Q201" s="3">
        <v>6</v>
      </c>
      <c r="R201" s="5" t="b">
        <v>1</v>
      </c>
      <c r="S201" s="3">
        <v>4</v>
      </c>
      <c r="T201" s="3">
        <v>5</v>
      </c>
    </row>
    <row r="202" spans="1:20">
      <c r="A202" s="5" t="s">
        <v>835</v>
      </c>
      <c r="B202" s="5" t="s">
        <v>836</v>
      </c>
      <c r="C202" s="6">
        <v>45295</v>
      </c>
      <c r="D202" s="8">
        <v>39</v>
      </c>
      <c r="E202" s="5" t="s">
        <v>36</v>
      </c>
      <c r="F202" s="5" t="s">
        <v>88</v>
      </c>
      <c r="G202" s="5" t="s">
        <v>22</v>
      </c>
      <c r="H202" s="7">
        <v>341.14</v>
      </c>
      <c r="I202" s="3">
        <v>4</v>
      </c>
      <c r="J202" s="3">
        <f t="shared" si="6"/>
        <v>1364.56</v>
      </c>
      <c r="K202" s="4">
        <v>0</v>
      </c>
      <c r="L202" s="23">
        <f t="shared" si="7"/>
        <v>0</v>
      </c>
      <c r="M202" s="7">
        <v>1364.56</v>
      </c>
      <c r="N202" s="5" t="s">
        <v>692</v>
      </c>
      <c r="O202" s="5" t="s">
        <v>33</v>
      </c>
      <c r="P202" s="3">
        <v>8</v>
      </c>
      <c r="Q202" s="3">
        <v>9</v>
      </c>
      <c r="R202" s="5" t="b">
        <v>1</v>
      </c>
      <c r="S202" s="3">
        <v>9</v>
      </c>
      <c r="T202" s="3">
        <v>2</v>
      </c>
    </row>
    <row r="203" spans="1:20">
      <c r="A203" s="5" t="s">
        <v>127</v>
      </c>
      <c r="B203" s="5" t="s">
        <v>128</v>
      </c>
      <c r="C203" s="6">
        <v>45061</v>
      </c>
      <c r="D203" s="8">
        <v>41</v>
      </c>
      <c r="E203" s="5" t="s">
        <v>36</v>
      </c>
      <c r="F203" s="5" t="s">
        <v>21</v>
      </c>
      <c r="G203" s="5" t="s">
        <v>37</v>
      </c>
      <c r="H203" s="7">
        <v>92.5</v>
      </c>
      <c r="I203" s="3">
        <v>4</v>
      </c>
      <c r="J203" s="3">
        <f t="shared" si="6"/>
        <v>370</v>
      </c>
      <c r="K203" s="4">
        <v>0</v>
      </c>
      <c r="L203" s="23">
        <f t="shared" si="7"/>
        <v>0</v>
      </c>
      <c r="M203" s="7">
        <v>370</v>
      </c>
      <c r="N203" s="5" t="s">
        <v>23</v>
      </c>
      <c r="O203" s="5" t="s">
        <v>24</v>
      </c>
      <c r="P203" s="3">
        <v>14</v>
      </c>
      <c r="Q203" s="3">
        <v>9</v>
      </c>
      <c r="R203" s="5" t="b">
        <v>1</v>
      </c>
      <c r="S203" s="3">
        <v>9</v>
      </c>
      <c r="T203" s="3">
        <v>4</v>
      </c>
    </row>
    <row r="204" spans="1:20">
      <c r="A204" s="5" t="s">
        <v>430</v>
      </c>
      <c r="B204" s="5" t="s">
        <v>431</v>
      </c>
      <c r="C204" s="6">
        <v>45183</v>
      </c>
      <c r="D204" s="8">
        <v>47</v>
      </c>
      <c r="E204" s="5" t="s">
        <v>20</v>
      </c>
      <c r="F204" s="5" t="s">
        <v>73</v>
      </c>
      <c r="G204" s="5" t="s">
        <v>28</v>
      </c>
      <c r="H204" s="7">
        <v>149.18</v>
      </c>
      <c r="I204" s="3">
        <v>1</v>
      </c>
      <c r="J204" s="3">
        <f t="shared" si="6"/>
        <v>149.18</v>
      </c>
      <c r="K204" s="4">
        <v>0</v>
      </c>
      <c r="L204" s="23">
        <f t="shared" si="7"/>
        <v>0</v>
      </c>
      <c r="M204" s="7">
        <v>149.18</v>
      </c>
      <c r="N204" s="5" t="s">
        <v>327</v>
      </c>
      <c r="O204" s="5" t="s">
        <v>24</v>
      </c>
      <c r="P204" s="3">
        <v>13</v>
      </c>
      <c r="Q204" s="3">
        <v>16</v>
      </c>
      <c r="R204" s="5" t="b">
        <v>1</v>
      </c>
      <c r="S204" s="3">
        <v>2</v>
      </c>
      <c r="T204" s="3">
        <v>4</v>
      </c>
    </row>
    <row r="205" spans="1:20">
      <c r="A205" s="5" t="s">
        <v>837</v>
      </c>
      <c r="B205" s="5" t="s">
        <v>838</v>
      </c>
      <c r="C205" s="6">
        <v>45317</v>
      </c>
      <c r="D205" s="8">
        <v>47</v>
      </c>
      <c r="E205" s="5" t="s">
        <v>36</v>
      </c>
      <c r="F205" s="5" t="s">
        <v>27</v>
      </c>
      <c r="G205" s="5" t="s">
        <v>46</v>
      </c>
      <c r="H205" s="7">
        <v>345.35</v>
      </c>
      <c r="I205" s="3">
        <v>1</v>
      </c>
      <c r="J205" s="3">
        <f t="shared" si="6"/>
        <v>345.35</v>
      </c>
      <c r="K205" s="4">
        <v>0</v>
      </c>
      <c r="L205" s="23">
        <f t="shared" si="7"/>
        <v>0</v>
      </c>
      <c r="M205" s="7">
        <v>345.35</v>
      </c>
      <c r="N205" s="5" t="s">
        <v>692</v>
      </c>
      <c r="O205" s="5" t="s">
        <v>24</v>
      </c>
      <c r="P205" s="3">
        <v>19</v>
      </c>
      <c r="Q205" s="3">
        <v>5</v>
      </c>
      <c r="R205" s="5" t="b">
        <v>0</v>
      </c>
      <c r="S205" s="3">
        <v>12</v>
      </c>
      <c r="T205" s="3">
        <v>4</v>
      </c>
    </row>
    <row r="206" spans="1:20">
      <c r="A206" s="5" t="s">
        <v>129</v>
      </c>
      <c r="B206" s="5" t="s">
        <v>130</v>
      </c>
      <c r="C206" s="6">
        <v>45018</v>
      </c>
      <c r="D206" s="8">
        <v>18</v>
      </c>
      <c r="E206" s="5" t="s">
        <v>20</v>
      </c>
      <c r="F206" s="5" t="s">
        <v>59</v>
      </c>
      <c r="G206" s="5" t="s">
        <v>37</v>
      </c>
      <c r="H206" s="7">
        <v>159.18</v>
      </c>
      <c r="I206" s="3">
        <v>2</v>
      </c>
      <c r="J206" s="3">
        <f t="shared" si="6"/>
        <v>318.36</v>
      </c>
      <c r="K206" s="4">
        <v>0</v>
      </c>
      <c r="L206" s="23">
        <f t="shared" si="7"/>
        <v>0</v>
      </c>
      <c r="M206" s="7">
        <v>318.36</v>
      </c>
      <c r="N206" s="5" t="s">
        <v>23</v>
      </c>
      <c r="O206" s="5" t="s">
        <v>33</v>
      </c>
      <c r="P206" s="3">
        <v>7</v>
      </c>
      <c r="Q206" s="3">
        <v>9</v>
      </c>
      <c r="R206" s="5" t="b">
        <v>0</v>
      </c>
      <c r="S206" s="3">
        <v>6</v>
      </c>
      <c r="T206" s="3">
        <v>5</v>
      </c>
    </row>
    <row r="207" spans="1:20">
      <c r="A207" s="5" t="s">
        <v>131</v>
      </c>
      <c r="B207" s="5" t="s">
        <v>132</v>
      </c>
      <c r="C207" s="6">
        <v>45186</v>
      </c>
      <c r="D207" s="8">
        <v>23</v>
      </c>
      <c r="E207" s="5" t="s">
        <v>36</v>
      </c>
      <c r="F207" s="5" t="s">
        <v>32</v>
      </c>
      <c r="G207" s="5" t="s">
        <v>28</v>
      </c>
      <c r="H207" s="7">
        <v>167.61</v>
      </c>
      <c r="I207" s="3">
        <v>1</v>
      </c>
      <c r="J207" s="3">
        <f t="shared" si="6"/>
        <v>167.61</v>
      </c>
      <c r="K207" s="4">
        <v>0</v>
      </c>
      <c r="L207" s="23">
        <f t="shared" si="7"/>
        <v>0</v>
      </c>
      <c r="M207" s="7">
        <v>167.61</v>
      </c>
      <c r="N207" s="5" t="s">
        <v>23</v>
      </c>
      <c r="O207" s="5" t="s">
        <v>29</v>
      </c>
      <c r="P207" s="3">
        <v>15</v>
      </c>
      <c r="Q207" s="3">
        <v>10</v>
      </c>
      <c r="R207" s="5" t="b">
        <v>0</v>
      </c>
      <c r="S207" s="3">
        <v>9</v>
      </c>
      <c r="T207" s="3">
        <v>1</v>
      </c>
    </row>
    <row r="208" spans="1:20">
      <c r="A208" s="5" t="s">
        <v>432</v>
      </c>
      <c r="B208" s="5" t="s">
        <v>433</v>
      </c>
      <c r="C208" s="6">
        <v>44981</v>
      </c>
      <c r="D208" s="8">
        <v>41</v>
      </c>
      <c r="E208" s="5" t="s">
        <v>36</v>
      </c>
      <c r="F208" s="5" t="s">
        <v>59</v>
      </c>
      <c r="G208" s="5" t="s">
        <v>28</v>
      </c>
      <c r="H208" s="7">
        <v>549.61</v>
      </c>
      <c r="I208" s="3">
        <v>1</v>
      </c>
      <c r="J208" s="3">
        <f t="shared" si="6"/>
        <v>549.61</v>
      </c>
      <c r="K208" s="4">
        <v>151.72</v>
      </c>
      <c r="L208" s="23">
        <f t="shared" si="7"/>
        <v>0.27605029020578226</v>
      </c>
      <c r="M208" s="7">
        <v>397.89</v>
      </c>
      <c r="N208" s="5" t="s">
        <v>327</v>
      </c>
      <c r="O208" s="5" t="s">
        <v>24</v>
      </c>
      <c r="P208" s="3">
        <v>11</v>
      </c>
      <c r="Q208" s="3">
        <v>7</v>
      </c>
      <c r="R208" s="5" t="b">
        <v>1</v>
      </c>
      <c r="S208" s="3">
        <v>9</v>
      </c>
      <c r="T208" s="3">
        <v>5</v>
      </c>
    </row>
    <row r="209" spans="1:20">
      <c r="A209" s="5" t="s">
        <v>839</v>
      </c>
      <c r="B209" s="5" t="s">
        <v>840</v>
      </c>
      <c r="C209" s="6">
        <v>45372</v>
      </c>
      <c r="D209" s="8">
        <v>41</v>
      </c>
      <c r="E209" s="5" t="s">
        <v>20</v>
      </c>
      <c r="F209" s="5" t="s">
        <v>21</v>
      </c>
      <c r="G209" s="5" t="s">
        <v>53</v>
      </c>
      <c r="H209" s="7">
        <v>53.93</v>
      </c>
      <c r="I209" s="3">
        <v>2</v>
      </c>
      <c r="J209" s="3">
        <f t="shared" si="6"/>
        <v>107.86</v>
      </c>
      <c r="K209" s="4">
        <v>0</v>
      </c>
      <c r="L209" s="23">
        <f t="shared" si="7"/>
        <v>0</v>
      </c>
      <c r="M209" s="7">
        <v>107.86</v>
      </c>
      <c r="N209" s="5" t="s">
        <v>692</v>
      </c>
      <c r="O209" s="5" t="s">
        <v>33</v>
      </c>
      <c r="P209" s="3">
        <v>25</v>
      </c>
      <c r="Q209" s="3">
        <v>11</v>
      </c>
      <c r="R209" s="5" t="b">
        <v>1</v>
      </c>
      <c r="S209" s="3">
        <v>6</v>
      </c>
      <c r="T209" s="3">
        <v>5</v>
      </c>
    </row>
    <row r="210" spans="1:20">
      <c r="A210" s="5" t="s">
        <v>1339</v>
      </c>
      <c r="B210" s="5" t="s">
        <v>1340</v>
      </c>
      <c r="C210" s="6">
        <v>45247</v>
      </c>
      <c r="D210" s="8">
        <v>41</v>
      </c>
      <c r="E210" s="5" t="s">
        <v>36</v>
      </c>
      <c r="F210" s="5" t="s">
        <v>21</v>
      </c>
      <c r="G210" s="5" t="s">
        <v>46</v>
      </c>
      <c r="H210" s="7">
        <v>580.51</v>
      </c>
      <c r="I210" s="3">
        <v>3</v>
      </c>
      <c r="J210" s="3">
        <f t="shared" si="6"/>
        <v>1741.53</v>
      </c>
      <c r="K210" s="4">
        <v>0</v>
      </c>
      <c r="L210" s="23">
        <f t="shared" si="7"/>
        <v>0</v>
      </c>
      <c r="M210" s="7">
        <v>1741.53</v>
      </c>
      <c r="N210" s="5" t="s">
        <v>1298</v>
      </c>
      <c r="O210" s="5" t="s">
        <v>33</v>
      </c>
      <c r="P210" s="3">
        <v>17</v>
      </c>
      <c r="Q210" s="3">
        <v>10</v>
      </c>
      <c r="R210" s="5" t="b">
        <v>1</v>
      </c>
      <c r="S210" s="3">
        <v>10</v>
      </c>
      <c r="T210" s="3">
        <v>5</v>
      </c>
    </row>
    <row r="211" spans="1:20">
      <c r="A211" s="5" t="s">
        <v>133</v>
      </c>
      <c r="B211" s="5" t="s">
        <v>134</v>
      </c>
      <c r="C211" s="6">
        <v>45079</v>
      </c>
      <c r="D211" s="8">
        <v>75</v>
      </c>
      <c r="E211" s="5" t="s">
        <v>20</v>
      </c>
      <c r="F211" s="5" t="s">
        <v>21</v>
      </c>
      <c r="G211" s="5" t="s">
        <v>28</v>
      </c>
      <c r="H211" s="7">
        <v>279.45999999999998</v>
      </c>
      <c r="I211" s="3">
        <v>1</v>
      </c>
      <c r="J211" s="3">
        <f t="shared" si="6"/>
        <v>279.45999999999998</v>
      </c>
      <c r="K211" s="4">
        <v>0</v>
      </c>
      <c r="L211" s="23">
        <f t="shared" si="7"/>
        <v>0</v>
      </c>
      <c r="M211" s="7">
        <v>279.45999999999998</v>
      </c>
      <c r="N211" s="5" t="s">
        <v>23</v>
      </c>
      <c r="O211" s="5" t="s">
        <v>29</v>
      </c>
      <c r="P211" s="3">
        <v>18</v>
      </c>
      <c r="Q211" s="3">
        <v>10</v>
      </c>
      <c r="R211" s="5" t="b">
        <v>1</v>
      </c>
      <c r="S211" s="3">
        <v>6</v>
      </c>
      <c r="T211" s="3">
        <v>4</v>
      </c>
    </row>
    <row r="212" spans="1:20">
      <c r="A212" s="5" t="s">
        <v>841</v>
      </c>
      <c r="B212" s="5" t="s">
        <v>842</v>
      </c>
      <c r="C212" s="6">
        <v>45357</v>
      </c>
      <c r="D212" s="8">
        <v>41</v>
      </c>
      <c r="E212" s="5" t="s">
        <v>36</v>
      </c>
      <c r="F212" s="5" t="s">
        <v>21</v>
      </c>
      <c r="G212" s="5" t="s">
        <v>46</v>
      </c>
      <c r="H212" s="7">
        <v>629.32000000000005</v>
      </c>
      <c r="I212" s="3">
        <v>1</v>
      </c>
      <c r="J212" s="3">
        <f t="shared" si="6"/>
        <v>629.32000000000005</v>
      </c>
      <c r="K212" s="4">
        <v>0</v>
      </c>
      <c r="L212" s="23">
        <f t="shared" si="7"/>
        <v>0</v>
      </c>
      <c r="M212" s="7">
        <v>629.32000000000005</v>
      </c>
      <c r="N212" s="5" t="s">
        <v>692</v>
      </c>
      <c r="O212" s="5" t="s">
        <v>29</v>
      </c>
      <c r="P212" s="3">
        <v>16</v>
      </c>
      <c r="Q212" s="3">
        <v>5</v>
      </c>
      <c r="R212" s="5" t="b">
        <v>0</v>
      </c>
      <c r="S212" s="3">
        <v>11</v>
      </c>
      <c r="T212" s="3">
        <v>4</v>
      </c>
    </row>
    <row r="213" spans="1:20">
      <c r="A213" s="5" t="s">
        <v>434</v>
      </c>
      <c r="B213" s="5" t="s">
        <v>435</v>
      </c>
      <c r="C213" s="6">
        <v>45254</v>
      </c>
      <c r="D213" s="8">
        <v>48</v>
      </c>
      <c r="E213" s="5" t="s">
        <v>36</v>
      </c>
      <c r="F213" s="5" t="s">
        <v>76</v>
      </c>
      <c r="G213" s="5" t="s">
        <v>22</v>
      </c>
      <c r="H213" s="7">
        <v>99.34</v>
      </c>
      <c r="I213" s="3">
        <v>5</v>
      </c>
      <c r="J213" s="3">
        <f t="shared" si="6"/>
        <v>496.70000000000005</v>
      </c>
      <c r="K213" s="4">
        <v>0</v>
      </c>
      <c r="L213" s="23">
        <f t="shared" si="7"/>
        <v>0</v>
      </c>
      <c r="M213" s="7">
        <v>496.7</v>
      </c>
      <c r="N213" s="5" t="s">
        <v>327</v>
      </c>
      <c r="O213" s="5" t="s">
        <v>24</v>
      </c>
      <c r="P213" s="3">
        <v>9</v>
      </c>
      <c r="Q213" s="3">
        <v>5</v>
      </c>
      <c r="R213" s="5" t="b">
        <v>1</v>
      </c>
      <c r="S213" s="3">
        <v>2</v>
      </c>
      <c r="T213" s="3">
        <v>4</v>
      </c>
    </row>
    <row r="214" spans="1:20">
      <c r="A214" s="5" t="s">
        <v>436</v>
      </c>
      <c r="B214" s="5" t="s">
        <v>437</v>
      </c>
      <c r="C214" s="6">
        <v>45186</v>
      </c>
      <c r="D214" s="8">
        <v>46</v>
      </c>
      <c r="E214" s="5" t="s">
        <v>20</v>
      </c>
      <c r="F214" s="5" t="s">
        <v>73</v>
      </c>
      <c r="G214" s="5" t="s">
        <v>22</v>
      </c>
      <c r="H214" s="7">
        <v>208.7</v>
      </c>
      <c r="I214" s="3">
        <v>1</v>
      </c>
      <c r="J214" s="3">
        <f t="shared" si="6"/>
        <v>208.7</v>
      </c>
      <c r="K214" s="4">
        <v>0</v>
      </c>
      <c r="L214" s="23">
        <f t="shared" si="7"/>
        <v>0</v>
      </c>
      <c r="M214" s="7">
        <v>208.7</v>
      </c>
      <c r="N214" s="5" t="s">
        <v>327</v>
      </c>
      <c r="O214" s="5" t="s">
        <v>24</v>
      </c>
      <c r="P214" s="3">
        <v>7</v>
      </c>
      <c r="Q214" s="3">
        <v>12</v>
      </c>
      <c r="R214" s="5" t="b">
        <v>1</v>
      </c>
      <c r="S214" s="3">
        <v>12</v>
      </c>
      <c r="T214" s="3">
        <v>5</v>
      </c>
    </row>
    <row r="215" spans="1:20">
      <c r="A215" s="5" t="s">
        <v>438</v>
      </c>
      <c r="B215" s="5" t="s">
        <v>439</v>
      </c>
      <c r="C215" s="6">
        <v>45238</v>
      </c>
      <c r="D215" s="8">
        <v>42</v>
      </c>
      <c r="E215" s="5" t="s">
        <v>20</v>
      </c>
      <c r="F215" s="5" t="s">
        <v>76</v>
      </c>
      <c r="G215" s="5" t="s">
        <v>22</v>
      </c>
      <c r="H215" s="7">
        <v>136.28</v>
      </c>
      <c r="I215" s="3">
        <v>2</v>
      </c>
      <c r="J215" s="3">
        <f t="shared" si="6"/>
        <v>272.56</v>
      </c>
      <c r="K215" s="4">
        <v>0</v>
      </c>
      <c r="L215" s="23">
        <f t="shared" si="7"/>
        <v>0</v>
      </c>
      <c r="M215" s="7">
        <v>272.56</v>
      </c>
      <c r="N215" s="5" t="s">
        <v>327</v>
      </c>
      <c r="O215" s="5" t="s">
        <v>33</v>
      </c>
      <c r="P215" s="3">
        <v>19</v>
      </c>
      <c r="Q215" s="3">
        <v>10</v>
      </c>
      <c r="R215" s="5" t="b">
        <v>1</v>
      </c>
      <c r="S215" s="3">
        <v>15</v>
      </c>
      <c r="T215" s="3">
        <v>5</v>
      </c>
    </row>
    <row r="216" spans="1:20">
      <c r="A216" s="5" t="s">
        <v>440</v>
      </c>
      <c r="B216" s="5" t="s">
        <v>441</v>
      </c>
      <c r="C216" s="6">
        <v>45028</v>
      </c>
      <c r="D216" s="8">
        <v>31</v>
      </c>
      <c r="E216" s="5" t="s">
        <v>20</v>
      </c>
      <c r="F216" s="5" t="s">
        <v>32</v>
      </c>
      <c r="G216" s="5" t="s">
        <v>64</v>
      </c>
      <c r="H216" s="7">
        <v>2003.75</v>
      </c>
      <c r="I216" s="3">
        <v>1</v>
      </c>
      <c r="J216" s="3">
        <f t="shared" si="6"/>
        <v>2003.75</v>
      </c>
      <c r="K216" s="4">
        <v>0</v>
      </c>
      <c r="L216" s="23">
        <f t="shared" si="7"/>
        <v>0</v>
      </c>
      <c r="M216" s="7">
        <v>2003.75</v>
      </c>
      <c r="N216" s="5" t="s">
        <v>327</v>
      </c>
      <c r="O216" s="5" t="s">
        <v>33</v>
      </c>
      <c r="P216" s="3">
        <v>3</v>
      </c>
      <c r="Q216" s="3">
        <v>8</v>
      </c>
      <c r="R216" s="5" t="b">
        <v>1</v>
      </c>
      <c r="S216" s="3">
        <v>6</v>
      </c>
      <c r="T216" s="3">
        <v>4</v>
      </c>
    </row>
    <row r="217" spans="1:20">
      <c r="A217" s="5" t="s">
        <v>442</v>
      </c>
      <c r="B217" s="5" t="s">
        <v>443</v>
      </c>
      <c r="C217" s="6">
        <v>45005</v>
      </c>
      <c r="D217" s="8">
        <v>44</v>
      </c>
      <c r="E217" s="5" t="s">
        <v>36</v>
      </c>
      <c r="F217" s="5" t="s">
        <v>27</v>
      </c>
      <c r="G217" s="5" t="s">
        <v>53</v>
      </c>
      <c r="H217" s="7">
        <v>58.2</v>
      </c>
      <c r="I217" s="3">
        <v>1</v>
      </c>
      <c r="J217" s="3">
        <f t="shared" si="6"/>
        <v>58.2</v>
      </c>
      <c r="K217" s="4">
        <v>0</v>
      </c>
      <c r="L217" s="23">
        <f t="shared" si="7"/>
        <v>0</v>
      </c>
      <c r="M217" s="7">
        <v>58.2</v>
      </c>
      <c r="N217" s="5" t="s">
        <v>327</v>
      </c>
      <c r="O217" s="5" t="s">
        <v>33</v>
      </c>
      <c r="P217" s="3">
        <v>8</v>
      </c>
      <c r="Q217" s="3">
        <v>8</v>
      </c>
      <c r="R217" s="5" t="b">
        <v>1</v>
      </c>
      <c r="S217" s="3">
        <v>9</v>
      </c>
      <c r="T217" s="3">
        <v>5</v>
      </c>
    </row>
    <row r="218" spans="1:20">
      <c r="A218" s="5" t="s">
        <v>135</v>
      </c>
      <c r="B218" s="5" t="s">
        <v>136</v>
      </c>
      <c r="C218" s="6">
        <v>45118</v>
      </c>
      <c r="D218" s="8">
        <v>25</v>
      </c>
      <c r="E218" s="5" t="s">
        <v>36</v>
      </c>
      <c r="F218" s="5" t="s">
        <v>59</v>
      </c>
      <c r="G218" s="5" t="s">
        <v>115</v>
      </c>
      <c r="H218" s="7">
        <v>107.69</v>
      </c>
      <c r="I218" s="3">
        <v>4</v>
      </c>
      <c r="J218" s="3">
        <f t="shared" si="6"/>
        <v>430.76</v>
      </c>
      <c r="K218" s="4">
        <v>11.57</v>
      </c>
      <c r="L218" s="23">
        <f t="shared" si="7"/>
        <v>2.6859504132231406E-2</v>
      </c>
      <c r="M218" s="7">
        <v>419.19</v>
      </c>
      <c r="N218" s="5" t="s">
        <v>23</v>
      </c>
      <c r="O218" s="5" t="s">
        <v>33</v>
      </c>
      <c r="P218" s="3">
        <v>13</v>
      </c>
      <c r="Q218" s="3">
        <v>11</v>
      </c>
      <c r="R218" s="5" t="b">
        <v>1</v>
      </c>
      <c r="S218" s="3">
        <v>6</v>
      </c>
      <c r="T218" s="3">
        <v>5</v>
      </c>
    </row>
    <row r="219" spans="1:20">
      <c r="A219" s="5" t="s">
        <v>444</v>
      </c>
      <c r="B219" s="5" t="s">
        <v>445</v>
      </c>
      <c r="C219" s="6">
        <v>45317</v>
      </c>
      <c r="D219" s="8">
        <v>32</v>
      </c>
      <c r="E219" s="5" t="s">
        <v>20</v>
      </c>
      <c r="F219" s="5" t="s">
        <v>49</v>
      </c>
      <c r="G219" s="5" t="s">
        <v>46</v>
      </c>
      <c r="H219" s="7">
        <v>875.66</v>
      </c>
      <c r="I219" s="3">
        <v>1</v>
      </c>
      <c r="J219" s="3">
        <f t="shared" si="6"/>
        <v>875.66</v>
      </c>
      <c r="K219" s="4">
        <v>0</v>
      </c>
      <c r="L219" s="23">
        <f t="shared" si="7"/>
        <v>0</v>
      </c>
      <c r="M219" s="7">
        <v>875.66</v>
      </c>
      <c r="N219" s="5" t="s">
        <v>327</v>
      </c>
      <c r="O219" s="5" t="s">
        <v>24</v>
      </c>
      <c r="P219" s="3">
        <v>17</v>
      </c>
      <c r="Q219" s="3">
        <v>17</v>
      </c>
      <c r="R219" s="5" t="b">
        <v>1</v>
      </c>
      <c r="S219" s="3">
        <v>2</v>
      </c>
      <c r="T219" s="3">
        <v>5</v>
      </c>
    </row>
    <row r="220" spans="1:20">
      <c r="A220" s="5" t="s">
        <v>843</v>
      </c>
      <c r="B220" s="5" t="s">
        <v>844</v>
      </c>
      <c r="C220" s="6">
        <v>45009</v>
      </c>
      <c r="D220" s="8">
        <v>29</v>
      </c>
      <c r="E220" s="5" t="s">
        <v>36</v>
      </c>
      <c r="F220" s="5" t="s">
        <v>73</v>
      </c>
      <c r="G220" s="5" t="s">
        <v>53</v>
      </c>
      <c r="H220" s="7">
        <v>30.85</v>
      </c>
      <c r="I220" s="3">
        <v>1</v>
      </c>
      <c r="J220" s="3">
        <f t="shared" si="6"/>
        <v>30.85</v>
      </c>
      <c r="K220" s="4">
        <v>0</v>
      </c>
      <c r="L220" s="23">
        <f t="shared" si="7"/>
        <v>0</v>
      </c>
      <c r="M220" s="7">
        <v>30.85</v>
      </c>
      <c r="N220" s="5" t="s">
        <v>692</v>
      </c>
      <c r="O220" s="5" t="s">
        <v>33</v>
      </c>
      <c r="P220" s="3">
        <v>5</v>
      </c>
      <c r="Q220" s="3">
        <v>10</v>
      </c>
      <c r="R220" s="5" t="b">
        <v>0</v>
      </c>
      <c r="S220" s="3">
        <v>3</v>
      </c>
      <c r="T220" s="3">
        <v>5</v>
      </c>
    </row>
    <row r="221" spans="1:20">
      <c r="A221" s="5" t="s">
        <v>845</v>
      </c>
      <c r="B221" s="5" t="s">
        <v>846</v>
      </c>
      <c r="C221" s="6">
        <v>45203</v>
      </c>
      <c r="D221" s="8">
        <v>35</v>
      </c>
      <c r="E221" s="5" t="s">
        <v>36</v>
      </c>
      <c r="F221" s="5" t="s">
        <v>73</v>
      </c>
      <c r="G221" s="5" t="s">
        <v>28</v>
      </c>
      <c r="H221" s="7">
        <v>288.72000000000003</v>
      </c>
      <c r="I221" s="3">
        <v>2</v>
      </c>
      <c r="J221" s="3">
        <f t="shared" si="6"/>
        <v>577.44000000000005</v>
      </c>
      <c r="K221" s="4">
        <v>59.37</v>
      </c>
      <c r="L221" s="23">
        <f t="shared" si="7"/>
        <v>0.10281587697423107</v>
      </c>
      <c r="M221" s="7">
        <v>518.07000000000005</v>
      </c>
      <c r="N221" s="5" t="s">
        <v>692</v>
      </c>
      <c r="O221" s="5" t="s">
        <v>33</v>
      </c>
      <c r="P221" s="3">
        <v>12</v>
      </c>
      <c r="Q221" s="3">
        <v>11</v>
      </c>
      <c r="R221" s="5" t="b">
        <v>1</v>
      </c>
      <c r="S221" s="3">
        <v>7</v>
      </c>
      <c r="T221" s="3">
        <v>5</v>
      </c>
    </row>
    <row r="222" spans="1:20">
      <c r="A222" s="5" t="s">
        <v>847</v>
      </c>
      <c r="B222" s="5" t="s">
        <v>848</v>
      </c>
      <c r="C222" s="6">
        <v>45325</v>
      </c>
      <c r="D222" s="8">
        <v>62</v>
      </c>
      <c r="E222" s="5" t="s">
        <v>20</v>
      </c>
      <c r="F222" s="5" t="s">
        <v>88</v>
      </c>
      <c r="G222" s="5" t="s">
        <v>46</v>
      </c>
      <c r="H222" s="7">
        <v>953.88</v>
      </c>
      <c r="I222" s="3">
        <v>2</v>
      </c>
      <c r="J222" s="3">
        <f t="shared" si="6"/>
        <v>1907.76</v>
      </c>
      <c r="K222" s="4">
        <v>0</v>
      </c>
      <c r="L222" s="23">
        <f t="shared" si="7"/>
        <v>0</v>
      </c>
      <c r="M222" s="7">
        <v>1907.76</v>
      </c>
      <c r="N222" s="5" t="s">
        <v>692</v>
      </c>
      <c r="O222" s="5" t="s">
        <v>33</v>
      </c>
      <c r="P222" s="3">
        <v>14</v>
      </c>
      <c r="Q222" s="3">
        <v>11</v>
      </c>
      <c r="R222" s="5" t="b">
        <v>1</v>
      </c>
      <c r="S222" s="3">
        <v>3</v>
      </c>
      <c r="T222" s="3">
        <v>5</v>
      </c>
    </row>
    <row r="223" spans="1:20">
      <c r="A223" s="5" t="s">
        <v>446</v>
      </c>
      <c r="B223" s="5" t="s">
        <v>447</v>
      </c>
      <c r="C223" s="6">
        <v>45198</v>
      </c>
      <c r="D223" s="8">
        <v>18</v>
      </c>
      <c r="E223" s="5" t="s">
        <v>20</v>
      </c>
      <c r="F223" s="5" t="s">
        <v>59</v>
      </c>
      <c r="G223" s="5" t="s">
        <v>46</v>
      </c>
      <c r="H223" s="7">
        <v>205.74</v>
      </c>
      <c r="I223" s="3">
        <v>1</v>
      </c>
      <c r="J223" s="3">
        <f t="shared" si="6"/>
        <v>205.74</v>
      </c>
      <c r="K223" s="4">
        <v>12.23</v>
      </c>
      <c r="L223" s="23">
        <f t="shared" si="7"/>
        <v>5.9443958394089627E-2</v>
      </c>
      <c r="M223" s="7">
        <v>193.51</v>
      </c>
      <c r="N223" s="5" t="s">
        <v>327</v>
      </c>
      <c r="O223" s="5" t="s">
        <v>24</v>
      </c>
      <c r="P223" s="3">
        <v>12</v>
      </c>
      <c r="Q223" s="3">
        <v>17</v>
      </c>
      <c r="R223" s="5" t="b">
        <v>1</v>
      </c>
      <c r="S223" s="3">
        <v>17</v>
      </c>
      <c r="T223" s="3">
        <v>2</v>
      </c>
    </row>
    <row r="224" spans="1:20">
      <c r="A224" s="5" t="s">
        <v>849</v>
      </c>
      <c r="B224" s="5" t="s">
        <v>850</v>
      </c>
      <c r="C224" s="6">
        <v>44927</v>
      </c>
      <c r="D224" s="8">
        <v>43</v>
      </c>
      <c r="E224" s="5" t="s">
        <v>36</v>
      </c>
      <c r="F224" s="5" t="s">
        <v>32</v>
      </c>
      <c r="G224" s="5" t="s">
        <v>37</v>
      </c>
      <c r="H224" s="7">
        <v>122.46</v>
      </c>
      <c r="I224" s="3">
        <v>1</v>
      </c>
      <c r="J224" s="3">
        <f t="shared" si="6"/>
        <v>122.46</v>
      </c>
      <c r="K224" s="4">
        <v>0</v>
      </c>
      <c r="L224" s="23">
        <f t="shared" si="7"/>
        <v>0</v>
      </c>
      <c r="M224" s="7">
        <v>122.46</v>
      </c>
      <c r="N224" s="5" t="s">
        <v>692</v>
      </c>
      <c r="O224" s="5" t="s">
        <v>33</v>
      </c>
      <c r="P224" s="3">
        <v>14</v>
      </c>
      <c r="Q224" s="3">
        <v>9</v>
      </c>
      <c r="R224" s="5" t="b">
        <v>1</v>
      </c>
      <c r="S224" s="3">
        <v>9</v>
      </c>
      <c r="T224" s="3">
        <v>5</v>
      </c>
    </row>
    <row r="225" spans="1:20">
      <c r="A225" s="5" t="s">
        <v>137</v>
      </c>
      <c r="B225" s="5" t="s">
        <v>138</v>
      </c>
      <c r="C225" s="6">
        <v>45233</v>
      </c>
      <c r="D225" s="8">
        <v>18</v>
      </c>
      <c r="E225" s="5" t="s">
        <v>36</v>
      </c>
      <c r="F225" s="5" t="s">
        <v>59</v>
      </c>
      <c r="G225" s="5" t="s">
        <v>46</v>
      </c>
      <c r="H225" s="7">
        <v>1071.7</v>
      </c>
      <c r="I225" s="3">
        <v>4</v>
      </c>
      <c r="J225" s="3">
        <f t="shared" si="6"/>
        <v>4286.8</v>
      </c>
      <c r="K225" s="4">
        <v>0</v>
      </c>
      <c r="L225" s="23">
        <f t="shared" si="7"/>
        <v>0</v>
      </c>
      <c r="M225" s="7">
        <v>4286.8</v>
      </c>
      <c r="N225" s="5" t="s">
        <v>23</v>
      </c>
      <c r="O225" s="5" t="s">
        <v>24</v>
      </c>
      <c r="P225" s="3">
        <v>9</v>
      </c>
      <c r="Q225" s="3">
        <v>4</v>
      </c>
      <c r="R225" s="5" t="b">
        <v>0</v>
      </c>
      <c r="S225" s="3">
        <v>11</v>
      </c>
      <c r="T225" s="3">
        <v>4</v>
      </c>
    </row>
    <row r="226" spans="1:20">
      <c r="A226" s="5" t="s">
        <v>851</v>
      </c>
      <c r="B226" s="5" t="s">
        <v>852</v>
      </c>
      <c r="C226" s="6">
        <v>45092</v>
      </c>
      <c r="D226" s="8">
        <v>29</v>
      </c>
      <c r="E226" s="5" t="s">
        <v>20</v>
      </c>
      <c r="F226" s="5" t="s">
        <v>21</v>
      </c>
      <c r="G226" s="5" t="s">
        <v>46</v>
      </c>
      <c r="H226" s="7">
        <v>377.34</v>
      </c>
      <c r="I226" s="3">
        <v>3</v>
      </c>
      <c r="J226" s="3">
        <f t="shared" si="6"/>
        <v>1132.02</v>
      </c>
      <c r="K226" s="4">
        <v>0</v>
      </c>
      <c r="L226" s="23">
        <f t="shared" si="7"/>
        <v>0</v>
      </c>
      <c r="M226" s="7">
        <v>1132.02</v>
      </c>
      <c r="N226" s="5" t="s">
        <v>692</v>
      </c>
      <c r="O226" s="5" t="s">
        <v>33</v>
      </c>
      <c r="P226" s="3">
        <v>22</v>
      </c>
      <c r="Q226" s="3">
        <v>4</v>
      </c>
      <c r="R226" s="5" t="b">
        <v>0</v>
      </c>
      <c r="S226" s="3">
        <v>3</v>
      </c>
      <c r="T226" s="3">
        <v>4</v>
      </c>
    </row>
    <row r="227" spans="1:20">
      <c r="A227" s="5" t="s">
        <v>139</v>
      </c>
      <c r="B227" s="5" t="s">
        <v>140</v>
      </c>
      <c r="C227" s="6">
        <v>45177</v>
      </c>
      <c r="D227" s="8">
        <v>48</v>
      </c>
      <c r="E227" s="5" t="s">
        <v>20</v>
      </c>
      <c r="F227" s="5" t="s">
        <v>52</v>
      </c>
      <c r="G227" s="5" t="s">
        <v>56</v>
      </c>
      <c r="H227" s="7">
        <v>592.09</v>
      </c>
      <c r="I227" s="3">
        <v>1</v>
      </c>
      <c r="J227" s="3">
        <f t="shared" si="6"/>
        <v>592.09</v>
      </c>
      <c r="K227" s="4">
        <v>0</v>
      </c>
      <c r="L227" s="23">
        <f t="shared" si="7"/>
        <v>0</v>
      </c>
      <c r="M227" s="7">
        <v>592.09</v>
      </c>
      <c r="N227" s="5" t="s">
        <v>23</v>
      </c>
      <c r="O227" s="5" t="s">
        <v>29</v>
      </c>
      <c r="P227" s="3">
        <v>16</v>
      </c>
      <c r="Q227" s="3">
        <v>8</v>
      </c>
      <c r="R227" s="5" t="b">
        <v>0</v>
      </c>
      <c r="S227" s="3">
        <v>5</v>
      </c>
      <c r="T227" s="3">
        <v>5</v>
      </c>
    </row>
    <row r="228" spans="1:20">
      <c r="A228" s="5" t="s">
        <v>141</v>
      </c>
      <c r="B228" s="5" t="s">
        <v>142</v>
      </c>
      <c r="C228" s="6">
        <v>44936</v>
      </c>
      <c r="D228" s="8">
        <v>35</v>
      </c>
      <c r="E228" s="5" t="s">
        <v>20</v>
      </c>
      <c r="F228" s="5" t="s">
        <v>88</v>
      </c>
      <c r="G228" s="5" t="s">
        <v>115</v>
      </c>
      <c r="H228" s="7">
        <v>78.19</v>
      </c>
      <c r="I228" s="3">
        <v>1</v>
      </c>
      <c r="J228" s="3">
        <f t="shared" si="6"/>
        <v>78.19</v>
      </c>
      <c r="K228" s="4">
        <v>0</v>
      </c>
      <c r="L228" s="23">
        <f t="shared" si="7"/>
        <v>0</v>
      </c>
      <c r="M228" s="7">
        <v>78.19</v>
      </c>
      <c r="N228" s="5" t="s">
        <v>23</v>
      </c>
      <c r="O228" s="5" t="s">
        <v>33</v>
      </c>
      <c r="P228" s="3">
        <v>12</v>
      </c>
      <c r="Q228" s="3">
        <v>12</v>
      </c>
      <c r="R228" s="5" t="b">
        <v>1</v>
      </c>
      <c r="S228" s="3">
        <v>3</v>
      </c>
      <c r="T228" s="3">
        <v>5</v>
      </c>
    </row>
    <row r="229" spans="1:20">
      <c r="A229" s="5" t="s">
        <v>853</v>
      </c>
      <c r="B229" s="5" t="s">
        <v>854</v>
      </c>
      <c r="C229" s="6">
        <v>44984</v>
      </c>
      <c r="D229" s="8">
        <v>22</v>
      </c>
      <c r="E229" s="5" t="s">
        <v>36</v>
      </c>
      <c r="F229" s="5" t="s">
        <v>21</v>
      </c>
      <c r="G229" s="5" t="s">
        <v>56</v>
      </c>
      <c r="H229" s="7">
        <v>654.97</v>
      </c>
      <c r="I229" s="3">
        <v>4</v>
      </c>
      <c r="J229" s="3">
        <f t="shared" si="6"/>
        <v>2619.88</v>
      </c>
      <c r="K229" s="4">
        <v>195.13</v>
      </c>
      <c r="L229" s="23">
        <f t="shared" si="7"/>
        <v>7.4480510557735469E-2</v>
      </c>
      <c r="M229" s="7">
        <v>2424.75</v>
      </c>
      <c r="N229" s="5" t="s">
        <v>692</v>
      </c>
      <c r="O229" s="5" t="s">
        <v>33</v>
      </c>
      <c r="P229" s="3">
        <v>3</v>
      </c>
      <c r="Q229" s="3">
        <v>16</v>
      </c>
      <c r="R229" s="5" t="b">
        <v>1</v>
      </c>
      <c r="S229" s="3">
        <v>10</v>
      </c>
      <c r="T229" s="3">
        <v>5</v>
      </c>
    </row>
    <row r="230" spans="1:20">
      <c r="A230" s="5" t="s">
        <v>143</v>
      </c>
      <c r="B230" s="5" t="s">
        <v>144</v>
      </c>
      <c r="C230" s="6">
        <v>45112</v>
      </c>
      <c r="D230" s="8">
        <v>26</v>
      </c>
      <c r="E230" s="5" t="s">
        <v>20</v>
      </c>
      <c r="F230" s="5" t="s">
        <v>59</v>
      </c>
      <c r="G230" s="5" t="s">
        <v>37</v>
      </c>
      <c r="H230" s="7">
        <v>109.85</v>
      </c>
      <c r="I230" s="3">
        <v>1</v>
      </c>
      <c r="J230" s="3">
        <f t="shared" si="6"/>
        <v>109.85</v>
      </c>
      <c r="K230" s="4">
        <v>0</v>
      </c>
      <c r="L230" s="23">
        <f t="shared" si="7"/>
        <v>0</v>
      </c>
      <c r="M230" s="7">
        <v>109.85</v>
      </c>
      <c r="N230" s="5" t="s">
        <v>23</v>
      </c>
      <c r="O230" s="5" t="s">
        <v>33</v>
      </c>
      <c r="P230" s="3">
        <v>15</v>
      </c>
      <c r="Q230" s="3">
        <v>10</v>
      </c>
      <c r="R230" s="5" t="b">
        <v>1</v>
      </c>
      <c r="S230" s="3">
        <v>2</v>
      </c>
      <c r="T230" s="3">
        <v>4</v>
      </c>
    </row>
    <row r="231" spans="1:20">
      <c r="A231" s="5" t="s">
        <v>1256</v>
      </c>
      <c r="B231" s="5" t="s">
        <v>1257</v>
      </c>
      <c r="C231" s="6">
        <v>45376</v>
      </c>
      <c r="D231" s="8">
        <v>43</v>
      </c>
      <c r="E231" s="5" t="s">
        <v>20</v>
      </c>
      <c r="F231" s="5" t="s">
        <v>52</v>
      </c>
      <c r="G231" s="5" t="s">
        <v>64</v>
      </c>
      <c r="H231" s="7">
        <v>2275.2399999999998</v>
      </c>
      <c r="I231" s="3">
        <v>2</v>
      </c>
      <c r="J231" s="3">
        <f t="shared" si="6"/>
        <v>4550.4799999999996</v>
      </c>
      <c r="K231" s="4">
        <v>601.72</v>
      </c>
      <c r="L231" s="23">
        <f t="shared" si="7"/>
        <v>0.1322322040751745</v>
      </c>
      <c r="M231" s="7">
        <v>3948.76</v>
      </c>
      <c r="N231" s="5" t="s">
        <v>1231</v>
      </c>
      <c r="O231" s="5" t="s">
        <v>24</v>
      </c>
      <c r="P231" s="3">
        <v>5</v>
      </c>
      <c r="Q231" s="3">
        <v>9</v>
      </c>
      <c r="R231" s="5" t="b">
        <v>1</v>
      </c>
      <c r="S231" s="3">
        <v>7</v>
      </c>
      <c r="T231" s="3">
        <v>4</v>
      </c>
    </row>
    <row r="232" spans="1:20">
      <c r="A232" s="5" t="s">
        <v>855</v>
      </c>
      <c r="B232" s="5" t="s">
        <v>856</v>
      </c>
      <c r="C232" s="6">
        <v>45352</v>
      </c>
      <c r="D232" s="8">
        <v>26</v>
      </c>
      <c r="E232" s="5" t="s">
        <v>36</v>
      </c>
      <c r="F232" s="5" t="s">
        <v>32</v>
      </c>
      <c r="G232" s="5" t="s">
        <v>22</v>
      </c>
      <c r="H232" s="7">
        <v>380.48</v>
      </c>
      <c r="I232" s="3">
        <v>2</v>
      </c>
      <c r="J232" s="3">
        <f t="shared" si="6"/>
        <v>760.96</v>
      </c>
      <c r="K232" s="4">
        <v>54.13</v>
      </c>
      <c r="L232" s="23">
        <f t="shared" si="7"/>
        <v>7.1133830950378465E-2</v>
      </c>
      <c r="M232" s="7">
        <v>706.83</v>
      </c>
      <c r="N232" s="5" t="s">
        <v>692</v>
      </c>
      <c r="O232" s="5" t="s">
        <v>33</v>
      </c>
      <c r="P232" s="3">
        <v>3</v>
      </c>
      <c r="Q232" s="3">
        <v>8</v>
      </c>
      <c r="R232" s="5" t="b">
        <v>0</v>
      </c>
      <c r="S232" s="3">
        <v>2</v>
      </c>
      <c r="T232" s="3">
        <v>1</v>
      </c>
    </row>
    <row r="233" spans="1:20">
      <c r="A233" s="5" t="s">
        <v>1341</v>
      </c>
      <c r="B233" s="5" t="s">
        <v>1342</v>
      </c>
      <c r="C233" s="6">
        <v>45340</v>
      </c>
      <c r="D233" s="8">
        <v>37</v>
      </c>
      <c r="E233" s="5" t="s">
        <v>36</v>
      </c>
      <c r="F233" s="5" t="s">
        <v>21</v>
      </c>
      <c r="G233" s="5" t="s">
        <v>28</v>
      </c>
      <c r="H233" s="7">
        <v>146.1</v>
      </c>
      <c r="I233" s="3">
        <v>1</v>
      </c>
      <c r="J233" s="3">
        <f t="shared" si="6"/>
        <v>146.1</v>
      </c>
      <c r="K233" s="4">
        <v>0</v>
      </c>
      <c r="L233" s="23">
        <f t="shared" si="7"/>
        <v>0</v>
      </c>
      <c r="M233" s="7">
        <v>146.1</v>
      </c>
      <c r="N233" s="5" t="s">
        <v>1298</v>
      </c>
      <c r="O233" s="5" t="s">
        <v>33</v>
      </c>
      <c r="P233" s="3">
        <v>7</v>
      </c>
      <c r="Q233" s="3">
        <v>8</v>
      </c>
      <c r="R233" s="5" t="b">
        <v>1</v>
      </c>
      <c r="S233" s="3">
        <v>5</v>
      </c>
      <c r="T233" s="3">
        <v>4</v>
      </c>
    </row>
    <row r="234" spans="1:20">
      <c r="A234" s="5" t="s">
        <v>448</v>
      </c>
      <c r="B234" s="5" t="s">
        <v>449</v>
      </c>
      <c r="C234" s="6">
        <v>45084</v>
      </c>
      <c r="D234" s="8">
        <v>35</v>
      </c>
      <c r="E234" s="5" t="s">
        <v>20</v>
      </c>
      <c r="F234" s="5" t="s">
        <v>32</v>
      </c>
      <c r="G234" s="5" t="s">
        <v>28</v>
      </c>
      <c r="H234" s="7">
        <v>435.89</v>
      </c>
      <c r="I234" s="3">
        <v>1</v>
      </c>
      <c r="J234" s="3">
        <f t="shared" si="6"/>
        <v>435.89</v>
      </c>
      <c r="K234" s="4">
        <v>88.84</v>
      </c>
      <c r="L234" s="23">
        <f t="shared" si="7"/>
        <v>0.20381288857280508</v>
      </c>
      <c r="M234" s="7">
        <v>347.05</v>
      </c>
      <c r="N234" s="5" t="s">
        <v>327</v>
      </c>
      <c r="O234" s="5" t="s">
        <v>33</v>
      </c>
      <c r="P234" s="3">
        <v>17</v>
      </c>
      <c r="Q234" s="3">
        <v>8</v>
      </c>
      <c r="R234" s="5" t="b">
        <v>1</v>
      </c>
      <c r="S234" s="3">
        <v>5</v>
      </c>
      <c r="T234" s="3">
        <v>5</v>
      </c>
    </row>
    <row r="235" spans="1:20">
      <c r="A235" s="5" t="s">
        <v>450</v>
      </c>
      <c r="B235" s="5" t="s">
        <v>451</v>
      </c>
      <c r="C235" s="6">
        <v>45049</v>
      </c>
      <c r="D235" s="8">
        <v>27</v>
      </c>
      <c r="E235" s="5" t="s">
        <v>20</v>
      </c>
      <c r="F235" s="5" t="s">
        <v>27</v>
      </c>
      <c r="G235" s="5" t="s">
        <v>115</v>
      </c>
      <c r="H235" s="7">
        <v>33.950000000000003</v>
      </c>
      <c r="I235" s="3">
        <v>1</v>
      </c>
      <c r="J235" s="3">
        <f t="shared" si="6"/>
        <v>33.950000000000003</v>
      </c>
      <c r="K235" s="4">
        <v>6.33</v>
      </c>
      <c r="L235" s="23">
        <f t="shared" si="7"/>
        <v>0.18645066273932251</v>
      </c>
      <c r="M235" s="7">
        <v>27.62</v>
      </c>
      <c r="N235" s="5" t="s">
        <v>327</v>
      </c>
      <c r="O235" s="5" t="s">
        <v>33</v>
      </c>
      <c r="P235" s="3">
        <v>17</v>
      </c>
      <c r="Q235" s="3">
        <v>12</v>
      </c>
      <c r="R235" s="5" t="b">
        <v>0</v>
      </c>
      <c r="S235" s="3">
        <v>12</v>
      </c>
      <c r="T235" s="3">
        <v>4</v>
      </c>
    </row>
    <row r="236" spans="1:20">
      <c r="A236" s="5" t="s">
        <v>857</v>
      </c>
      <c r="B236" s="5" t="s">
        <v>858</v>
      </c>
      <c r="C236" s="6">
        <v>44956</v>
      </c>
      <c r="D236" s="8">
        <v>60</v>
      </c>
      <c r="E236" s="5" t="s">
        <v>36</v>
      </c>
      <c r="F236" s="5" t="s">
        <v>52</v>
      </c>
      <c r="G236" s="5" t="s">
        <v>46</v>
      </c>
      <c r="H236" s="7">
        <v>785.55</v>
      </c>
      <c r="I236" s="3">
        <v>1</v>
      </c>
      <c r="J236" s="3">
        <f t="shared" si="6"/>
        <v>785.55</v>
      </c>
      <c r="K236" s="4">
        <v>0</v>
      </c>
      <c r="L236" s="23">
        <f t="shared" si="7"/>
        <v>0</v>
      </c>
      <c r="M236" s="7">
        <v>785.55</v>
      </c>
      <c r="N236" s="5" t="s">
        <v>692</v>
      </c>
      <c r="O236" s="5" t="s">
        <v>33</v>
      </c>
      <c r="P236" s="3">
        <v>1</v>
      </c>
      <c r="Q236" s="3">
        <v>11</v>
      </c>
      <c r="R236" s="5" t="b">
        <v>1</v>
      </c>
      <c r="S236" s="3">
        <v>9</v>
      </c>
      <c r="T236" s="3">
        <v>4</v>
      </c>
    </row>
    <row r="237" spans="1:20">
      <c r="A237" s="5" t="s">
        <v>145</v>
      </c>
      <c r="B237" s="5" t="s">
        <v>146</v>
      </c>
      <c r="C237" s="6">
        <v>45050</v>
      </c>
      <c r="D237" s="8">
        <v>42</v>
      </c>
      <c r="E237" s="5" t="s">
        <v>20</v>
      </c>
      <c r="F237" s="5" t="s">
        <v>21</v>
      </c>
      <c r="G237" s="5" t="s">
        <v>53</v>
      </c>
      <c r="H237" s="7">
        <v>13.46</v>
      </c>
      <c r="I237" s="3">
        <v>2</v>
      </c>
      <c r="J237" s="3">
        <f t="shared" si="6"/>
        <v>26.92</v>
      </c>
      <c r="K237" s="4">
        <v>0</v>
      </c>
      <c r="L237" s="23">
        <f t="shared" si="7"/>
        <v>0</v>
      </c>
      <c r="M237" s="7">
        <v>26.92</v>
      </c>
      <c r="N237" s="5" t="s">
        <v>23</v>
      </c>
      <c r="O237" s="5" t="s">
        <v>33</v>
      </c>
      <c r="P237" s="3">
        <v>16</v>
      </c>
      <c r="Q237" s="3">
        <v>6</v>
      </c>
      <c r="R237" s="5" t="b">
        <v>0</v>
      </c>
      <c r="S237" s="3">
        <v>7</v>
      </c>
      <c r="T237" s="3">
        <v>3</v>
      </c>
    </row>
    <row r="238" spans="1:20">
      <c r="A238" s="5" t="s">
        <v>452</v>
      </c>
      <c r="B238" s="5" t="s">
        <v>453</v>
      </c>
      <c r="C238" s="6">
        <v>45376</v>
      </c>
      <c r="D238" s="8">
        <v>18</v>
      </c>
      <c r="E238" s="5" t="s">
        <v>20</v>
      </c>
      <c r="F238" s="5" t="s">
        <v>32</v>
      </c>
      <c r="G238" s="5" t="s">
        <v>28</v>
      </c>
      <c r="H238" s="7">
        <v>157.19</v>
      </c>
      <c r="I238" s="3">
        <v>1</v>
      </c>
      <c r="J238" s="3">
        <f t="shared" si="6"/>
        <v>157.19</v>
      </c>
      <c r="K238" s="4">
        <v>0</v>
      </c>
      <c r="L238" s="23">
        <f t="shared" si="7"/>
        <v>0</v>
      </c>
      <c r="M238" s="7">
        <v>157.19</v>
      </c>
      <c r="N238" s="5" t="s">
        <v>327</v>
      </c>
      <c r="O238" s="5" t="s">
        <v>29</v>
      </c>
      <c r="P238" s="3">
        <v>4</v>
      </c>
      <c r="Q238" s="3">
        <v>8</v>
      </c>
      <c r="R238" s="5" t="b">
        <v>1</v>
      </c>
      <c r="S238" s="3">
        <v>3</v>
      </c>
      <c r="T238" s="3">
        <v>5</v>
      </c>
    </row>
    <row r="239" spans="1:20">
      <c r="A239" s="5" t="s">
        <v>147</v>
      </c>
      <c r="B239" s="5" t="s">
        <v>148</v>
      </c>
      <c r="C239" s="6">
        <v>45217</v>
      </c>
      <c r="D239" s="8">
        <v>37</v>
      </c>
      <c r="E239" s="5" t="s">
        <v>36</v>
      </c>
      <c r="F239" s="5" t="s">
        <v>52</v>
      </c>
      <c r="G239" s="5" t="s">
        <v>56</v>
      </c>
      <c r="H239" s="7">
        <v>66.709999999999994</v>
      </c>
      <c r="I239" s="3">
        <v>1</v>
      </c>
      <c r="J239" s="3">
        <f t="shared" si="6"/>
        <v>66.709999999999994</v>
      </c>
      <c r="K239" s="4">
        <v>17.41</v>
      </c>
      <c r="L239" s="23">
        <f t="shared" si="7"/>
        <v>0.26098036276420328</v>
      </c>
      <c r="M239" s="7">
        <v>49.3</v>
      </c>
      <c r="N239" s="5" t="s">
        <v>23</v>
      </c>
      <c r="O239" s="5" t="s">
        <v>33</v>
      </c>
      <c r="P239" s="3">
        <v>22</v>
      </c>
      <c r="Q239" s="3">
        <v>9</v>
      </c>
      <c r="R239" s="5" t="b">
        <v>0</v>
      </c>
      <c r="S239" s="3">
        <v>3</v>
      </c>
      <c r="T239" s="3">
        <v>2</v>
      </c>
    </row>
    <row r="240" spans="1:20">
      <c r="A240" s="5" t="s">
        <v>149</v>
      </c>
      <c r="B240" s="5" t="s">
        <v>150</v>
      </c>
      <c r="C240" s="6">
        <v>44967</v>
      </c>
      <c r="D240" s="8">
        <v>27</v>
      </c>
      <c r="E240" s="5" t="s">
        <v>20</v>
      </c>
      <c r="F240" s="5" t="s">
        <v>59</v>
      </c>
      <c r="G240" s="5" t="s">
        <v>22</v>
      </c>
      <c r="H240" s="7">
        <v>266.44</v>
      </c>
      <c r="I240" s="3">
        <v>2</v>
      </c>
      <c r="J240" s="3">
        <f t="shared" si="6"/>
        <v>532.88</v>
      </c>
      <c r="K240" s="4">
        <v>0</v>
      </c>
      <c r="L240" s="23">
        <f t="shared" si="7"/>
        <v>0</v>
      </c>
      <c r="M240" s="7">
        <v>532.88</v>
      </c>
      <c r="N240" s="5" t="s">
        <v>23</v>
      </c>
      <c r="O240" s="5" t="s">
        <v>29</v>
      </c>
      <c r="P240" s="3">
        <v>19</v>
      </c>
      <c r="Q240" s="3">
        <v>10</v>
      </c>
      <c r="R240" s="5" t="b">
        <v>0</v>
      </c>
      <c r="S240" s="3">
        <v>4</v>
      </c>
      <c r="T240" s="3">
        <v>5</v>
      </c>
    </row>
    <row r="241" spans="1:20">
      <c r="A241" s="5" t="s">
        <v>454</v>
      </c>
      <c r="B241" s="5" t="s">
        <v>455</v>
      </c>
      <c r="C241" s="6">
        <v>44970</v>
      </c>
      <c r="D241" s="8">
        <v>45</v>
      </c>
      <c r="E241" s="5" t="s">
        <v>36</v>
      </c>
      <c r="F241" s="5" t="s">
        <v>32</v>
      </c>
      <c r="G241" s="5" t="s">
        <v>64</v>
      </c>
      <c r="H241" s="7">
        <v>2059.12</v>
      </c>
      <c r="I241" s="3">
        <v>5</v>
      </c>
      <c r="J241" s="3">
        <f t="shared" si="6"/>
        <v>10295.599999999999</v>
      </c>
      <c r="K241" s="4">
        <v>0</v>
      </c>
      <c r="L241" s="23">
        <f t="shared" si="7"/>
        <v>0</v>
      </c>
      <c r="M241" s="7">
        <v>10295.6</v>
      </c>
      <c r="N241" s="5" t="s">
        <v>327</v>
      </c>
      <c r="O241" s="5" t="s">
        <v>33</v>
      </c>
      <c r="P241" s="3">
        <v>3</v>
      </c>
      <c r="Q241" s="3">
        <v>9</v>
      </c>
      <c r="R241" s="5" t="b">
        <v>0</v>
      </c>
      <c r="S241" s="3">
        <v>5</v>
      </c>
      <c r="T241" s="3">
        <v>4</v>
      </c>
    </row>
    <row r="242" spans="1:20">
      <c r="A242" s="5" t="s">
        <v>859</v>
      </c>
      <c r="B242" s="5" t="s">
        <v>860</v>
      </c>
      <c r="C242" s="6">
        <v>45301</v>
      </c>
      <c r="D242" s="8">
        <v>25</v>
      </c>
      <c r="E242" s="5" t="s">
        <v>36</v>
      </c>
      <c r="F242" s="5" t="s">
        <v>49</v>
      </c>
      <c r="G242" s="5" t="s">
        <v>22</v>
      </c>
      <c r="H242" s="7">
        <v>193.18</v>
      </c>
      <c r="I242" s="3">
        <v>4</v>
      </c>
      <c r="J242" s="3">
        <f t="shared" si="6"/>
        <v>772.72</v>
      </c>
      <c r="K242" s="4">
        <v>0</v>
      </c>
      <c r="L242" s="23">
        <f t="shared" si="7"/>
        <v>0</v>
      </c>
      <c r="M242" s="7">
        <v>772.72</v>
      </c>
      <c r="N242" s="5" t="s">
        <v>692</v>
      </c>
      <c r="O242" s="5" t="s">
        <v>33</v>
      </c>
      <c r="P242" s="3">
        <v>15</v>
      </c>
      <c r="Q242" s="3">
        <v>7</v>
      </c>
      <c r="R242" s="5" t="b">
        <v>0</v>
      </c>
      <c r="S242" s="3">
        <v>5</v>
      </c>
      <c r="T242" s="3">
        <v>1</v>
      </c>
    </row>
    <row r="243" spans="1:20">
      <c r="A243" s="5" t="s">
        <v>861</v>
      </c>
      <c r="B243" s="5" t="s">
        <v>862</v>
      </c>
      <c r="C243" s="6">
        <v>45175</v>
      </c>
      <c r="D243" s="8">
        <v>33</v>
      </c>
      <c r="E243" s="5" t="s">
        <v>20</v>
      </c>
      <c r="F243" s="5" t="s">
        <v>76</v>
      </c>
      <c r="G243" s="5" t="s">
        <v>46</v>
      </c>
      <c r="H243" s="7">
        <v>458.12</v>
      </c>
      <c r="I243" s="3">
        <v>1</v>
      </c>
      <c r="J243" s="3">
        <f t="shared" si="6"/>
        <v>458.12</v>
      </c>
      <c r="K243" s="4">
        <v>0</v>
      </c>
      <c r="L243" s="23">
        <f t="shared" si="7"/>
        <v>0</v>
      </c>
      <c r="M243" s="7">
        <v>458.12</v>
      </c>
      <c r="N243" s="5" t="s">
        <v>692</v>
      </c>
      <c r="O243" s="5" t="s">
        <v>33</v>
      </c>
      <c r="P243" s="3">
        <v>9</v>
      </c>
      <c r="Q243" s="3">
        <v>13</v>
      </c>
      <c r="R243" s="5" t="b">
        <v>1</v>
      </c>
      <c r="S243" s="3">
        <v>9</v>
      </c>
      <c r="T243" s="3">
        <v>5</v>
      </c>
    </row>
    <row r="244" spans="1:20">
      <c r="A244" s="5" t="s">
        <v>863</v>
      </c>
      <c r="B244" s="5" t="s">
        <v>864</v>
      </c>
      <c r="C244" s="6">
        <v>45344</v>
      </c>
      <c r="D244" s="8">
        <v>41</v>
      </c>
      <c r="E244" s="5" t="s">
        <v>20</v>
      </c>
      <c r="F244" s="5" t="s">
        <v>49</v>
      </c>
      <c r="G244" s="5" t="s">
        <v>115</v>
      </c>
      <c r="H244" s="7">
        <v>99.82</v>
      </c>
      <c r="I244" s="3">
        <v>1</v>
      </c>
      <c r="J244" s="3">
        <f t="shared" si="6"/>
        <v>99.82</v>
      </c>
      <c r="K244" s="4">
        <v>0</v>
      </c>
      <c r="L244" s="23">
        <f t="shared" si="7"/>
        <v>0</v>
      </c>
      <c r="M244" s="7">
        <v>99.82</v>
      </c>
      <c r="N244" s="5" t="s">
        <v>692</v>
      </c>
      <c r="O244" s="5" t="s">
        <v>33</v>
      </c>
      <c r="P244" s="3">
        <v>22</v>
      </c>
      <c r="Q244" s="3">
        <v>8</v>
      </c>
      <c r="R244" s="5" t="b">
        <v>0</v>
      </c>
      <c r="S244" s="3">
        <v>4</v>
      </c>
      <c r="T244" s="3">
        <v>4</v>
      </c>
    </row>
    <row r="245" spans="1:20">
      <c r="A245" s="5" t="s">
        <v>1343</v>
      </c>
      <c r="B245" s="5" t="s">
        <v>1344</v>
      </c>
      <c r="C245" s="6">
        <v>44962</v>
      </c>
      <c r="D245" s="8">
        <v>45</v>
      </c>
      <c r="E245" s="5" t="s">
        <v>36</v>
      </c>
      <c r="F245" s="5" t="s">
        <v>59</v>
      </c>
      <c r="G245" s="5" t="s">
        <v>22</v>
      </c>
      <c r="H245" s="7">
        <v>21.76</v>
      </c>
      <c r="I245" s="3">
        <v>1</v>
      </c>
      <c r="J245" s="3">
        <f t="shared" si="6"/>
        <v>21.76</v>
      </c>
      <c r="K245" s="4">
        <v>0</v>
      </c>
      <c r="L245" s="23">
        <f t="shared" si="7"/>
        <v>0</v>
      </c>
      <c r="M245" s="7">
        <v>21.76</v>
      </c>
      <c r="N245" s="5" t="s">
        <v>1298</v>
      </c>
      <c r="O245" s="5" t="s">
        <v>24</v>
      </c>
      <c r="P245" s="3">
        <v>8</v>
      </c>
      <c r="Q245" s="3">
        <v>9</v>
      </c>
      <c r="R245" s="5" t="b">
        <v>0</v>
      </c>
      <c r="S245" s="3">
        <v>9</v>
      </c>
      <c r="T245" s="3">
        <v>4</v>
      </c>
    </row>
    <row r="246" spans="1:20">
      <c r="A246" s="5" t="s">
        <v>865</v>
      </c>
      <c r="B246" s="5" t="s">
        <v>866</v>
      </c>
      <c r="C246" s="6">
        <v>45316</v>
      </c>
      <c r="D246" s="8">
        <v>20</v>
      </c>
      <c r="E246" s="5" t="s">
        <v>36</v>
      </c>
      <c r="F246" s="5" t="s">
        <v>32</v>
      </c>
      <c r="G246" s="5" t="s">
        <v>46</v>
      </c>
      <c r="H246" s="7">
        <v>308.55</v>
      </c>
      <c r="I246" s="3">
        <v>3</v>
      </c>
      <c r="J246" s="3">
        <f t="shared" si="6"/>
        <v>925.65000000000009</v>
      </c>
      <c r="K246" s="4">
        <v>52.33</v>
      </c>
      <c r="L246" s="23">
        <f t="shared" si="7"/>
        <v>5.6533246907578452E-2</v>
      </c>
      <c r="M246" s="7">
        <v>873.32</v>
      </c>
      <c r="N246" s="5" t="s">
        <v>692</v>
      </c>
      <c r="O246" s="5" t="s">
        <v>24</v>
      </c>
      <c r="P246" s="3">
        <v>27</v>
      </c>
      <c r="Q246" s="3">
        <v>9</v>
      </c>
      <c r="R246" s="5" t="b">
        <v>0</v>
      </c>
      <c r="S246" s="3">
        <v>7</v>
      </c>
      <c r="T246" s="3">
        <v>5</v>
      </c>
    </row>
    <row r="247" spans="1:20">
      <c r="A247" s="5" t="s">
        <v>867</v>
      </c>
      <c r="B247" s="5" t="s">
        <v>868</v>
      </c>
      <c r="C247" s="6">
        <v>45199</v>
      </c>
      <c r="D247" s="8">
        <v>30</v>
      </c>
      <c r="E247" s="5" t="s">
        <v>36</v>
      </c>
      <c r="F247" s="5" t="s">
        <v>52</v>
      </c>
      <c r="G247" s="5" t="s">
        <v>37</v>
      </c>
      <c r="H247" s="7">
        <v>221.35</v>
      </c>
      <c r="I247" s="3">
        <v>5</v>
      </c>
      <c r="J247" s="3">
        <f t="shared" si="6"/>
        <v>1106.75</v>
      </c>
      <c r="K247" s="4">
        <v>0</v>
      </c>
      <c r="L247" s="23">
        <f t="shared" si="7"/>
        <v>0</v>
      </c>
      <c r="M247" s="7">
        <v>1106.75</v>
      </c>
      <c r="N247" s="5" t="s">
        <v>692</v>
      </c>
      <c r="O247" s="5" t="s">
        <v>33</v>
      </c>
      <c r="P247" s="3">
        <v>20</v>
      </c>
      <c r="Q247" s="3">
        <v>6</v>
      </c>
      <c r="R247" s="5" t="b">
        <v>0</v>
      </c>
      <c r="S247" s="3">
        <v>3</v>
      </c>
      <c r="T247" s="3">
        <v>5</v>
      </c>
    </row>
    <row r="248" spans="1:20">
      <c r="A248" s="5" t="s">
        <v>869</v>
      </c>
      <c r="B248" s="5" t="s">
        <v>870</v>
      </c>
      <c r="C248" s="6">
        <v>45319</v>
      </c>
      <c r="D248" s="8">
        <v>29</v>
      </c>
      <c r="E248" s="5" t="s">
        <v>36</v>
      </c>
      <c r="F248" s="5" t="s">
        <v>88</v>
      </c>
      <c r="G248" s="5" t="s">
        <v>56</v>
      </c>
      <c r="H248" s="7">
        <v>225.7</v>
      </c>
      <c r="I248" s="3">
        <v>1</v>
      </c>
      <c r="J248" s="3">
        <f t="shared" si="6"/>
        <v>225.7</v>
      </c>
      <c r="K248" s="4">
        <v>0</v>
      </c>
      <c r="L248" s="23">
        <f t="shared" si="7"/>
        <v>0</v>
      </c>
      <c r="M248" s="7">
        <v>225.7</v>
      </c>
      <c r="N248" s="5" t="s">
        <v>692</v>
      </c>
      <c r="O248" s="5" t="s">
        <v>33</v>
      </c>
      <c r="P248" s="3">
        <v>5</v>
      </c>
      <c r="Q248" s="3">
        <v>7</v>
      </c>
      <c r="R248" s="5" t="b">
        <v>1</v>
      </c>
      <c r="S248" s="3">
        <v>7</v>
      </c>
      <c r="T248" s="3">
        <v>5</v>
      </c>
    </row>
    <row r="249" spans="1:20">
      <c r="A249" s="5" t="s">
        <v>1345</v>
      </c>
      <c r="B249" s="5" t="s">
        <v>1346</v>
      </c>
      <c r="C249" s="6">
        <v>44991</v>
      </c>
      <c r="D249" s="8">
        <v>27</v>
      </c>
      <c r="E249" s="5" t="s">
        <v>20</v>
      </c>
      <c r="F249" s="5" t="s">
        <v>27</v>
      </c>
      <c r="G249" s="5" t="s">
        <v>56</v>
      </c>
      <c r="H249" s="7">
        <v>353.9</v>
      </c>
      <c r="I249" s="3">
        <v>1</v>
      </c>
      <c r="J249" s="3">
        <f t="shared" si="6"/>
        <v>353.9</v>
      </c>
      <c r="K249" s="4">
        <v>29.33</v>
      </c>
      <c r="L249" s="23">
        <f t="shared" si="7"/>
        <v>8.2876518790618817E-2</v>
      </c>
      <c r="M249" s="7">
        <v>324.57</v>
      </c>
      <c r="N249" s="5" t="s">
        <v>1298</v>
      </c>
      <c r="O249" s="5" t="s">
        <v>29</v>
      </c>
      <c r="P249" s="3">
        <v>29</v>
      </c>
      <c r="Q249" s="3">
        <v>12</v>
      </c>
      <c r="R249" s="5" t="b">
        <v>0</v>
      </c>
      <c r="S249" s="3">
        <v>6</v>
      </c>
      <c r="T249" s="3">
        <v>5</v>
      </c>
    </row>
    <row r="250" spans="1:20">
      <c r="A250" s="5" t="s">
        <v>456</v>
      </c>
      <c r="B250" s="5" t="s">
        <v>457</v>
      </c>
      <c r="C250" s="6">
        <v>44992</v>
      </c>
      <c r="D250" s="8">
        <v>56</v>
      </c>
      <c r="E250" s="5" t="s">
        <v>36</v>
      </c>
      <c r="F250" s="5" t="s">
        <v>49</v>
      </c>
      <c r="G250" s="5" t="s">
        <v>46</v>
      </c>
      <c r="H250" s="7">
        <v>77.87</v>
      </c>
      <c r="I250" s="3">
        <v>2</v>
      </c>
      <c r="J250" s="3">
        <f t="shared" si="6"/>
        <v>155.74</v>
      </c>
      <c r="K250" s="4">
        <v>13.24</v>
      </c>
      <c r="L250" s="23">
        <f t="shared" si="7"/>
        <v>8.5013484011814563E-2</v>
      </c>
      <c r="M250" s="7">
        <v>142.5</v>
      </c>
      <c r="N250" s="5" t="s">
        <v>327</v>
      </c>
      <c r="O250" s="5" t="s">
        <v>33</v>
      </c>
      <c r="P250" s="3">
        <v>15</v>
      </c>
      <c r="Q250" s="3">
        <v>9</v>
      </c>
      <c r="R250" s="5" t="b">
        <v>1</v>
      </c>
      <c r="S250" s="3">
        <v>2</v>
      </c>
      <c r="T250" s="3">
        <v>4</v>
      </c>
    </row>
    <row r="251" spans="1:20">
      <c r="A251" s="5" t="s">
        <v>1258</v>
      </c>
      <c r="B251" s="5" t="s">
        <v>1259</v>
      </c>
      <c r="C251" s="6">
        <v>45264</v>
      </c>
      <c r="D251" s="8">
        <v>39</v>
      </c>
      <c r="E251" s="5" t="s">
        <v>20</v>
      </c>
      <c r="F251" s="5" t="s">
        <v>49</v>
      </c>
      <c r="G251" s="5" t="s">
        <v>53</v>
      </c>
      <c r="H251" s="7">
        <v>37.119999999999997</v>
      </c>
      <c r="I251" s="3">
        <v>1</v>
      </c>
      <c r="J251" s="3">
        <f t="shared" si="6"/>
        <v>37.119999999999997</v>
      </c>
      <c r="K251" s="4">
        <v>0</v>
      </c>
      <c r="L251" s="23">
        <f t="shared" si="7"/>
        <v>0</v>
      </c>
      <c r="M251" s="7">
        <v>37.119999999999997</v>
      </c>
      <c r="N251" s="5" t="s">
        <v>1231</v>
      </c>
      <c r="O251" s="5" t="s">
        <v>33</v>
      </c>
      <c r="P251" s="3">
        <v>12</v>
      </c>
      <c r="Q251" s="3">
        <v>4</v>
      </c>
      <c r="R251" s="5" t="b">
        <v>1</v>
      </c>
      <c r="S251" s="3">
        <v>3</v>
      </c>
      <c r="T251" s="3">
        <v>4</v>
      </c>
    </row>
    <row r="252" spans="1:20">
      <c r="A252" s="5" t="s">
        <v>151</v>
      </c>
      <c r="B252" s="5" t="s">
        <v>152</v>
      </c>
      <c r="C252" s="6">
        <v>45170</v>
      </c>
      <c r="D252" s="8">
        <v>19</v>
      </c>
      <c r="E252" s="5" t="s">
        <v>20</v>
      </c>
      <c r="F252" s="5" t="s">
        <v>21</v>
      </c>
      <c r="G252" s="5" t="s">
        <v>56</v>
      </c>
      <c r="H252" s="7">
        <v>555.28</v>
      </c>
      <c r="I252" s="3">
        <v>1</v>
      </c>
      <c r="J252" s="3">
        <f t="shared" si="6"/>
        <v>555.28</v>
      </c>
      <c r="K252" s="4">
        <v>0</v>
      </c>
      <c r="L252" s="23">
        <f t="shared" si="7"/>
        <v>0</v>
      </c>
      <c r="M252" s="7">
        <v>555.28</v>
      </c>
      <c r="N252" s="5" t="s">
        <v>23</v>
      </c>
      <c r="O252" s="5" t="s">
        <v>24</v>
      </c>
      <c r="P252" s="3">
        <v>7</v>
      </c>
      <c r="Q252" s="3">
        <v>8</v>
      </c>
      <c r="R252" s="5" t="b">
        <v>0</v>
      </c>
      <c r="S252" s="3">
        <v>8</v>
      </c>
      <c r="T252" s="3">
        <v>3</v>
      </c>
    </row>
    <row r="253" spans="1:20">
      <c r="A253" s="5" t="s">
        <v>1347</v>
      </c>
      <c r="B253" s="5" t="s">
        <v>1348</v>
      </c>
      <c r="C253" s="6">
        <v>45208</v>
      </c>
      <c r="D253" s="8">
        <v>46</v>
      </c>
      <c r="E253" s="5" t="s">
        <v>20</v>
      </c>
      <c r="F253" s="5" t="s">
        <v>32</v>
      </c>
      <c r="G253" s="5" t="s">
        <v>115</v>
      </c>
      <c r="H253" s="7">
        <v>263.52999999999997</v>
      </c>
      <c r="I253" s="3">
        <v>5</v>
      </c>
      <c r="J253" s="3">
        <f t="shared" si="6"/>
        <v>1317.6499999999999</v>
      </c>
      <c r="K253" s="4">
        <v>0</v>
      </c>
      <c r="L253" s="23">
        <f t="shared" si="7"/>
        <v>0</v>
      </c>
      <c r="M253" s="7">
        <v>1317.65</v>
      </c>
      <c r="N253" s="5" t="s">
        <v>1298</v>
      </c>
      <c r="O253" s="5" t="s">
        <v>33</v>
      </c>
      <c r="P253" s="3">
        <v>14</v>
      </c>
      <c r="Q253" s="3">
        <v>9</v>
      </c>
      <c r="R253" s="5" t="b">
        <v>1</v>
      </c>
      <c r="S253" s="3">
        <v>4</v>
      </c>
      <c r="T253" s="3">
        <v>5</v>
      </c>
    </row>
    <row r="254" spans="1:20">
      <c r="A254" s="5" t="s">
        <v>871</v>
      </c>
      <c r="B254" s="5" t="s">
        <v>872</v>
      </c>
      <c r="C254" s="6">
        <v>45011</v>
      </c>
      <c r="D254" s="8">
        <v>60</v>
      </c>
      <c r="E254" s="5" t="s">
        <v>20</v>
      </c>
      <c r="F254" s="5" t="s">
        <v>59</v>
      </c>
      <c r="G254" s="5" t="s">
        <v>53</v>
      </c>
      <c r="H254" s="7">
        <v>64.23</v>
      </c>
      <c r="I254" s="3">
        <v>3</v>
      </c>
      <c r="J254" s="3">
        <f t="shared" si="6"/>
        <v>192.69</v>
      </c>
      <c r="K254" s="4">
        <v>0</v>
      </c>
      <c r="L254" s="23">
        <f t="shared" si="7"/>
        <v>0</v>
      </c>
      <c r="M254" s="7">
        <v>192.69</v>
      </c>
      <c r="N254" s="5" t="s">
        <v>692</v>
      </c>
      <c r="O254" s="5" t="s">
        <v>24</v>
      </c>
      <c r="P254" s="3">
        <v>22</v>
      </c>
      <c r="Q254" s="3">
        <v>8</v>
      </c>
      <c r="R254" s="5" t="b">
        <v>0</v>
      </c>
      <c r="S254" s="3">
        <v>6</v>
      </c>
      <c r="T254" s="3">
        <v>5</v>
      </c>
    </row>
    <row r="255" spans="1:20">
      <c r="A255" s="5" t="s">
        <v>873</v>
      </c>
      <c r="B255" s="5" t="s">
        <v>874</v>
      </c>
      <c r="C255" s="6">
        <v>45062</v>
      </c>
      <c r="D255" s="8">
        <v>47</v>
      </c>
      <c r="E255" s="5" t="s">
        <v>36</v>
      </c>
      <c r="F255" s="5" t="s">
        <v>49</v>
      </c>
      <c r="G255" s="5" t="s">
        <v>46</v>
      </c>
      <c r="H255" s="7">
        <v>322.29000000000002</v>
      </c>
      <c r="I255" s="3">
        <v>3</v>
      </c>
      <c r="J255" s="3">
        <f t="shared" si="6"/>
        <v>966.87000000000012</v>
      </c>
      <c r="K255" s="4">
        <v>0</v>
      </c>
      <c r="L255" s="23">
        <f t="shared" si="7"/>
        <v>0</v>
      </c>
      <c r="M255" s="7">
        <v>966.87</v>
      </c>
      <c r="N255" s="5" t="s">
        <v>692</v>
      </c>
      <c r="O255" s="5" t="s">
        <v>33</v>
      </c>
      <c r="P255" s="3">
        <v>16</v>
      </c>
      <c r="Q255" s="3">
        <v>6</v>
      </c>
      <c r="R255" s="5" t="b">
        <v>0</v>
      </c>
      <c r="S255" s="3">
        <v>10</v>
      </c>
      <c r="T255" s="3">
        <v>4</v>
      </c>
    </row>
    <row r="256" spans="1:20">
      <c r="A256" s="5" t="s">
        <v>875</v>
      </c>
      <c r="B256" s="5" t="s">
        <v>876</v>
      </c>
      <c r="C256" s="6">
        <v>45197</v>
      </c>
      <c r="D256" s="8">
        <v>18</v>
      </c>
      <c r="E256" s="5" t="s">
        <v>20</v>
      </c>
      <c r="F256" s="5" t="s">
        <v>21</v>
      </c>
      <c r="G256" s="5" t="s">
        <v>37</v>
      </c>
      <c r="H256" s="7">
        <v>33.17</v>
      </c>
      <c r="I256" s="3">
        <v>1</v>
      </c>
      <c r="J256" s="3">
        <f t="shared" si="6"/>
        <v>33.17</v>
      </c>
      <c r="K256" s="4">
        <v>2.64</v>
      </c>
      <c r="L256" s="23">
        <f t="shared" si="7"/>
        <v>7.9589990955682852E-2</v>
      </c>
      <c r="M256" s="7">
        <v>30.53</v>
      </c>
      <c r="N256" s="5" t="s">
        <v>692</v>
      </c>
      <c r="O256" s="5" t="s">
        <v>33</v>
      </c>
      <c r="P256" s="3">
        <v>17</v>
      </c>
      <c r="Q256" s="3">
        <v>12</v>
      </c>
      <c r="R256" s="5" t="b">
        <v>1</v>
      </c>
      <c r="S256" s="3">
        <v>5</v>
      </c>
      <c r="T256" s="3">
        <v>2</v>
      </c>
    </row>
    <row r="257" spans="1:20">
      <c r="A257" s="5" t="s">
        <v>458</v>
      </c>
      <c r="B257" s="5" t="s">
        <v>459</v>
      </c>
      <c r="C257" s="6">
        <v>45373</v>
      </c>
      <c r="D257" s="8">
        <v>29</v>
      </c>
      <c r="E257" s="5" t="s">
        <v>20</v>
      </c>
      <c r="F257" s="5" t="s">
        <v>88</v>
      </c>
      <c r="G257" s="5" t="s">
        <v>46</v>
      </c>
      <c r="H257" s="7">
        <v>269.26</v>
      </c>
      <c r="I257" s="3">
        <v>5</v>
      </c>
      <c r="J257" s="3">
        <f t="shared" si="6"/>
        <v>1346.3</v>
      </c>
      <c r="K257" s="4">
        <v>0</v>
      </c>
      <c r="L257" s="23">
        <f t="shared" si="7"/>
        <v>0</v>
      </c>
      <c r="M257" s="7">
        <v>1346.3</v>
      </c>
      <c r="N257" s="5" t="s">
        <v>327</v>
      </c>
      <c r="O257" s="5" t="s">
        <v>33</v>
      </c>
      <c r="P257" s="3">
        <v>13</v>
      </c>
      <c r="Q257" s="3">
        <v>11</v>
      </c>
      <c r="R257" s="5" t="b">
        <v>0</v>
      </c>
      <c r="S257" s="3">
        <v>10</v>
      </c>
      <c r="T257" s="3">
        <v>3</v>
      </c>
    </row>
    <row r="258" spans="1:20">
      <c r="A258" s="5" t="s">
        <v>153</v>
      </c>
      <c r="B258" s="5" t="s">
        <v>154</v>
      </c>
      <c r="C258" s="6">
        <v>45237</v>
      </c>
      <c r="D258" s="8">
        <v>50</v>
      </c>
      <c r="E258" s="5" t="s">
        <v>20</v>
      </c>
      <c r="F258" s="5" t="s">
        <v>52</v>
      </c>
      <c r="G258" s="5" t="s">
        <v>37</v>
      </c>
      <c r="H258" s="7">
        <v>54.26</v>
      </c>
      <c r="I258" s="3">
        <v>4</v>
      </c>
      <c r="J258" s="3">
        <f t="shared" si="6"/>
        <v>217.04</v>
      </c>
      <c r="K258" s="4">
        <v>13.67</v>
      </c>
      <c r="L258" s="23">
        <f t="shared" si="7"/>
        <v>6.2983781791374857E-2</v>
      </c>
      <c r="M258" s="7">
        <v>203.37</v>
      </c>
      <c r="N258" s="5" t="s">
        <v>23</v>
      </c>
      <c r="O258" s="5" t="s">
        <v>33</v>
      </c>
      <c r="P258" s="3">
        <v>25</v>
      </c>
      <c r="Q258" s="3">
        <v>7</v>
      </c>
      <c r="R258" s="5" t="b">
        <v>0</v>
      </c>
      <c r="S258" s="3">
        <v>3</v>
      </c>
      <c r="T258" s="3">
        <v>5</v>
      </c>
    </row>
    <row r="259" spans="1:20">
      <c r="A259" s="5" t="s">
        <v>877</v>
      </c>
      <c r="B259" s="5" t="s">
        <v>878</v>
      </c>
      <c r="C259" s="6">
        <v>45143</v>
      </c>
      <c r="D259" s="8">
        <v>26</v>
      </c>
      <c r="E259" s="5" t="s">
        <v>36</v>
      </c>
      <c r="F259" s="5" t="s">
        <v>52</v>
      </c>
      <c r="G259" s="5" t="s">
        <v>28</v>
      </c>
      <c r="H259" s="7">
        <v>23.78</v>
      </c>
      <c r="I259" s="3">
        <v>2</v>
      </c>
      <c r="J259" s="3">
        <f t="shared" ref="J259:J322" si="8">H259*I259</f>
        <v>47.56</v>
      </c>
      <c r="K259" s="4">
        <v>2.1800000000000002</v>
      </c>
      <c r="L259" s="23">
        <f t="shared" ref="L259:L322" si="9">IF(J259=0,0,K259/J259)</f>
        <v>4.5836837678721619E-2</v>
      </c>
      <c r="M259" s="7">
        <v>45.38</v>
      </c>
      <c r="N259" s="5" t="s">
        <v>692</v>
      </c>
      <c r="O259" s="5" t="s">
        <v>33</v>
      </c>
      <c r="P259" s="3">
        <v>15</v>
      </c>
      <c r="Q259" s="3">
        <v>9</v>
      </c>
      <c r="R259" s="5" t="b">
        <v>0</v>
      </c>
      <c r="S259" s="3">
        <v>10</v>
      </c>
      <c r="T259" s="3">
        <v>3</v>
      </c>
    </row>
    <row r="260" spans="1:20">
      <c r="A260" s="5" t="s">
        <v>879</v>
      </c>
      <c r="B260" s="5" t="s">
        <v>880</v>
      </c>
      <c r="C260" s="6">
        <v>45035</v>
      </c>
      <c r="D260" s="8">
        <v>40</v>
      </c>
      <c r="E260" s="5" t="s">
        <v>36</v>
      </c>
      <c r="F260" s="5" t="s">
        <v>88</v>
      </c>
      <c r="G260" s="5" t="s">
        <v>56</v>
      </c>
      <c r="H260" s="7">
        <v>219.57</v>
      </c>
      <c r="I260" s="3">
        <v>1</v>
      </c>
      <c r="J260" s="3">
        <f t="shared" si="8"/>
        <v>219.57</v>
      </c>
      <c r="K260" s="4">
        <v>0</v>
      </c>
      <c r="L260" s="23">
        <f t="shared" si="9"/>
        <v>0</v>
      </c>
      <c r="M260" s="7">
        <v>219.57</v>
      </c>
      <c r="N260" s="5" t="s">
        <v>692</v>
      </c>
      <c r="O260" s="5" t="s">
        <v>33</v>
      </c>
      <c r="P260" s="3">
        <v>8</v>
      </c>
      <c r="Q260" s="3">
        <v>9</v>
      </c>
      <c r="R260" s="5" t="b">
        <v>0</v>
      </c>
      <c r="S260" s="3">
        <v>3</v>
      </c>
      <c r="T260" s="3">
        <v>5</v>
      </c>
    </row>
    <row r="261" spans="1:20">
      <c r="A261" s="5" t="s">
        <v>460</v>
      </c>
      <c r="B261" s="5" t="s">
        <v>461</v>
      </c>
      <c r="C261" s="6">
        <v>45203</v>
      </c>
      <c r="D261" s="8">
        <v>44</v>
      </c>
      <c r="E261" s="5" t="s">
        <v>20</v>
      </c>
      <c r="F261" s="5" t="s">
        <v>59</v>
      </c>
      <c r="G261" s="5" t="s">
        <v>115</v>
      </c>
      <c r="H261" s="7">
        <v>45.4</v>
      </c>
      <c r="I261" s="3">
        <v>1</v>
      </c>
      <c r="J261" s="3">
        <f t="shared" si="8"/>
        <v>45.4</v>
      </c>
      <c r="K261" s="4">
        <v>0</v>
      </c>
      <c r="L261" s="23">
        <f t="shared" si="9"/>
        <v>0</v>
      </c>
      <c r="M261" s="7">
        <v>45.4</v>
      </c>
      <c r="N261" s="5" t="s">
        <v>327</v>
      </c>
      <c r="O261" s="5" t="s">
        <v>24</v>
      </c>
      <c r="P261" s="3">
        <v>9</v>
      </c>
      <c r="Q261" s="3">
        <v>5</v>
      </c>
      <c r="R261" s="5" t="b">
        <v>1</v>
      </c>
      <c r="S261" s="3">
        <v>7</v>
      </c>
      <c r="T261" s="3">
        <v>5</v>
      </c>
    </row>
    <row r="262" spans="1:20">
      <c r="A262" s="5" t="s">
        <v>881</v>
      </c>
      <c r="B262" s="5" t="s">
        <v>882</v>
      </c>
      <c r="C262" s="6">
        <v>45313</v>
      </c>
      <c r="D262" s="8">
        <v>23</v>
      </c>
      <c r="E262" s="5" t="s">
        <v>20</v>
      </c>
      <c r="F262" s="5" t="s">
        <v>21</v>
      </c>
      <c r="G262" s="5" t="s">
        <v>53</v>
      </c>
      <c r="H262" s="7">
        <v>42.64</v>
      </c>
      <c r="I262" s="3">
        <v>5</v>
      </c>
      <c r="J262" s="3">
        <f t="shared" si="8"/>
        <v>213.2</v>
      </c>
      <c r="K262" s="4">
        <v>0</v>
      </c>
      <c r="L262" s="23">
        <f t="shared" si="9"/>
        <v>0</v>
      </c>
      <c r="M262" s="7">
        <v>213.2</v>
      </c>
      <c r="N262" s="5" t="s">
        <v>692</v>
      </c>
      <c r="O262" s="5" t="s">
        <v>24</v>
      </c>
      <c r="P262" s="3">
        <v>13</v>
      </c>
      <c r="Q262" s="3">
        <v>4</v>
      </c>
      <c r="R262" s="5" t="b">
        <v>0</v>
      </c>
      <c r="S262" s="3">
        <v>9</v>
      </c>
      <c r="T262" s="3">
        <v>5</v>
      </c>
    </row>
    <row r="263" spans="1:20">
      <c r="A263" s="5" t="s">
        <v>462</v>
      </c>
      <c r="B263" s="5" t="s">
        <v>463</v>
      </c>
      <c r="C263" s="6">
        <v>45300</v>
      </c>
      <c r="D263" s="8">
        <v>34</v>
      </c>
      <c r="E263" s="5" t="s">
        <v>20</v>
      </c>
      <c r="F263" s="5" t="s">
        <v>32</v>
      </c>
      <c r="G263" s="5" t="s">
        <v>115</v>
      </c>
      <c r="H263" s="7">
        <v>98.63</v>
      </c>
      <c r="I263" s="3">
        <v>4</v>
      </c>
      <c r="J263" s="3">
        <f t="shared" si="8"/>
        <v>394.52</v>
      </c>
      <c r="K263" s="4">
        <v>0</v>
      </c>
      <c r="L263" s="23">
        <f t="shared" si="9"/>
        <v>0</v>
      </c>
      <c r="M263" s="7">
        <v>394.52</v>
      </c>
      <c r="N263" s="5" t="s">
        <v>327</v>
      </c>
      <c r="O263" s="5" t="s">
        <v>33</v>
      </c>
      <c r="P263" s="3">
        <v>11</v>
      </c>
      <c r="Q263" s="3">
        <v>7</v>
      </c>
      <c r="R263" s="5" t="b">
        <v>0</v>
      </c>
      <c r="S263" s="3">
        <v>14</v>
      </c>
      <c r="T263" s="3">
        <v>1</v>
      </c>
    </row>
    <row r="264" spans="1:20">
      <c r="A264" s="5" t="s">
        <v>883</v>
      </c>
      <c r="B264" s="5" t="s">
        <v>884</v>
      </c>
      <c r="C264" s="6">
        <v>45280</v>
      </c>
      <c r="D264" s="8">
        <v>18</v>
      </c>
      <c r="E264" s="5" t="s">
        <v>36</v>
      </c>
      <c r="F264" s="5" t="s">
        <v>32</v>
      </c>
      <c r="G264" s="5" t="s">
        <v>46</v>
      </c>
      <c r="H264" s="7">
        <v>1125.8800000000001</v>
      </c>
      <c r="I264" s="3">
        <v>1</v>
      </c>
      <c r="J264" s="3">
        <f t="shared" si="8"/>
        <v>1125.8800000000001</v>
      </c>
      <c r="K264" s="4">
        <v>160.21</v>
      </c>
      <c r="L264" s="23">
        <f t="shared" si="9"/>
        <v>0.14229758055920702</v>
      </c>
      <c r="M264" s="7">
        <v>965.67</v>
      </c>
      <c r="N264" s="5" t="s">
        <v>692</v>
      </c>
      <c r="O264" s="5" t="s">
        <v>24</v>
      </c>
      <c r="P264" s="3">
        <v>23</v>
      </c>
      <c r="Q264" s="3">
        <v>3</v>
      </c>
      <c r="R264" s="5" t="b">
        <v>1</v>
      </c>
      <c r="S264" s="3">
        <v>18</v>
      </c>
      <c r="T264" s="3">
        <v>5</v>
      </c>
    </row>
    <row r="265" spans="1:20">
      <c r="A265" s="5" t="s">
        <v>155</v>
      </c>
      <c r="B265" s="5" t="s">
        <v>156</v>
      </c>
      <c r="C265" s="6">
        <v>45029</v>
      </c>
      <c r="D265" s="8">
        <v>22</v>
      </c>
      <c r="E265" s="5" t="s">
        <v>36</v>
      </c>
      <c r="F265" s="5" t="s">
        <v>49</v>
      </c>
      <c r="G265" s="5" t="s">
        <v>28</v>
      </c>
      <c r="H265" s="7">
        <v>122.17</v>
      </c>
      <c r="I265" s="3">
        <v>1</v>
      </c>
      <c r="J265" s="3">
        <f t="shared" si="8"/>
        <v>122.17</v>
      </c>
      <c r="K265" s="4">
        <v>0</v>
      </c>
      <c r="L265" s="23">
        <f t="shared" si="9"/>
        <v>0</v>
      </c>
      <c r="M265" s="7">
        <v>122.17</v>
      </c>
      <c r="N265" s="5" t="s">
        <v>23</v>
      </c>
      <c r="O265" s="5" t="s">
        <v>33</v>
      </c>
      <c r="P265" s="3">
        <v>17</v>
      </c>
      <c r="Q265" s="3">
        <v>7</v>
      </c>
      <c r="R265" s="5" t="b">
        <v>1</v>
      </c>
      <c r="S265" s="3">
        <v>3</v>
      </c>
      <c r="T265" s="3">
        <v>5</v>
      </c>
    </row>
    <row r="266" spans="1:20">
      <c r="A266" s="5" t="s">
        <v>464</v>
      </c>
      <c r="B266" s="5" t="s">
        <v>465</v>
      </c>
      <c r="C266" s="6">
        <v>45292</v>
      </c>
      <c r="D266" s="8">
        <v>31</v>
      </c>
      <c r="E266" s="5" t="s">
        <v>36</v>
      </c>
      <c r="F266" s="5" t="s">
        <v>52</v>
      </c>
      <c r="G266" s="5" t="s">
        <v>56</v>
      </c>
      <c r="H266" s="7">
        <v>1069.82</v>
      </c>
      <c r="I266" s="3">
        <v>1</v>
      </c>
      <c r="J266" s="3">
        <f t="shared" si="8"/>
        <v>1069.82</v>
      </c>
      <c r="K266" s="4">
        <v>0</v>
      </c>
      <c r="L266" s="23">
        <f t="shared" si="9"/>
        <v>0</v>
      </c>
      <c r="M266" s="7">
        <v>1069.82</v>
      </c>
      <c r="N266" s="5" t="s">
        <v>327</v>
      </c>
      <c r="O266" s="5" t="s">
        <v>33</v>
      </c>
      <c r="P266" s="3">
        <v>13</v>
      </c>
      <c r="Q266" s="3">
        <v>11</v>
      </c>
      <c r="R266" s="5" t="b">
        <v>0</v>
      </c>
      <c r="S266" s="3">
        <v>15</v>
      </c>
      <c r="T266" s="3">
        <v>2</v>
      </c>
    </row>
    <row r="267" spans="1:20">
      <c r="A267" s="5" t="s">
        <v>466</v>
      </c>
      <c r="B267" s="5" t="s">
        <v>467</v>
      </c>
      <c r="C267" s="6">
        <v>45086</v>
      </c>
      <c r="D267" s="8">
        <v>20</v>
      </c>
      <c r="E267" s="5" t="s">
        <v>36</v>
      </c>
      <c r="F267" s="5" t="s">
        <v>59</v>
      </c>
      <c r="G267" s="5" t="s">
        <v>115</v>
      </c>
      <c r="H267" s="7">
        <v>44.35</v>
      </c>
      <c r="I267" s="3">
        <v>3</v>
      </c>
      <c r="J267" s="3">
        <f t="shared" si="8"/>
        <v>133.05000000000001</v>
      </c>
      <c r="K267" s="4">
        <v>0</v>
      </c>
      <c r="L267" s="23">
        <f t="shared" si="9"/>
        <v>0</v>
      </c>
      <c r="M267" s="7">
        <v>133.05000000000001</v>
      </c>
      <c r="N267" s="5" t="s">
        <v>327</v>
      </c>
      <c r="O267" s="5" t="s">
        <v>24</v>
      </c>
      <c r="P267" s="3">
        <v>8</v>
      </c>
      <c r="Q267" s="3">
        <v>10</v>
      </c>
      <c r="R267" s="5" t="b">
        <v>1</v>
      </c>
      <c r="S267" s="3">
        <v>7</v>
      </c>
      <c r="T267" s="3">
        <v>4</v>
      </c>
    </row>
    <row r="268" spans="1:20">
      <c r="A268" s="5" t="s">
        <v>885</v>
      </c>
      <c r="B268" s="5" t="s">
        <v>886</v>
      </c>
      <c r="C268" s="6">
        <v>45131</v>
      </c>
      <c r="D268" s="8">
        <v>54</v>
      </c>
      <c r="E268" s="5" t="s">
        <v>20</v>
      </c>
      <c r="F268" s="5" t="s">
        <v>76</v>
      </c>
      <c r="G268" s="5" t="s">
        <v>28</v>
      </c>
      <c r="H268" s="7">
        <v>72.260000000000005</v>
      </c>
      <c r="I268" s="3">
        <v>1</v>
      </c>
      <c r="J268" s="3">
        <f t="shared" si="8"/>
        <v>72.260000000000005</v>
      </c>
      <c r="K268" s="4">
        <v>0</v>
      </c>
      <c r="L268" s="23">
        <f t="shared" si="9"/>
        <v>0</v>
      </c>
      <c r="M268" s="7">
        <v>72.260000000000005</v>
      </c>
      <c r="N268" s="5" t="s">
        <v>692</v>
      </c>
      <c r="O268" s="5" t="s">
        <v>29</v>
      </c>
      <c r="P268" s="3">
        <v>11</v>
      </c>
      <c r="Q268" s="3">
        <v>9</v>
      </c>
      <c r="R268" s="5" t="b">
        <v>0</v>
      </c>
      <c r="S268" s="3">
        <v>4</v>
      </c>
      <c r="T268" s="3">
        <v>5</v>
      </c>
    </row>
    <row r="269" spans="1:20">
      <c r="A269" s="5" t="s">
        <v>887</v>
      </c>
      <c r="B269" s="5" t="s">
        <v>888</v>
      </c>
      <c r="C269" s="6">
        <v>45270</v>
      </c>
      <c r="D269" s="8">
        <v>18</v>
      </c>
      <c r="E269" s="5" t="s">
        <v>36</v>
      </c>
      <c r="F269" s="5" t="s">
        <v>59</v>
      </c>
      <c r="G269" s="5" t="s">
        <v>37</v>
      </c>
      <c r="H269" s="7">
        <v>147.04</v>
      </c>
      <c r="I269" s="3">
        <v>4</v>
      </c>
      <c r="J269" s="3">
        <f t="shared" si="8"/>
        <v>588.16</v>
      </c>
      <c r="K269" s="4">
        <v>11.25</v>
      </c>
      <c r="L269" s="23">
        <f t="shared" si="9"/>
        <v>1.9127448313384116E-2</v>
      </c>
      <c r="M269" s="7">
        <v>576.91</v>
      </c>
      <c r="N269" s="5" t="s">
        <v>692</v>
      </c>
      <c r="O269" s="5" t="s">
        <v>33</v>
      </c>
      <c r="P269" s="3">
        <v>10</v>
      </c>
      <c r="Q269" s="3">
        <v>7</v>
      </c>
      <c r="R269" s="5" t="b">
        <v>1</v>
      </c>
      <c r="S269" s="3">
        <v>12</v>
      </c>
      <c r="T269" s="3">
        <v>5</v>
      </c>
    </row>
    <row r="270" spans="1:20">
      <c r="A270" s="5" t="s">
        <v>157</v>
      </c>
      <c r="B270" s="5" t="s">
        <v>158</v>
      </c>
      <c r="C270" s="6">
        <v>45259</v>
      </c>
      <c r="D270" s="8">
        <v>29</v>
      </c>
      <c r="E270" s="5" t="s">
        <v>36</v>
      </c>
      <c r="F270" s="5" t="s">
        <v>52</v>
      </c>
      <c r="G270" s="5" t="s">
        <v>46</v>
      </c>
      <c r="H270" s="7">
        <v>318.48</v>
      </c>
      <c r="I270" s="3">
        <v>3</v>
      </c>
      <c r="J270" s="3">
        <f t="shared" si="8"/>
        <v>955.44</v>
      </c>
      <c r="K270" s="4">
        <v>0</v>
      </c>
      <c r="L270" s="23">
        <f t="shared" si="9"/>
        <v>0</v>
      </c>
      <c r="M270" s="7">
        <v>955.44</v>
      </c>
      <c r="N270" s="5" t="s">
        <v>23</v>
      </c>
      <c r="O270" s="5" t="s">
        <v>24</v>
      </c>
      <c r="P270" s="3">
        <v>20</v>
      </c>
      <c r="Q270" s="3">
        <v>9</v>
      </c>
      <c r="R270" s="5" t="b">
        <v>1</v>
      </c>
      <c r="S270" s="3">
        <v>8</v>
      </c>
      <c r="T270" s="3">
        <v>3</v>
      </c>
    </row>
    <row r="271" spans="1:20">
      <c r="A271" s="5" t="s">
        <v>159</v>
      </c>
      <c r="B271" s="5" t="s">
        <v>160</v>
      </c>
      <c r="C271" s="6">
        <v>45118</v>
      </c>
      <c r="D271" s="8">
        <v>36</v>
      </c>
      <c r="E271" s="5" t="s">
        <v>20</v>
      </c>
      <c r="F271" s="5" t="s">
        <v>59</v>
      </c>
      <c r="G271" s="5" t="s">
        <v>28</v>
      </c>
      <c r="H271" s="7">
        <v>80.06</v>
      </c>
      <c r="I271" s="3">
        <v>1</v>
      </c>
      <c r="J271" s="3">
        <f t="shared" si="8"/>
        <v>80.06</v>
      </c>
      <c r="K271" s="4">
        <v>11.58</v>
      </c>
      <c r="L271" s="23">
        <f t="shared" si="9"/>
        <v>0.14464151886085436</v>
      </c>
      <c r="M271" s="7">
        <v>68.48</v>
      </c>
      <c r="N271" s="5" t="s">
        <v>23</v>
      </c>
      <c r="O271" s="5" t="s">
        <v>24</v>
      </c>
      <c r="P271" s="3">
        <v>2</v>
      </c>
      <c r="Q271" s="3">
        <v>10</v>
      </c>
      <c r="R271" s="5" t="b">
        <v>0</v>
      </c>
      <c r="S271" s="3">
        <v>6</v>
      </c>
      <c r="T271" s="3">
        <v>2</v>
      </c>
    </row>
    <row r="272" spans="1:20">
      <c r="A272" s="5" t="s">
        <v>468</v>
      </c>
      <c r="B272" s="5" t="s">
        <v>469</v>
      </c>
      <c r="C272" s="6">
        <v>45151</v>
      </c>
      <c r="D272" s="8">
        <v>52</v>
      </c>
      <c r="E272" s="5" t="s">
        <v>20</v>
      </c>
      <c r="F272" s="5" t="s">
        <v>52</v>
      </c>
      <c r="G272" s="5" t="s">
        <v>115</v>
      </c>
      <c r="H272" s="7">
        <v>28.67</v>
      </c>
      <c r="I272" s="3">
        <v>5</v>
      </c>
      <c r="J272" s="3">
        <f t="shared" si="8"/>
        <v>143.35000000000002</v>
      </c>
      <c r="K272" s="4">
        <v>8.34</v>
      </c>
      <c r="L272" s="23">
        <f t="shared" si="9"/>
        <v>5.8179281478897796E-2</v>
      </c>
      <c r="M272" s="7">
        <v>135.01</v>
      </c>
      <c r="N272" s="5" t="s">
        <v>327</v>
      </c>
      <c r="O272" s="5" t="s">
        <v>24</v>
      </c>
      <c r="P272" s="3">
        <v>8</v>
      </c>
      <c r="Q272" s="3">
        <v>11</v>
      </c>
      <c r="R272" s="5" t="b">
        <v>1</v>
      </c>
      <c r="S272" s="3">
        <v>6</v>
      </c>
      <c r="T272" s="3">
        <v>4</v>
      </c>
    </row>
    <row r="273" spans="1:20">
      <c r="A273" s="5" t="s">
        <v>470</v>
      </c>
      <c r="B273" s="5" t="s">
        <v>471</v>
      </c>
      <c r="C273" s="6">
        <v>45191</v>
      </c>
      <c r="D273" s="8">
        <v>18</v>
      </c>
      <c r="E273" s="5" t="s">
        <v>36</v>
      </c>
      <c r="F273" s="5" t="s">
        <v>32</v>
      </c>
      <c r="G273" s="5" t="s">
        <v>28</v>
      </c>
      <c r="H273" s="7">
        <v>37.04</v>
      </c>
      <c r="I273" s="3">
        <v>2</v>
      </c>
      <c r="J273" s="3">
        <f t="shared" si="8"/>
        <v>74.08</v>
      </c>
      <c r="K273" s="4">
        <v>10.46</v>
      </c>
      <c r="L273" s="23">
        <f t="shared" si="9"/>
        <v>0.14119870410367172</v>
      </c>
      <c r="M273" s="7">
        <v>63.62</v>
      </c>
      <c r="N273" s="5" t="s">
        <v>327</v>
      </c>
      <c r="O273" s="5" t="s">
        <v>33</v>
      </c>
      <c r="P273" s="3">
        <v>5</v>
      </c>
      <c r="Q273" s="3">
        <v>4</v>
      </c>
      <c r="R273" s="5" t="b">
        <v>0</v>
      </c>
      <c r="S273" s="3">
        <v>13</v>
      </c>
      <c r="T273" s="3">
        <v>5</v>
      </c>
    </row>
    <row r="274" spans="1:20">
      <c r="A274" s="5" t="s">
        <v>889</v>
      </c>
      <c r="B274" s="5" t="s">
        <v>890</v>
      </c>
      <c r="C274" s="6">
        <v>45158</v>
      </c>
      <c r="D274" s="8">
        <v>48</v>
      </c>
      <c r="E274" s="5" t="s">
        <v>36</v>
      </c>
      <c r="F274" s="5" t="s">
        <v>32</v>
      </c>
      <c r="G274" s="5" t="s">
        <v>37</v>
      </c>
      <c r="H274" s="7">
        <v>98.5</v>
      </c>
      <c r="I274" s="3">
        <v>1</v>
      </c>
      <c r="J274" s="3">
        <f t="shared" si="8"/>
        <v>98.5</v>
      </c>
      <c r="K274" s="4">
        <v>18.79</v>
      </c>
      <c r="L274" s="23">
        <f t="shared" si="9"/>
        <v>0.19076142131979695</v>
      </c>
      <c r="M274" s="7">
        <v>79.709999999999994</v>
      </c>
      <c r="N274" s="5" t="s">
        <v>692</v>
      </c>
      <c r="O274" s="5" t="s">
        <v>29</v>
      </c>
      <c r="P274" s="3">
        <v>8</v>
      </c>
      <c r="Q274" s="3">
        <v>11</v>
      </c>
      <c r="R274" s="5" t="b">
        <v>1</v>
      </c>
      <c r="S274" s="3">
        <v>8</v>
      </c>
      <c r="T274" s="3">
        <v>5</v>
      </c>
    </row>
    <row r="275" spans="1:20">
      <c r="A275" s="5" t="s">
        <v>1349</v>
      </c>
      <c r="B275" s="5" t="s">
        <v>1350</v>
      </c>
      <c r="C275" s="6">
        <v>44988</v>
      </c>
      <c r="D275" s="8">
        <v>35</v>
      </c>
      <c r="E275" s="5" t="s">
        <v>20</v>
      </c>
      <c r="F275" s="5" t="s">
        <v>52</v>
      </c>
      <c r="G275" s="5" t="s">
        <v>22</v>
      </c>
      <c r="H275" s="7">
        <v>154.55000000000001</v>
      </c>
      <c r="I275" s="3">
        <v>3</v>
      </c>
      <c r="J275" s="3">
        <f t="shared" si="8"/>
        <v>463.65000000000003</v>
      </c>
      <c r="K275" s="4">
        <v>32.39</v>
      </c>
      <c r="L275" s="23">
        <f t="shared" si="9"/>
        <v>6.9858729645206508E-2</v>
      </c>
      <c r="M275" s="7">
        <v>431.26</v>
      </c>
      <c r="N275" s="5" t="s">
        <v>1298</v>
      </c>
      <c r="O275" s="5" t="s">
        <v>33</v>
      </c>
      <c r="P275" s="3">
        <v>17</v>
      </c>
      <c r="Q275" s="3">
        <v>8</v>
      </c>
      <c r="R275" s="5" t="b">
        <v>1</v>
      </c>
      <c r="S275" s="3">
        <v>8</v>
      </c>
      <c r="T275" s="3">
        <v>3</v>
      </c>
    </row>
    <row r="276" spans="1:20">
      <c r="A276" s="5" t="s">
        <v>161</v>
      </c>
      <c r="B276" s="5" t="s">
        <v>162</v>
      </c>
      <c r="C276" s="6">
        <v>45053</v>
      </c>
      <c r="D276" s="8">
        <v>23</v>
      </c>
      <c r="E276" s="5" t="s">
        <v>36</v>
      </c>
      <c r="F276" s="5" t="s">
        <v>88</v>
      </c>
      <c r="G276" s="5" t="s">
        <v>115</v>
      </c>
      <c r="H276" s="7">
        <v>110.67</v>
      </c>
      <c r="I276" s="3">
        <v>2</v>
      </c>
      <c r="J276" s="3">
        <f t="shared" si="8"/>
        <v>221.34</v>
      </c>
      <c r="K276" s="4">
        <v>0</v>
      </c>
      <c r="L276" s="23">
        <f t="shared" si="9"/>
        <v>0</v>
      </c>
      <c r="M276" s="7">
        <v>221.34</v>
      </c>
      <c r="N276" s="5" t="s">
        <v>23</v>
      </c>
      <c r="O276" s="5" t="s">
        <v>33</v>
      </c>
      <c r="P276" s="3">
        <v>17</v>
      </c>
      <c r="Q276" s="3">
        <v>6</v>
      </c>
      <c r="R276" s="5" t="b">
        <v>0</v>
      </c>
      <c r="S276" s="3">
        <v>10</v>
      </c>
      <c r="T276" s="3">
        <v>4</v>
      </c>
    </row>
    <row r="277" spans="1:20">
      <c r="A277" s="5" t="s">
        <v>472</v>
      </c>
      <c r="B277" s="5" t="s">
        <v>473</v>
      </c>
      <c r="C277" s="6">
        <v>45042</v>
      </c>
      <c r="D277" s="8">
        <v>40</v>
      </c>
      <c r="E277" s="5" t="s">
        <v>36</v>
      </c>
      <c r="F277" s="5" t="s">
        <v>32</v>
      </c>
      <c r="G277" s="5" t="s">
        <v>37</v>
      </c>
      <c r="H277" s="7">
        <v>265.5</v>
      </c>
      <c r="I277" s="3">
        <v>4</v>
      </c>
      <c r="J277" s="3">
        <f t="shared" si="8"/>
        <v>1062</v>
      </c>
      <c r="K277" s="4">
        <v>36.65</v>
      </c>
      <c r="L277" s="23">
        <f t="shared" si="9"/>
        <v>3.4510357815442559E-2</v>
      </c>
      <c r="M277" s="7">
        <v>1025.3499999999999</v>
      </c>
      <c r="N277" s="5" t="s">
        <v>327</v>
      </c>
      <c r="O277" s="5" t="s">
        <v>24</v>
      </c>
      <c r="P277" s="3">
        <v>16</v>
      </c>
      <c r="Q277" s="3">
        <v>5</v>
      </c>
      <c r="R277" s="5" t="b">
        <v>0</v>
      </c>
      <c r="S277" s="3">
        <v>4</v>
      </c>
      <c r="T277" s="3">
        <v>5</v>
      </c>
    </row>
    <row r="278" spans="1:20">
      <c r="A278" s="5" t="s">
        <v>1351</v>
      </c>
      <c r="B278" s="5" t="s">
        <v>1352</v>
      </c>
      <c r="C278" s="6">
        <v>44959</v>
      </c>
      <c r="D278" s="8">
        <v>37</v>
      </c>
      <c r="E278" s="5" t="s">
        <v>20</v>
      </c>
      <c r="F278" s="5" t="s">
        <v>32</v>
      </c>
      <c r="G278" s="5" t="s">
        <v>22</v>
      </c>
      <c r="H278" s="7">
        <v>114.14</v>
      </c>
      <c r="I278" s="3">
        <v>2</v>
      </c>
      <c r="J278" s="3">
        <f t="shared" si="8"/>
        <v>228.28</v>
      </c>
      <c r="K278" s="4">
        <v>0</v>
      </c>
      <c r="L278" s="23">
        <f t="shared" si="9"/>
        <v>0</v>
      </c>
      <c r="M278" s="7">
        <v>228.28</v>
      </c>
      <c r="N278" s="5" t="s">
        <v>1298</v>
      </c>
      <c r="O278" s="5" t="s">
        <v>33</v>
      </c>
      <c r="P278" s="3">
        <v>5</v>
      </c>
      <c r="Q278" s="3">
        <v>10</v>
      </c>
      <c r="R278" s="5" t="b">
        <v>1</v>
      </c>
      <c r="S278" s="3">
        <v>9</v>
      </c>
      <c r="T278" s="3">
        <v>5</v>
      </c>
    </row>
    <row r="279" spans="1:20">
      <c r="A279" s="5" t="s">
        <v>891</v>
      </c>
      <c r="B279" s="5" t="s">
        <v>892</v>
      </c>
      <c r="C279" s="6">
        <v>45100</v>
      </c>
      <c r="D279" s="8">
        <v>27</v>
      </c>
      <c r="E279" s="5" t="s">
        <v>20</v>
      </c>
      <c r="F279" s="5" t="s">
        <v>83</v>
      </c>
      <c r="G279" s="5" t="s">
        <v>56</v>
      </c>
      <c r="H279" s="7">
        <v>181.56</v>
      </c>
      <c r="I279" s="3">
        <v>2</v>
      </c>
      <c r="J279" s="3">
        <f t="shared" si="8"/>
        <v>363.12</v>
      </c>
      <c r="K279" s="4">
        <v>0</v>
      </c>
      <c r="L279" s="23">
        <f t="shared" si="9"/>
        <v>0</v>
      </c>
      <c r="M279" s="7">
        <v>363.12</v>
      </c>
      <c r="N279" s="5" t="s">
        <v>692</v>
      </c>
      <c r="O279" s="5" t="s">
        <v>33</v>
      </c>
      <c r="P279" s="3">
        <v>14</v>
      </c>
      <c r="Q279" s="3">
        <v>5</v>
      </c>
      <c r="R279" s="5" t="b">
        <v>1</v>
      </c>
      <c r="S279" s="3">
        <v>7</v>
      </c>
      <c r="T279" s="3">
        <v>5</v>
      </c>
    </row>
    <row r="280" spans="1:20">
      <c r="A280" s="5" t="s">
        <v>163</v>
      </c>
      <c r="B280" s="5" t="s">
        <v>164</v>
      </c>
      <c r="C280" s="6">
        <v>44937</v>
      </c>
      <c r="D280" s="8">
        <v>35</v>
      </c>
      <c r="E280" s="5" t="s">
        <v>20</v>
      </c>
      <c r="F280" s="5" t="s">
        <v>32</v>
      </c>
      <c r="G280" s="5" t="s">
        <v>46</v>
      </c>
      <c r="H280" s="7">
        <v>1148.1099999999999</v>
      </c>
      <c r="I280" s="3">
        <v>1</v>
      </c>
      <c r="J280" s="3">
        <f t="shared" si="8"/>
        <v>1148.1099999999999</v>
      </c>
      <c r="K280" s="4">
        <v>0</v>
      </c>
      <c r="L280" s="23">
        <f t="shared" si="9"/>
        <v>0</v>
      </c>
      <c r="M280" s="7">
        <v>1148.1099999999999</v>
      </c>
      <c r="N280" s="5" t="s">
        <v>23</v>
      </c>
      <c r="O280" s="5" t="s">
        <v>33</v>
      </c>
      <c r="P280" s="3">
        <v>26</v>
      </c>
      <c r="Q280" s="3">
        <v>9</v>
      </c>
      <c r="R280" s="5" t="b">
        <v>0</v>
      </c>
      <c r="S280" s="3">
        <v>12</v>
      </c>
      <c r="T280" s="3">
        <v>5</v>
      </c>
    </row>
    <row r="281" spans="1:20">
      <c r="A281" s="5" t="s">
        <v>1260</v>
      </c>
      <c r="B281" s="5" t="s">
        <v>1261</v>
      </c>
      <c r="C281" s="6">
        <v>45228</v>
      </c>
      <c r="D281" s="8">
        <v>30</v>
      </c>
      <c r="E281" s="5" t="s">
        <v>36</v>
      </c>
      <c r="F281" s="5" t="s">
        <v>59</v>
      </c>
      <c r="G281" s="5" t="s">
        <v>28</v>
      </c>
      <c r="H281" s="7">
        <v>164.95</v>
      </c>
      <c r="I281" s="3">
        <v>4</v>
      </c>
      <c r="J281" s="3">
        <f t="shared" si="8"/>
        <v>659.8</v>
      </c>
      <c r="K281" s="4">
        <v>0</v>
      </c>
      <c r="L281" s="23">
        <f t="shared" si="9"/>
        <v>0</v>
      </c>
      <c r="M281" s="7">
        <v>659.8</v>
      </c>
      <c r="N281" s="5" t="s">
        <v>1231</v>
      </c>
      <c r="O281" s="5" t="s">
        <v>33</v>
      </c>
      <c r="P281" s="3">
        <v>11</v>
      </c>
      <c r="Q281" s="3">
        <v>8</v>
      </c>
      <c r="R281" s="5" t="b">
        <v>0</v>
      </c>
      <c r="S281" s="3">
        <v>9</v>
      </c>
      <c r="T281" s="3">
        <v>3</v>
      </c>
    </row>
    <row r="282" spans="1:20">
      <c r="A282" s="5" t="s">
        <v>893</v>
      </c>
      <c r="B282" s="5" t="s">
        <v>894</v>
      </c>
      <c r="C282" s="6">
        <v>45210</v>
      </c>
      <c r="D282" s="8">
        <v>36</v>
      </c>
      <c r="E282" s="5" t="s">
        <v>20</v>
      </c>
      <c r="F282" s="5" t="s">
        <v>52</v>
      </c>
      <c r="G282" s="5" t="s">
        <v>56</v>
      </c>
      <c r="H282" s="7">
        <v>635.86</v>
      </c>
      <c r="I282" s="3">
        <v>1</v>
      </c>
      <c r="J282" s="3">
        <f t="shared" si="8"/>
        <v>635.86</v>
      </c>
      <c r="K282" s="4">
        <v>65.25</v>
      </c>
      <c r="L282" s="23">
        <f t="shared" si="9"/>
        <v>0.10261692825464724</v>
      </c>
      <c r="M282" s="7">
        <v>570.61</v>
      </c>
      <c r="N282" s="5" t="s">
        <v>692</v>
      </c>
      <c r="O282" s="5" t="s">
        <v>33</v>
      </c>
      <c r="P282" s="3">
        <v>12</v>
      </c>
      <c r="Q282" s="3">
        <v>9</v>
      </c>
      <c r="R282" s="5" t="b">
        <v>0</v>
      </c>
      <c r="S282" s="3">
        <v>3</v>
      </c>
      <c r="T282" s="3">
        <v>5</v>
      </c>
    </row>
    <row r="283" spans="1:20">
      <c r="A283" s="5" t="s">
        <v>895</v>
      </c>
      <c r="B283" s="5" t="s">
        <v>896</v>
      </c>
      <c r="C283" s="6">
        <v>45044</v>
      </c>
      <c r="D283" s="8">
        <v>42</v>
      </c>
      <c r="E283" s="5" t="s">
        <v>20</v>
      </c>
      <c r="F283" s="5" t="s">
        <v>32</v>
      </c>
      <c r="G283" s="5" t="s">
        <v>64</v>
      </c>
      <c r="H283" s="7">
        <v>1843.57</v>
      </c>
      <c r="I283" s="3">
        <v>1</v>
      </c>
      <c r="J283" s="3">
        <f t="shared" si="8"/>
        <v>1843.57</v>
      </c>
      <c r="K283" s="4">
        <v>0</v>
      </c>
      <c r="L283" s="23">
        <f t="shared" si="9"/>
        <v>0</v>
      </c>
      <c r="M283" s="7">
        <v>1843.57</v>
      </c>
      <c r="N283" s="5" t="s">
        <v>692</v>
      </c>
      <c r="O283" s="5" t="s">
        <v>29</v>
      </c>
      <c r="P283" s="3">
        <v>9</v>
      </c>
      <c r="Q283" s="3">
        <v>7</v>
      </c>
      <c r="R283" s="5" t="b">
        <v>1</v>
      </c>
      <c r="S283" s="3">
        <v>4</v>
      </c>
      <c r="T283" s="3">
        <v>1</v>
      </c>
    </row>
    <row r="284" spans="1:20">
      <c r="A284" s="5" t="s">
        <v>165</v>
      </c>
      <c r="B284" s="5" t="s">
        <v>166</v>
      </c>
      <c r="C284" s="6">
        <v>45228</v>
      </c>
      <c r="D284" s="8">
        <v>54</v>
      </c>
      <c r="E284" s="5" t="s">
        <v>36</v>
      </c>
      <c r="F284" s="5" t="s">
        <v>76</v>
      </c>
      <c r="G284" s="5" t="s">
        <v>37</v>
      </c>
      <c r="H284" s="7">
        <v>188.47</v>
      </c>
      <c r="I284" s="3">
        <v>1</v>
      </c>
      <c r="J284" s="3">
        <f t="shared" si="8"/>
        <v>188.47</v>
      </c>
      <c r="K284" s="4">
        <v>0</v>
      </c>
      <c r="L284" s="23">
        <f t="shared" si="9"/>
        <v>0</v>
      </c>
      <c r="M284" s="7">
        <v>188.47</v>
      </c>
      <c r="N284" s="5" t="s">
        <v>23</v>
      </c>
      <c r="O284" s="5" t="s">
        <v>33</v>
      </c>
      <c r="P284" s="3">
        <v>13</v>
      </c>
      <c r="Q284" s="3">
        <v>7</v>
      </c>
      <c r="R284" s="5" t="b">
        <v>1</v>
      </c>
      <c r="S284" s="3">
        <v>9</v>
      </c>
      <c r="T284" s="3">
        <v>5</v>
      </c>
    </row>
    <row r="285" spans="1:20">
      <c r="A285" s="5" t="s">
        <v>897</v>
      </c>
      <c r="B285" s="5" t="s">
        <v>898</v>
      </c>
      <c r="C285" s="6">
        <v>45039</v>
      </c>
      <c r="D285" s="8">
        <v>20</v>
      </c>
      <c r="E285" s="5" t="s">
        <v>36</v>
      </c>
      <c r="F285" s="5" t="s">
        <v>32</v>
      </c>
      <c r="G285" s="5" t="s">
        <v>56</v>
      </c>
      <c r="H285" s="7">
        <v>1223.3699999999999</v>
      </c>
      <c r="I285" s="3">
        <v>2</v>
      </c>
      <c r="J285" s="3">
        <f t="shared" si="8"/>
        <v>2446.7399999999998</v>
      </c>
      <c r="K285" s="4">
        <v>146.22</v>
      </c>
      <c r="L285" s="23">
        <f t="shared" si="9"/>
        <v>5.9761151573113618E-2</v>
      </c>
      <c r="M285" s="7">
        <v>2300.52</v>
      </c>
      <c r="N285" s="5" t="s">
        <v>692</v>
      </c>
      <c r="O285" s="5" t="s">
        <v>33</v>
      </c>
      <c r="P285" s="3">
        <v>13</v>
      </c>
      <c r="Q285" s="3">
        <v>6</v>
      </c>
      <c r="R285" s="5" t="b">
        <v>0</v>
      </c>
      <c r="S285" s="3">
        <v>6</v>
      </c>
      <c r="T285" s="3">
        <v>4</v>
      </c>
    </row>
    <row r="286" spans="1:20">
      <c r="A286" s="5" t="s">
        <v>1353</v>
      </c>
      <c r="B286" s="5" t="s">
        <v>1354</v>
      </c>
      <c r="C286" s="6">
        <v>44930</v>
      </c>
      <c r="D286" s="8">
        <v>60</v>
      </c>
      <c r="E286" s="5" t="s">
        <v>20</v>
      </c>
      <c r="F286" s="5" t="s">
        <v>73</v>
      </c>
      <c r="G286" s="5" t="s">
        <v>56</v>
      </c>
      <c r="H286" s="7">
        <v>912.21</v>
      </c>
      <c r="I286" s="3">
        <v>4</v>
      </c>
      <c r="J286" s="3">
        <f t="shared" si="8"/>
        <v>3648.84</v>
      </c>
      <c r="K286" s="4">
        <v>63.68</v>
      </c>
      <c r="L286" s="23">
        <f t="shared" si="9"/>
        <v>1.745212177020642E-2</v>
      </c>
      <c r="M286" s="7">
        <v>3585.16</v>
      </c>
      <c r="N286" s="5" t="s">
        <v>1298</v>
      </c>
      <c r="O286" s="5" t="s">
        <v>33</v>
      </c>
      <c r="P286" s="3">
        <v>13</v>
      </c>
      <c r="Q286" s="3">
        <v>10</v>
      </c>
      <c r="R286" s="5" t="b">
        <v>1</v>
      </c>
      <c r="S286" s="3">
        <v>4</v>
      </c>
      <c r="T286" s="3">
        <v>5</v>
      </c>
    </row>
    <row r="287" spans="1:20">
      <c r="A287" s="5" t="s">
        <v>899</v>
      </c>
      <c r="B287" s="5" t="s">
        <v>900</v>
      </c>
      <c r="C287" s="6">
        <v>44963</v>
      </c>
      <c r="D287" s="8">
        <v>18</v>
      </c>
      <c r="E287" s="5" t="s">
        <v>20</v>
      </c>
      <c r="F287" s="5" t="s">
        <v>52</v>
      </c>
      <c r="G287" s="5" t="s">
        <v>28</v>
      </c>
      <c r="H287" s="7">
        <v>58.38</v>
      </c>
      <c r="I287" s="3">
        <v>4</v>
      </c>
      <c r="J287" s="3">
        <f t="shared" si="8"/>
        <v>233.52</v>
      </c>
      <c r="K287" s="4">
        <v>0</v>
      </c>
      <c r="L287" s="23">
        <f t="shared" si="9"/>
        <v>0</v>
      </c>
      <c r="M287" s="7">
        <v>233.52</v>
      </c>
      <c r="N287" s="5" t="s">
        <v>692</v>
      </c>
      <c r="O287" s="5" t="s">
        <v>33</v>
      </c>
      <c r="P287" s="3">
        <v>12</v>
      </c>
      <c r="Q287" s="3">
        <v>11</v>
      </c>
      <c r="R287" s="5" t="b">
        <v>0</v>
      </c>
      <c r="S287" s="3">
        <v>3</v>
      </c>
      <c r="T287" s="3">
        <v>5</v>
      </c>
    </row>
    <row r="288" spans="1:20">
      <c r="A288" s="5" t="s">
        <v>167</v>
      </c>
      <c r="B288" s="5" t="s">
        <v>168</v>
      </c>
      <c r="C288" s="6">
        <v>45289</v>
      </c>
      <c r="D288" s="8">
        <v>33</v>
      </c>
      <c r="E288" s="5" t="s">
        <v>36</v>
      </c>
      <c r="F288" s="5" t="s">
        <v>32</v>
      </c>
      <c r="G288" s="5" t="s">
        <v>22</v>
      </c>
      <c r="H288" s="7">
        <v>53.49</v>
      </c>
      <c r="I288" s="3">
        <v>3</v>
      </c>
      <c r="J288" s="3">
        <f t="shared" si="8"/>
        <v>160.47</v>
      </c>
      <c r="K288" s="4">
        <v>0</v>
      </c>
      <c r="L288" s="23">
        <f t="shared" si="9"/>
        <v>0</v>
      </c>
      <c r="M288" s="7">
        <v>160.47</v>
      </c>
      <c r="N288" s="5" t="s">
        <v>23</v>
      </c>
      <c r="O288" s="5" t="s">
        <v>24</v>
      </c>
      <c r="P288" s="3">
        <v>2</v>
      </c>
      <c r="Q288" s="3">
        <v>12</v>
      </c>
      <c r="R288" s="5" t="b">
        <v>0</v>
      </c>
      <c r="S288" s="3">
        <v>5</v>
      </c>
      <c r="T288" s="3">
        <v>2</v>
      </c>
    </row>
    <row r="289" spans="1:20">
      <c r="A289" s="5" t="s">
        <v>901</v>
      </c>
      <c r="B289" s="5" t="s">
        <v>902</v>
      </c>
      <c r="C289" s="6">
        <v>45250</v>
      </c>
      <c r="D289" s="8">
        <v>42</v>
      </c>
      <c r="E289" s="5" t="s">
        <v>36</v>
      </c>
      <c r="F289" s="5" t="s">
        <v>32</v>
      </c>
      <c r="G289" s="5" t="s">
        <v>37</v>
      </c>
      <c r="H289" s="7">
        <v>43.39</v>
      </c>
      <c r="I289" s="3">
        <v>3</v>
      </c>
      <c r="J289" s="3">
        <f t="shared" si="8"/>
        <v>130.17000000000002</v>
      </c>
      <c r="K289" s="4">
        <v>7</v>
      </c>
      <c r="L289" s="23">
        <f t="shared" si="9"/>
        <v>5.3775831604824451E-2</v>
      </c>
      <c r="M289" s="7">
        <v>123.17</v>
      </c>
      <c r="N289" s="5" t="s">
        <v>692</v>
      </c>
      <c r="O289" s="5" t="s">
        <v>33</v>
      </c>
      <c r="P289" s="3">
        <v>35</v>
      </c>
      <c r="Q289" s="3">
        <v>7</v>
      </c>
      <c r="R289" s="5" t="b">
        <v>1</v>
      </c>
      <c r="S289" s="3">
        <v>6</v>
      </c>
      <c r="T289" s="3">
        <v>3</v>
      </c>
    </row>
    <row r="290" spans="1:20">
      <c r="A290" s="5" t="s">
        <v>903</v>
      </c>
      <c r="B290" s="5" t="s">
        <v>904</v>
      </c>
      <c r="C290" s="6">
        <v>44957</v>
      </c>
      <c r="D290" s="8">
        <v>38</v>
      </c>
      <c r="E290" s="5" t="s">
        <v>36</v>
      </c>
      <c r="F290" s="5" t="s">
        <v>32</v>
      </c>
      <c r="G290" s="5" t="s">
        <v>22</v>
      </c>
      <c r="H290" s="7">
        <v>66.84</v>
      </c>
      <c r="I290" s="3">
        <v>4</v>
      </c>
      <c r="J290" s="3">
        <f t="shared" si="8"/>
        <v>267.36</v>
      </c>
      <c r="K290" s="4">
        <v>0</v>
      </c>
      <c r="L290" s="23">
        <f t="shared" si="9"/>
        <v>0</v>
      </c>
      <c r="M290" s="7">
        <v>267.36</v>
      </c>
      <c r="N290" s="5" t="s">
        <v>692</v>
      </c>
      <c r="O290" s="5" t="s">
        <v>24</v>
      </c>
      <c r="P290" s="3">
        <v>27</v>
      </c>
      <c r="Q290" s="3">
        <v>7</v>
      </c>
      <c r="R290" s="5" t="b">
        <v>0</v>
      </c>
      <c r="S290" s="3">
        <v>5</v>
      </c>
      <c r="T290" s="3">
        <v>4</v>
      </c>
    </row>
    <row r="291" spans="1:20">
      <c r="A291" s="5" t="s">
        <v>1355</v>
      </c>
      <c r="B291" s="5" t="s">
        <v>1356</v>
      </c>
      <c r="C291" s="6">
        <v>45044</v>
      </c>
      <c r="D291" s="8">
        <v>27</v>
      </c>
      <c r="E291" s="5" t="s">
        <v>20</v>
      </c>
      <c r="F291" s="5" t="s">
        <v>32</v>
      </c>
      <c r="G291" s="5" t="s">
        <v>46</v>
      </c>
      <c r="H291" s="7">
        <v>742.38</v>
      </c>
      <c r="I291" s="3">
        <v>2</v>
      </c>
      <c r="J291" s="3">
        <f t="shared" si="8"/>
        <v>1484.76</v>
      </c>
      <c r="K291" s="4">
        <v>0</v>
      </c>
      <c r="L291" s="23">
        <f t="shared" si="9"/>
        <v>0</v>
      </c>
      <c r="M291" s="7">
        <v>1484.76</v>
      </c>
      <c r="N291" s="5" t="s">
        <v>1298</v>
      </c>
      <c r="O291" s="5" t="s">
        <v>33</v>
      </c>
      <c r="P291" s="3">
        <v>18</v>
      </c>
      <c r="Q291" s="3">
        <v>6</v>
      </c>
      <c r="R291" s="5" t="b">
        <v>0</v>
      </c>
      <c r="S291" s="3">
        <v>8</v>
      </c>
      <c r="T291" s="3">
        <v>5</v>
      </c>
    </row>
    <row r="292" spans="1:20">
      <c r="A292" s="5" t="s">
        <v>169</v>
      </c>
      <c r="B292" s="5" t="s">
        <v>170</v>
      </c>
      <c r="C292" s="6">
        <v>44961</v>
      </c>
      <c r="D292" s="8">
        <v>32</v>
      </c>
      <c r="E292" s="5" t="s">
        <v>36</v>
      </c>
      <c r="F292" s="5" t="s">
        <v>27</v>
      </c>
      <c r="G292" s="5" t="s">
        <v>56</v>
      </c>
      <c r="H292" s="7">
        <v>349.92</v>
      </c>
      <c r="I292" s="3">
        <v>1</v>
      </c>
      <c r="J292" s="3">
        <f t="shared" si="8"/>
        <v>349.92</v>
      </c>
      <c r="K292" s="4">
        <v>0</v>
      </c>
      <c r="L292" s="23">
        <f t="shared" si="9"/>
        <v>0</v>
      </c>
      <c r="M292" s="7">
        <v>349.92</v>
      </c>
      <c r="N292" s="5" t="s">
        <v>23</v>
      </c>
      <c r="O292" s="5" t="s">
        <v>33</v>
      </c>
      <c r="P292" s="3">
        <v>12</v>
      </c>
      <c r="Q292" s="3">
        <v>7</v>
      </c>
      <c r="R292" s="5" t="b">
        <v>1</v>
      </c>
      <c r="S292" s="3">
        <v>3</v>
      </c>
      <c r="T292" s="3">
        <v>5</v>
      </c>
    </row>
    <row r="293" spans="1:20">
      <c r="A293" s="5" t="s">
        <v>905</v>
      </c>
      <c r="B293" s="5" t="s">
        <v>906</v>
      </c>
      <c r="C293" s="6">
        <v>44943</v>
      </c>
      <c r="D293" s="8">
        <v>29</v>
      </c>
      <c r="E293" s="5" t="s">
        <v>36</v>
      </c>
      <c r="F293" s="5" t="s">
        <v>21</v>
      </c>
      <c r="G293" s="5" t="s">
        <v>37</v>
      </c>
      <c r="H293" s="7">
        <v>140.69</v>
      </c>
      <c r="I293" s="3">
        <v>1</v>
      </c>
      <c r="J293" s="3">
        <f t="shared" si="8"/>
        <v>140.69</v>
      </c>
      <c r="K293" s="4">
        <v>0</v>
      </c>
      <c r="L293" s="23">
        <f t="shared" si="9"/>
        <v>0</v>
      </c>
      <c r="M293" s="7">
        <v>140.69</v>
      </c>
      <c r="N293" s="5" t="s">
        <v>692</v>
      </c>
      <c r="O293" s="5" t="s">
        <v>33</v>
      </c>
      <c r="P293" s="3">
        <v>22</v>
      </c>
      <c r="Q293" s="3">
        <v>12</v>
      </c>
      <c r="R293" s="5" t="b">
        <v>0</v>
      </c>
      <c r="S293" s="3">
        <v>5</v>
      </c>
      <c r="T293" s="3">
        <v>5</v>
      </c>
    </row>
    <row r="294" spans="1:20">
      <c r="A294" s="5" t="s">
        <v>907</v>
      </c>
      <c r="B294" s="5" t="s">
        <v>908</v>
      </c>
      <c r="C294" s="6">
        <v>45367</v>
      </c>
      <c r="D294" s="8">
        <v>27</v>
      </c>
      <c r="E294" s="5" t="s">
        <v>36</v>
      </c>
      <c r="F294" s="5" t="s">
        <v>52</v>
      </c>
      <c r="G294" s="5" t="s">
        <v>56</v>
      </c>
      <c r="H294" s="7">
        <v>584.78</v>
      </c>
      <c r="I294" s="3">
        <v>1</v>
      </c>
      <c r="J294" s="3">
        <f t="shared" si="8"/>
        <v>584.78</v>
      </c>
      <c r="K294" s="4">
        <v>0</v>
      </c>
      <c r="L294" s="23">
        <f t="shared" si="9"/>
        <v>0</v>
      </c>
      <c r="M294" s="7">
        <v>584.78</v>
      </c>
      <c r="N294" s="5" t="s">
        <v>692</v>
      </c>
      <c r="O294" s="5" t="s">
        <v>24</v>
      </c>
      <c r="P294" s="3">
        <v>18</v>
      </c>
      <c r="Q294" s="3">
        <v>8</v>
      </c>
      <c r="R294" s="5" t="b">
        <v>0</v>
      </c>
      <c r="S294" s="3">
        <v>6</v>
      </c>
      <c r="T294" s="3">
        <v>4</v>
      </c>
    </row>
    <row r="295" spans="1:20">
      <c r="A295" s="5" t="s">
        <v>171</v>
      </c>
      <c r="B295" s="5" t="s">
        <v>172</v>
      </c>
      <c r="C295" s="6">
        <v>45096</v>
      </c>
      <c r="D295" s="8">
        <v>45</v>
      </c>
      <c r="E295" s="5" t="s">
        <v>36</v>
      </c>
      <c r="F295" s="5" t="s">
        <v>21</v>
      </c>
      <c r="G295" s="5" t="s">
        <v>46</v>
      </c>
      <c r="H295" s="7">
        <v>261.44</v>
      </c>
      <c r="I295" s="3">
        <v>1</v>
      </c>
      <c r="J295" s="3">
        <f t="shared" si="8"/>
        <v>261.44</v>
      </c>
      <c r="K295" s="4">
        <v>0</v>
      </c>
      <c r="L295" s="23">
        <f t="shared" si="9"/>
        <v>0</v>
      </c>
      <c r="M295" s="7">
        <v>261.44</v>
      </c>
      <c r="N295" s="5" t="s">
        <v>23</v>
      </c>
      <c r="O295" s="5" t="s">
        <v>33</v>
      </c>
      <c r="P295" s="3">
        <v>25</v>
      </c>
      <c r="Q295" s="3">
        <v>7</v>
      </c>
      <c r="R295" s="5" t="b">
        <v>0</v>
      </c>
      <c r="S295" s="3">
        <v>8</v>
      </c>
      <c r="T295" s="3">
        <v>3</v>
      </c>
    </row>
    <row r="296" spans="1:20">
      <c r="A296" s="5" t="s">
        <v>173</v>
      </c>
      <c r="B296" s="5" t="s">
        <v>174</v>
      </c>
      <c r="C296" s="6">
        <v>44963</v>
      </c>
      <c r="D296" s="8">
        <v>39</v>
      </c>
      <c r="E296" s="5" t="s">
        <v>20</v>
      </c>
      <c r="F296" s="5" t="s">
        <v>76</v>
      </c>
      <c r="G296" s="5" t="s">
        <v>53</v>
      </c>
      <c r="H296" s="7">
        <v>27.2</v>
      </c>
      <c r="I296" s="3">
        <v>3</v>
      </c>
      <c r="J296" s="3">
        <f t="shared" si="8"/>
        <v>81.599999999999994</v>
      </c>
      <c r="K296" s="4">
        <v>0</v>
      </c>
      <c r="L296" s="23">
        <f t="shared" si="9"/>
        <v>0</v>
      </c>
      <c r="M296" s="7">
        <v>81.599999999999994</v>
      </c>
      <c r="N296" s="5" t="s">
        <v>23</v>
      </c>
      <c r="O296" s="5" t="s">
        <v>33</v>
      </c>
      <c r="P296" s="3">
        <v>10</v>
      </c>
      <c r="Q296" s="3">
        <v>10</v>
      </c>
      <c r="R296" s="5" t="b">
        <v>1</v>
      </c>
      <c r="S296" s="3">
        <v>6</v>
      </c>
      <c r="T296" s="3">
        <v>1</v>
      </c>
    </row>
    <row r="297" spans="1:20">
      <c r="A297" s="5" t="s">
        <v>175</v>
      </c>
      <c r="B297" s="5" t="s">
        <v>176</v>
      </c>
      <c r="C297" s="6">
        <v>45190</v>
      </c>
      <c r="D297" s="8">
        <v>26</v>
      </c>
      <c r="E297" s="5" t="s">
        <v>20</v>
      </c>
      <c r="F297" s="5" t="s">
        <v>76</v>
      </c>
      <c r="G297" s="5" t="s">
        <v>46</v>
      </c>
      <c r="H297" s="7">
        <v>246.94</v>
      </c>
      <c r="I297" s="3">
        <v>1</v>
      </c>
      <c r="J297" s="3">
        <f t="shared" si="8"/>
        <v>246.94</v>
      </c>
      <c r="K297" s="4">
        <v>0</v>
      </c>
      <c r="L297" s="23">
        <f t="shared" si="9"/>
        <v>0</v>
      </c>
      <c r="M297" s="7">
        <v>246.94</v>
      </c>
      <c r="N297" s="5" t="s">
        <v>23</v>
      </c>
      <c r="O297" s="5" t="s">
        <v>24</v>
      </c>
      <c r="P297" s="3">
        <v>10</v>
      </c>
      <c r="Q297" s="3">
        <v>13</v>
      </c>
      <c r="R297" s="5" t="b">
        <v>1</v>
      </c>
      <c r="S297" s="3">
        <v>5</v>
      </c>
      <c r="T297" s="3">
        <v>3</v>
      </c>
    </row>
    <row r="298" spans="1:20">
      <c r="A298" s="5" t="s">
        <v>474</v>
      </c>
      <c r="B298" s="5" t="s">
        <v>475</v>
      </c>
      <c r="C298" s="6">
        <v>45048</v>
      </c>
      <c r="D298" s="8">
        <v>45</v>
      </c>
      <c r="E298" s="5" t="s">
        <v>36</v>
      </c>
      <c r="F298" s="5" t="s">
        <v>27</v>
      </c>
      <c r="G298" s="5" t="s">
        <v>22</v>
      </c>
      <c r="H298" s="7">
        <v>80.91</v>
      </c>
      <c r="I298" s="3">
        <v>3</v>
      </c>
      <c r="J298" s="3">
        <f t="shared" si="8"/>
        <v>242.73</v>
      </c>
      <c r="K298" s="4">
        <v>0</v>
      </c>
      <c r="L298" s="23">
        <f t="shared" si="9"/>
        <v>0</v>
      </c>
      <c r="M298" s="7">
        <v>242.73</v>
      </c>
      <c r="N298" s="5" t="s">
        <v>327</v>
      </c>
      <c r="O298" s="5" t="s">
        <v>24</v>
      </c>
      <c r="P298" s="3">
        <v>33</v>
      </c>
      <c r="Q298" s="3">
        <v>7</v>
      </c>
      <c r="R298" s="5" t="b">
        <v>1</v>
      </c>
      <c r="S298" s="3">
        <v>4</v>
      </c>
      <c r="T298" s="3">
        <v>5</v>
      </c>
    </row>
    <row r="299" spans="1:20">
      <c r="A299" s="5" t="s">
        <v>909</v>
      </c>
      <c r="B299" s="5" t="s">
        <v>910</v>
      </c>
      <c r="C299" s="6">
        <v>45069</v>
      </c>
      <c r="D299" s="8">
        <v>38</v>
      </c>
      <c r="E299" s="5" t="s">
        <v>36</v>
      </c>
      <c r="F299" s="5" t="s">
        <v>88</v>
      </c>
      <c r="G299" s="5" t="s">
        <v>22</v>
      </c>
      <c r="H299" s="7">
        <v>718.22</v>
      </c>
      <c r="I299" s="3">
        <v>2</v>
      </c>
      <c r="J299" s="3">
        <f t="shared" si="8"/>
        <v>1436.44</v>
      </c>
      <c r="K299" s="4">
        <v>0</v>
      </c>
      <c r="L299" s="23">
        <f t="shared" si="9"/>
        <v>0</v>
      </c>
      <c r="M299" s="7">
        <v>1436.44</v>
      </c>
      <c r="N299" s="5" t="s">
        <v>692</v>
      </c>
      <c r="O299" s="5" t="s">
        <v>33</v>
      </c>
      <c r="P299" s="3">
        <v>23</v>
      </c>
      <c r="Q299" s="3">
        <v>17</v>
      </c>
      <c r="R299" s="5" t="b">
        <v>0</v>
      </c>
      <c r="S299" s="3">
        <v>7</v>
      </c>
      <c r="T299" s="3">
        <v>5</v>
      </c>
    </row>
    <row r="300" spans="1:20">
      <c r="A300" s="5" t="s">
        <v>1357</v>
      </c>
      <c r="B300" s="5" t="s">
        <v>1358</v>
      </c>
      <c r="C300" s="6">
        <v>45269</v>
      </c>
      <c r="D300" s="8">
        <v>44</v>
      </c>
      <c r="E300" s="5" t="s">
        <v>36</v>
      </c>
      <c r="F300" s="5" t="s">
        <v>52</v>
      </c>
      <c r="G300" s="5" t="s">
        <v>115</v>
      </c>
      <c r="H300" s="7">
        <v>55.19</v>
      </c>
      <c r="I300" s="3">
        <v>1</v>
      </c>
      <c r="J300" s="3">
        <f t="shared" si="8"/>
        <v>55.19</v>
      </c>
      <c r="K300" s="4">
        <v>3.94</v>
      </c>
      <c r="L300" s="23">
        <f t="shared" si="9"/>
        <v>7.1389744518934595E-2</v>
      </c>
      <c r="M300" s="7">
        <v>51.25</v>
      </c>
      <c r="N300" s="5" t="s">
        <v>1298</v>
      </c>
      <c r="O300" s="5" t="s">
        <v>24</v>
      </c>
      <c r="P300" s="3">
        <v>20</v>
      </c>
      <c r="Q300" s="3">
        <v>4</v>
      </c>
      <c r="R300" s="5" t="b">
        <v>1</v>
      </c>
      <c r="S300" s="3">
        <v>6</v>
      </c>
      <c r="T300" s="3">
        <v>4</v>
      </c>
    </row>
    <row r="301" spans="1:20">
      <c r="A301" s="5" t="s">
        <v>177</v>
      </c>
      <c r="B301" s="5" t="s">
        <v>178</v>
      </c>
      <c r="C301" s="6">
        <v>45175</v>
      </c>
      <c r="D301" s="8">
        <v>42</v>
      </c>
      <c r="E301" s="5" t="s">
        <v>20</v>
      </c>
      <c r="F301" s="5" t="s">
        <v>52</v>
      </c>
      <c r="G301" s="5" t="s">
        <v>56</v>
      </c>
      <c r="H301" s="7">
        <v>585.42999999999995</v>
      </c>
      <c r="I301" s="3">
        <v>1</v>
      </c>
      <c r="J301" s="3">
        <f t="shared" si="8"/>
        <v>585.42999999999995</v>
      </c>
      <c r="K301" s="4">
        <v>83.78</v>
      </c>
      <c r="L301" s="23">
        <f t="shared" si="9"/>
        <v>0.14310848436192203</v>
      </c>
      <c r="M301" s="7">
        <v>501.65</v>
      </c>
      <c r="N301" s="5" t="s">
        <v>23</v>
      </c>
      <c r="O301" s="5" t="s">
        <v>24</v>
      </c>
      <c r="P301" s="3">
        <v>6</v>
      </c>
      <c r="Q301" s="3">
        <v>7</v>
      </c>
      <c r="R301" s="5" t="b">
        <v>1</v>
      </c>
      <c r="S301" s="3">
        <v>5</v>
      </c>
      <c r="T301" s="3">
        <v>5</v>
      </c>
    </row>
    <row r="302" spans="1:20">
      <c r="A302" s="5" t="s">
        <v>476</v>
      </c>
      <c r="B302" s="5" t="s">
        <v>477</v>
      </c>
      <c r="C302" s="6">
        <v>45036</v>
      </c>
      <c r="D302" s="8">
        <v>25</v>
      </c>
      <c r="E302" s="5" t="s">
        <v>36</v>
      </c>
      <c r="F302" s="5" t="s">
        <v>73</v>
      </c>
      <c r="G302" s="5" t="s">
        <v>22</v>
      </c>
      <c r="H302" s="7">
        <v>235.34</v>
      </c>
      <c r="I302" s="3">
        <v>5</v>
      </c>
      <c r="J302" s="3">
        <f t="shared" si="8"/>
        <v>1176.7</v>
      </c>
      <c r="K302" s="4">
        <v>0</v>
      </c>
      <c r="L302" s="23">
        <f t="shared" si="9"/>
        <v>0</v>
      </c>
      <c r="M302" s="7">
        <v>1176.7</v>
      </c>
      <c r="N302" s="5" t="s">
        <v>327</v>
      </c>
      <c r="O302" s="5" t="s">
        <v>33</v>
      </c>
      <c r="P302" s="3">
        <v>8</v>
      </c>
      <c r="Q302" s="3">
        <v>10</v>
      </c>
      <c r="R302" s="5" t="b">
        <v>0</v>
      </c>
      <c r="S302" s="3">
        <v>5</v>
      </c>
      <c r="T302" s="3">
        <v>4</v>
      </c>
    </row>
    <row r="303" spans="1:20">
      <c r="A303" s="5" t="s">
        <v>478</v>
      </c>
      <c r="B303" s="5" t="s">
        <v>479</v>
      </c>
      <c r="C303" s="6">
        <v>45203</v>
      </c>
      <c r="D303" s="8">
        <v>28</v>
      </c>
      <c r="E303" s="5" t="s">
        <v>36</v>
      </c>
      <c r="F303" s="5" t="s">
        <v>49</v>
      </c>
      <c r="G303" s="5" t="s">
        <v>37</v>
      </c>
      <c r="H303" s="7">
        <v>151.13</v>
      </c>
      <c r="I303" s="3">
        <v>1</v>
      </c>
      <c r="J303" s="3">
        <f t="shared" si="8"/>
        <v>151.13</v>
      </c>
      <c r="K303" s="4">
        <v>0</v>
      </c>
      <c r="L303" s="23">
        <f t="shared" si="9"/>
        <v>0</v>
      </c>
      <c r="M303" s="7">
        <v>151.13</v>
      </c>
      <c r="N303" s="5" t="s">
        <v>327</v>
      </c>
      <c r="O303" s="5" t="s">
        <v>29</v>
      </c>
      <c r="P303" s="3">
        <v>4</v>
      </c>
      <c r="Q303" s="3">
        <v>7</v>
      </c>
      <c r="R303" s="5" t="b">
        <v>1</v>
      </c>
      <c r="S303" s="3">
        <v>3</v>
      </c>
      <c r="T303" s="3">
        <v>4</v>
      </c>
    </row>
    <row r="304" spans="1:20">
      <c r="A304" s="5" t="s">
        <v>480</v>
      </c>
      <c r="B304" s="5" t="s">
        <v>481</v>
      </c>
      <c r="C304" s="6">
        <v>44994</v>
      </c>
      <c r="D304" s="8">
        <v>43</v>
      </c>
      <c r="E304" s="5" t="s">
        <v>20</v>
      </c>
      <c r="F304" s="5" t="s">
        <v>21</v>
      </c>
      <c r="G304" s="5" t="s">
        <v>46</v>
      </c>
      <c r="H304" s="7">
        <v>228.88</v>
      </c>
      <c r="I304" s="3">
        <v>1</v>
      </c>
      <c r="J304" s="3">
        <f t="shared" si="8"/>
        <v>228.88</v>
      </c>
      <c r="K304" s="4">
        <v>0</v>
      </c>
      <c r="L304" s="23">
        <f t="shared" si="9"/>
        <v>0</v>
      </c>
      <c r="M304" s="7">
        <v>228.88</v>
      </c>
      <c r="N304" s="5" t="s">
        <v>327</v>
      </c>
      <c r="O304" s="5" t="s">
        <v>24</v>
      </c>
      <c r="P304" s="3">
        <v>5</v>
      </c>
      <c r="Q304" s="3">
        <v>6</v>
      </c>
      <c r="R304" s="5" t="b">
        <v>1</v>
      </c>
      <c r="S304" s="3">
        <v>6</v>
      </c>
      <c r="T304" s="3">
        <v>4</v>
      </c>
    </row>
    <row r="305" spans="1:20">
      <c r="A305" s="5" t="s">
        <v>179</v>
      </c>
      <c r="B305" s="5" t="s">
        <v>180</v>
      </c>
      <c r="C305" s="6">
        <v>45297</v>
      </c>
      <c r="D305" s="8">
        <v>42</v>
      </c>
      <c r="E305" s="5" t="s">
        <v>20</v>
      </c>
      <c r="F305" s="5" t="s">
        <v>21</v>
      </c>
      <c r="G305" s="5" t="s">
        <v>56</v>
      </c>
      <c r="H305" s="7">
        <v>1271.81</v>
      </c>
      <c r="I305" s="3">
        <v>5</v>
      </c>
      <c r="J305" s="3">
        <f t="shared" si="8"/>
        <v>6359.0499999999993</v>
      </c>
      <c r="K305" s="4">
        <v>0</v>
      </c>
      <c r="L305" s="23">
        <f t="shared" si="9"/>
        <v>0</v>
      </c>
      <c r="M305" s="7">
        <v>6359.05</v>
      </c>
      <c r="N305" s="5" t="s">
        <v>23</v>
      </c>
      <c r="O305" s="5" t="s">
        <v>24</v>
      </c>
      <c r="P305" s="3">
        <v>11</v>
      </c>
      <c r="Q305" s="3">
        <v>8</v>
      </c>
      <c r="R305" s="5" t="b">
        <v>1</v>
      </c>
      <c r="S305" s="3">
        <v>4</v>
      </c>
      <c r="T305" s="3">
        <v>4</v>
      </c>
    </row>
    <row r="306" spans="1:20">
      <c r="A306" s="5" t="s">
        <v>181</v>
      </c>
      <c r="B306" s="5" t="s">
        <v>182</v>
      </c>
      <c r="C306" s="6">
        <v>45219</v>
      </c>
      <c r="D306" s="8">
        <v>34</v>
      </c>
      <c r="E306" s="5" t="s">
        <v>36</v>
      </c>
      <c r="F306" s="5" t="s">
        <v>83</v>
      </c>
      <c r="G306" s="5" t="s">
        <v>46</v>
      </c>
      <c r="H306" s="7">
        <v>342.67</v>
      </c>
      <c r="I306" s="3">
        <v>5</v>
      </c>
      <c r="J306" s="3">
        <f t="shared" si="8"/>
        <v>1713.3500000000001</v>
      </c>
      <c r="K306" s="4">
        <v>90.04</v>
      </c>
      <c r="L306" s="23">
        <f t="shared" si="9"/>
        <v>5.2552017976478828E-2</v>
      </c>
      <c r="M306" s="7">
        <v>1623.31</v>
      </c>
      <c r="N306" s="5" t="s">
        <v>23</v>
      </c>
      <c r="O306" s="5" t="s">
        <v>24</v>
      </c>
      <c r="P306" s="3">
        <v>9</v>
      </c>
      <c r="Q306" s="3">
        <v>9</v>
      </c>
      <c r="R306" s="5" t="b">
        <v>1</v>
      </c>
      <c r="S306" s="3">
        <v>5</v>
      </c>
      <c r="T306" s="3">
        <v>5</v>
      </c>
    </row>
    <row r="307" spans="1:20">
      <c r="A307" s="5" t="s">
        <v>1359</v>
      </c>
      <c r="B307" s="5" t="s">
        <v>1360</v>
      </c>
      <c r="C307" s="6">
        <v>45222</v>
      </c>
      <c r="D307" s="8">
        <v>36</v>
      </c>
      <c r="E307" s="5" t="s">
        <v>36</v>
      </c>
      <c r="F307" s="5" t="s">
        <v>59</v>
      </c>
      <c r="G307" s="5" t="s">
        <v>46</v>
      </c>
      <c r="H307" s="7">
        <v>332.34</v>
      </c>
      <c r="I307" s="3">
        <v>1</v>
      </c>
      <c r="J307" s="3">
        <f t="shared" si="8"/>
        <v>332.34</v>
      </c>
      <c r="K307" s="4">
        <v>0</v>
      </c>
      <c r="L307" s="23">
        <f t="shared" si="9"/>
        <v>0</v>
      </c>
      <c r="M307" s="7">
        <v>332.34</v>
      </c>
      <c r="N307" s="5" t="s">
        <v>1298</v>
      </c>
      <c r="O307" s="5" t="s">
        <v>29</v>
      </c>
      <c r="P307" s="3">
        <v>13</v>
      </c>
      <c r="Q307" s="3">
        <v>5</v>
      </c>
      <c r="R307" s="5" t="b">
        <v>1</v>
      </c>
      <c r="S307" s="3">
        <v>6</v>
      </c>
      <c r="T307" s="3">
        <v>4</v>
      </c>
    </row>
    <row r="308" spans="1:20">
      <c r="A308" s="5" t="s">
        <v>482</v>
      </c>
      <c r="B308" s="5" t="s">
        <v>483</v>
      </c>
      <c r="C308" s="6">
        <v>45169</v>
      </c>
      <c r="D308" s="8">
        <v>50</v>
      </c>
      <c r="E308" s="5" t="s">
        <v>36</v>
      </c>
      <c r="F308" s="5" t="s">
        <v>21</v>
      </c>
      <c r="G308" s="5" t="s">
        <v>56</v>
      </c>
      <c r="H308" s="7">
        <v>1406.24</v>
      </c>
      <c r="I308" s="3">
        <v>1</v>
      </c>
      <c r="J308" s="3">
        <f t="shared" si="8"/>
        <v>1406.24</v>
      </c>
      <c r="K308" s="4">
        <v>0</v>
      </c>
      <c r="L308" s="23">
        <f t="shared" si="9"/>
        <v>0</v>
      </c>
      <c r="M308" s="7">
        <v>1406.24</v>
      </c>
      <c r="N308" s="5" t="s">
        <v>327</v>
      </c>
      <c r="O308" s="5" t="s">
        <v>24</v>
      </c>
      <c r="P308" s="3">
        <v>15</v>
      </c>
      <c r="Q308" s="3">
        <v>8</v>
      </c>
      <c r="R308" s="5" t="b">
        <v>1</v>
      </c>
      <c r="S308" s="3">
        <v>4</v>
      </c>
      <c r="T308" s="3">
        <v>3</v>
      </c>
    </row>
    <row r="309" spans="1:20">
      <c r="A309" s="5" t="s">
        <v>484</v>
      </c>
      <c r="B309" s="5" t="s">
        <v>485</v>
      </c>
      <c r="C309" s="6">
        <v>45051</v>
      </c>
      <c r="D309" s="8">
        <v>27</v>
      </c>
      <c r="E309" s="5" t="s">
        <v>36</v>
      </c>
      <c r="F309" s="5" t="s">
        <v>27</v>
      </c>
      <c r="G309" s="5" t="s">
        <v>28</v>
      </c>
      <c r="H309" s="7">
        <v>76.77</v>
      </c>
      <c r="I309" s="3">
        <v>1</v>
      </c>
      <c r="J309" s="3">
        <f t="shared" si="8"/>
        <v>76.77</v>
      </c>
      <c r="K309" s="4">
        <v>0</v>
      </c>
      <c r="L309" s="23">
        <f t="shared" si="9"/>
        <v>0</v>
      </c>
      <c r="M309" s="7">
        <v>76.77</v>
      </c>
      <c r="N309" s="5" t="s">
        <v>327</v>
      </c>
      <c r="O309" s="5" t="s">
        <v>24</v>
      </c>
      <c r="P309" s="3">
        <v>7</v>
      </c>
      <c r="Q309" s="3">
        <v>7</v>
      </c>
      <c r="R309" s="5" t="b">
        <v>1</v>
      </c>
      <c r="S309" s="3">
        <v>2</v>
      </c>
      <c r="T309" s="3">
        <v>5</v>
      </c>
    </row>
    <row r="310" spans="1:20">
      <c r="A310" s="5" t="s">
        <v>1361</v>
      </c>
      <c r="B310" s="5" t="s">
        <v>1362</v>
      </c>
      <c r="C310" s="6">
        <v>45328</v>
      </c>
      <c r="D310" s="8">
        <v>41</v>
      </c>
      <c r="E310" s="5" t="s">
        <v>20</v>
      </c>
      <c r="F310" s="5" t="s">
        <v>52</v>
      </c>
      <c r="G310" s="5" t="s">
        <v>53</v>
      </c>
      <c r="H310" s="7">
        <v>63</v>
      </c>
      <c r="I310" s="3">
        <v>1</v>
      </c>
      <c r="J310" s="3">
        <f t="shared" si="8"/>
        <v>63</v>
      </c>
      <c r="K310" s="4">
        <v>0</v>
      </c>
      <c r="L310" s="23">
        <f t="shared" si="9"/>
        <v>0</v>
      </c>
      <c r="M310" s="7">
        <v>63</v>
      </c>
      <c r="N310" s="5" t="s">
        <v>1298</v>
      </c>
      <c r="O310" s="5" t="s">
        <v>33</v>
      </c>
      <c r="P310" s="3">
        <v>16</v>
      </c>
      <c r="Q310" s="3">
        <v>11</v>
      </c>
      <c r="R310" s="5" t="b">
        <v>1</v>
      </c>
      <c r="S310" s="3">
        <v>12</v>
      </c>
      <c r="T310" s="3">
        <v>5</v>
      </c>
    </row>
    <row r="311" spans="1:20">
      <c r="A311" s="5" t="s">
        <v>911</v>
      </c>
      <c r="B311" s="5" t="s">
        <v>912</v>
      </c>
      <c r="C311" s="6">
        <v>45169</v>
      </c>
      <c r="D311" s="8">
        <v>32</v>
      </c>
      <c r="E311" s="5" t="s">
        <v>20</v>
      </c>
      <c r="F311" s="5" t="s">
        <v>32</v>
      </c>
      <c r="G311" s="5" t="s">
        <v>115</v>
      </c>
      <c r="H311" s="7">
        <v>58.5</v>
      </c>
      <c r="I311" s="3">
        <v>4</v>
      </c>
      <c r="J311" s="3">
        <f t="shared" si="8"/>
        <v>234</v>
      </c>
      <c r="K311" s="4">
        <v>0</v>
      </c>
      <c r="L311" s="23">
        <f t="shared" si="9"/>
        <v>0</v>
      </c>
      <c r="M311" s="7">
        <v>234</v>
      </c>
      <c r="N311" s="5" t="s">
        <v>692</v>
      </c>
      <c r="O311" s="5" t="s">
        <v>33</v>
      </c>
      <c r="P311" s="3">
        <v>14</v>
      </c>
      <c r="Q311" s="3">
        <v>9</v>
      </c>
      <c r="R311" s="5" t="b">
        <v>1</v>
      </c>
      <c r="S311" s="3">
        <v>3</v>
      </c>
      <c r="T311" s="3">
        <v>5</v>
      </c>
    </row>
    <row r="312" spans="1:20">
      <c r="A312" s="5" t="s">
        <v>486</v>
      </c>
      <c r="B312" s="5" t="s">
        <v>487</v>
      </c>
      <c r="C312" s="6">
        <v>45340</v>
      </c>
      <c r="D312" s="8">
        <v>32</v>
      </c>
      <c r="E312" s="5" t="s">
        <v>36</v>
      </c>
      <c r="F312" s="5" t="s">
        <v>52</v>
      </c>
      <c r="G312" s="5" t="s">
        <v>28</v>
      </c>
      <c r="H312" s="7">
        <v>88.12</v>
      </c>
      <c r="I312" s="3">
        <v>4</v>
      </c>
      <c r="J312" s="3">
        <f t="shared" si="8"/>
        <v>352.48</v>
      </c>
      <c r="K312" s="4">
        <v>0</v>
      </c>
      <c r="L312" s="23">
        <f t="shared" si="9"/>
        <v>0</v>
      </c>
      <c r="M312" s="7">
        <v>352.48</v>
      </c>
      <c r="N312" s="5" t="s">
        <v>327</v>
      </c>
      <c r="O312" s="5" t="s">
        <v>33</v>
      </c>
      <c r="P312" s="3">
        <v>8</v>
      </c>
      <c r="Q312" s="3">
        <v>5</v>
      </c>
      <c r="R312" s="5" t="b">
        <v>0</v>
      </c>
      <c r="S312" s="3">
        <v>6</v>
      </c>
      <c r="T312" s="3">
        <v>3</v>
      </c>
    </row>
    <row r="313" spans="1:20">
      <c r="A313" s="5" t="s">
        <v>488</v>
      </c>
      <c r="B313" s="5" t="s">
        <v>489</v>
      </c>
      <c r="C313" s="6">
        <v>45135</v>
      </c>
      <c r="D313" s="8">
        <v>48</v>
      </c>
      <c r="E313" s="5" t="s">
        <v>36</v>
      </c>
      <c r="F313" s="5" t="s">
        <v>21</v>
      </c>
      <c r="G313" s="5" t="s">
        <v>22</v>
      </c>
      <c r="H313" s="7">
        <v>350.76</v>
      </c>
      <c r="I313" s="3">
        <v>4</v>
      </c>
      <c r="J313" s="3">
        <f t="shared" si="8"/>
        <v>1403.04</v>
      </c>
      <c r="K313" s="4">
        <v>51.81</v>
      </c>
      <c r="L313" s="23">
        <f t="shared" si="9"/>
        <v>3.6926958604173797E-2</v>
      </c>
      <c r="M313" s="7">
        <v>1351.23</v>
      </c>
      <c r="N313" s="5" t="s">
        <v>327</v>
      </c>
      <c r="O313" s="5" t="s">
        <v>33</v>
      </c>
      <c r="P313" s="3">
        <v>22</v>
      </c>
      <c r="Q313" s="3">
        <v>10</v>
      </c>
      <c r="R313" s="5" t="b">
        <v>0</v>
      </c>
      <c r="S313" s="3">
        <v>7</v>
      </c>
      <c r="T313" s="3">
        <v>3</v>
      </c>
    </row>
    <row r="314" spans="1:20">
      <c r="A314" s="5" t="s">
        <v>1363</v>
      </c>
      <c r="B314" s="5" t="s">
        <v>1364</v>
      </c>
      <c r="C314" s="6">
        <v>45024</v>
      </c>
      <c r="D314" s="8">
        <v>44</v>
      </c>
      <c r="E314" s="5" t="s">
        <v>36</v>
      </c>
      <c r="F314" s="5" t="s">
        <v>32</v>
      </c>
      <c r="G314" s="5" t="s">
        <v>64</v>
      </c>
      <c r="H314" s="7">
        <v>504.27</v>
      </c>
      <c r="I314" s="3">
        <v>1</v>
      </c>
      <c r="J314" s="3">
        <f t="shared" si="8"/>
        <v>504.27</v>
      </c>
      <c r="K314" s="4">
        <v>80.12</v>
      </c>
      <c r="L314" s="23">
        <f t="shared" si="9"/>
        <v>0.15888313800146747</v>
      </c>
      <c r="M314" s="7">
        <v>424.15</v>
      </c>
      <c r="N314" s="5" t="s">
        <v>1298</v>
      </c>
      <c r="O314" s="5" t="s">
        <v>33</v>
      </c>
      <c r="P314" s="3">
        <v>12</v>
      </c>
      <c r="Q314" s="3">
        <v>10</v>
      </c>
      <c r="R314" s="5" t="b">
        <v>1</v>
      </c>
      <c r="S314" s="3">
        <v>9</v>
      </c>
      <c r="T314" s="3">
        <v>2</v>
      </c>
    </row>
    <row r="315" spans="1:20">
      <c r="A315" s="5" t="s">
        <v>913</v>
      </c>
      <c r="B315" s="5" t="s">
        <v>914</v>
      </c>
      <c r="C315" s="6">
        <v>44975</v>
      </c>
      <c r="D315" s="8">
        <v>44</v>
      </c>
      <c r="E315" s="5" t="s">
        <v>36</v>
      </c>
      <c r="F315" s="5" t="s">
        <v>59</v>
      </c>
      <c r="G315" s="5" t="s">
        <v>115</v>
      </c>
      <c r="H315" s="7">
        <v>35.85</v>
      </c>
      <c r="I315" s="3">
        <v>4</v>
      </c>
      <c r="J315" s="3">
        <f t="shared" si="8"/>
        <v>143.4</v>
      </c>
      <c r="K315" s="4">
        <v>0</v>
      </c>
      <c r="L315" s="23">
        <f t="shared" si="9"/>
        <v>0</v>
      </c>
      <c r="M315" s="7">
        <v>143.4</v>
      </c>
      <c r="N315" s="5" t="s">
        <v>692</v>
      </c>
      <c r="O315" s="5" t="s">
        <v>33</v>
      </c>
      <c r="P315" s="3">
        <v>5</v>
      </c>
      <c r="Q315" s="3">
        <v>7</v>
      </c>
      <c r="R315" s="5" t="b">
        <v>0</v>
      </c>
      <c r="S315" s="3">
        <v>2</v>
      </c>
      <c r="T315" s="3">
        <v>2</v>
      </c>
    </row>
    <row r="316" spans="1:20">
      <c r="A316" s="5" t="s">
        <v>915</v>
      </c>
      <c r="B316" s="5" t="s">
        <v>916</v>
      </c>
      <c r="C316" s="6">
        <v>44976</v>
      </c>
      <c r="D316" s="8">
        <v>50</v>
      </c>
      <c r="E316" s="5" t="s">
        <v>20</v>
      </c>
      <c r="F316" s="5" t="s">
        <v>52</v>
      </c>
      <c r="G316" s="5" t="s">
        <v>28</v>
      </c>
      <c r="H316" s="7">
        <v>157.02000000000001</v>
      </c>
      <c r="I316" s="3">
        <v>3</v>
      </c>
      <c r="J316" s="3">
        <f t="shared" si="8"/>
        <v>471.06000000000006</v>
      </c>
      <c r="K316" s="4">
        <v>0</v>
      </c>
      <c r="L316" s="23">
        <f t="shared" si="9"/>
        <v>0</v>
      </c>
      <c r="M316" s="7">
        <v>471.06</v>
      </c>
      <c r="N316" s="5" t="s">
        <v>692</v>
      </c>
      <c r="O316" s="5" t="s">
        <v>33</v>
      </c>
      <c r="P316" s="3">
        <v>5</v>
      </c>
      <c r="Q316" s="3">
        <v>8</v>
      </c>
      <c r="R316" s="5" t="b">
        <v>1</v>
      </c>
      <c r="S316" s="3">
        <v>5</v>
      </c>
      <c r="T316" s="3">
        <v>5</v>
      </c>
    </row>
    <row r="317" spans="1:20">
      <c r="A317" s="5" t="s">
        <v>917</v>
      </c>
      <c r="B317" s="5" t="s">
        <v>918</v>
      </c>
      <c r="C317" s="6">
        <v>45264</v>
      </c>
      <c r="D317" s="8">
        <v>35</v>
      </c>
      <c r="E317" s="5" t="s">
        <v>36</v>
      </c>
      <c r="F317" s="5" t="s">
        <v>73</v>
      </c>
      <c r="G317" s="5" t="s">
        <v>64</v>
      </c>
      <c r="H317" s="7">
        <v>4047.49</v>
      </c>
      <c r="I317" s="3">
        <v>4</v>
      </c>
      <c r="J317" s="3">
        <f t="shared" si="8"/>
        <v>16189.96</v>
      </c>
      <c r="K317" s="4">
        <v>735.59</v>
      </c>
      <c r="L317" s="23">
        <f t="shared" si="9"/>
        <v>4.5434948573066278E-2</v>
      </c>
      <c r="M317" s="7">
        <v>15454.37</v>
      </c>
      <c r="N317" s="5" t="s">
        <v>692</v>
      </c>
      <c r="O317" s="5" t="s">
        <v>29</v>
      </c>
      <c r="P317" s="3">
        <v>20</v>
      </c>
      <c r="Q317" s="3">
        <v>7</v>
      </c>
      <c r="R317" s="5" t="b">
        <v>1</v>
      </c>
      <c r="S317" s="3">
        <v>11</v>
      </c>
      <c r="T317" s="3">
        <v>2</v>
      </c>
    </row>
    <row r="318" spans="1:20">
      <c r="A318" s="5" t="s">
        <v>919</v>
      </c>
      <c r="B318" s="5" t="s">
        <v>920</v>
      </c>
      <c r="C318" s="6">
        <v>45147</v>
      </c>
      <c r="D318" s="8">
        <v>43</v>
      </c>
      <c r="E318" s="5" t="s">
        <v>20</v>
      </c>
      <c r="F318" s="5" t="s">
        <v>32</v>
      </c>
      <c r="G318" s="5" t="s">
        <v>64</v>
      </c>
      <c r="H318" s="7">
        <v>3802.5</v>
      </c>
      <c r="I318" s="3">
        <v>1</v>
      </c>
      <c r="J318" s="3">
        <f t="shared" si="8"/>
        <v>3802.5</v>
      </c>
      <c r="K318" s="4">
        <v>0</v>
      </c>
      <c r="L318" s="23">
        <f t="shared" si="9"/>
        <v>0</v>
      </c>
      <c r="M318" s="7">
        <v>3802.5</v>
      </c>
      <c r="N318" s="5" t="s">
        <v>692</v>
      </c>
      <c r="O318" s="5" t="s">
        <v>24</v>
      </c>
      <c r="P318" s="3">
        <v>14</v>
      </c>
      <c r="Q318" s="3">
        <v>7</v>
      </c>
      <c r="R318" s="5" t="b">
        <v>1</v>
      </c>
      <c r="S318" s="3">
        <v>14</v>
      </c>
      <c r="T318" s="3">
        <v>4</v>
      </c>
    </row>
    <row r="319" spans="1:20">
      <c r="A319" s="5" t="s">
        <v>921</v>
      </c>
      <c r="B319" s="5" t="s">
        <v>922</v>
      </c>
      <c r="C319" s="6">
        <v>45108</v>
      </c>
      <c r="D319" s="8">
        <v>31</v>
      </c>
      <c r="E319" s="5" t="s">
        <v>20</v>
      </c>
      <c r="F319" s="5" t="s">
        <v>32</v>
      </c>
      <c r="G319" s="5" t="s">
        <v>22</v>
      </c>
      <c r="H319" s="7">
        <v>318.60000000000002</v>
      </c>
      <c r="I319" s="3">
        <v>1</v>
      </c>
      <c r="J319" s="3">
        <f t="shared" si="8"/>
        <v>318.60000000000002</v>
      </c>
      <c r="K319" s="4">
        <v>0</v>
      </c>
      <c r="L319" s="23">
        <f t="shared" si="9"/>
        <v>0</v>
      </c>
      <c r="M319" s="7">
        <v>318.60000000000002</v>
      </c>
      <c r="N319" s="5" t="s">
        <v>692</v>
      </c>
      <c r="O319" s="5" t="s">
        <v>33</v>
      </c>
      <c r="P319" s="3">
        <v>12</v>
      </c>
      <c r="Q319" s="3">
        <v>8</v>
      </c>
      <c r="R319" s="5" t="b">
        <v>0</v>
      </c>
      <c r="S319" s="3">
        <v>5</v>
      </c>
      <c r="T319" s="3">
        <v>5</v>
      </c>
    </row>
    <row r="320" spans="1:20">
      <c r="A320" s="5" t="s">
        <v>490</v>
      </c>
      <c r="B320" s="5" t="s">
        <v>491</v>
      </c>
      <c r="C320" s="6">
        <v>45143</v>
      </c>
      <c r="D320" s="8">
        <v>38</v>
      </c>
      <c r="E320" s="5" t="s">
        <v>20</v>
      </c>
      <c r="F320" s="5" t="s">
        <v>88</v>
      </c>
      <c r="G320" s="5" t="s">
        <v>53</v>
      </c>
      <c r="H320" s="7">
        <v>40.72</v>
      </c>
      <c r="I320" s="3">
        <v>2</v>
      </c>
      <c r="J320" s="3">
        <f t="shared" si="8"/>
        <v>81.44</v>
      </c>
      <c r="K320" s="4">
        <v>0</v>
      </c>
      <c r="L320" s="23">
        <f t="shared" si="9"/>
        <v>0</v>
      </c>
      <c r="M320" s="7">
        <v>81.44</v>
      </c>
      <c r="N320" s="5" t="s">
        <v>327</v>
      </c>
      <c r="O320" s="5" t="s">
        <v>33</v>
      </c>
      <c r="P320" s="3">
        <v>12</v>
      </c>
      <c r="Q320" s="3">
        <v>7</v>
      </c>
      <c r="R320" s="5" t="b">
        <v>1</v>
      </c>
      <c r="S320" s="3">
        <v>7</v>
      </c>
      <c r="T320" s="3">
        <v>5</v>
      </c>
    </row>
    <row r="321" spans="1:20">
      <c r="A321" s="5" t="s">
        <v>1365</v>
      </c>
      <c r="B321" s="5" t="s">
        <v>1366</v>
      </c>
      <c r="C321" s="6">
        <v>45137</v>
      </c>
      <c r="D321" s="8">
        <v>33</v>
      </c>
      <c r="E321" s="5" t="s">
        <v>20</v>
      </c>
      <c r="F321" s="5" t="s">
        <v>73</v>
      </c>
      <c r="G321" s="5" t="s">
        <v>46</v>
      </c>
      <c r="H321" s="7">
        <v>72.16</v>
      </c>
      <c r="I321" s="3">
        <v>1</v>
      </c>
      <c r="J321" s="3">
        <f t="shared" si="8"/>
        <v>72.16</v>
      </c>
      <c r="K321" s="4">
        <v>0</v>
      </c>
      <c r="L321" s="23">
        <f t="shared" si="9"/>
        <v>0</v>
      </c>
      <c r="M321" s="7">
        <v>72.16</v>
      </c>
      <c r="N321" s="5" t="s">
        <v>1298</v>
      </c>
      <c r="O321" s="5" t="s">
        <v>24</v>
      </c>
      <c r="P321" s="3">
        <v>7</v>
      </c>
      <c r="Q321" s="3">
        <v>14</v>
      </c>
      <c r="R321" s="5" t="b">
        <v>1</v>
      </c>
      <c r="S321" s="3">
        <v>4</v>
      </c>
      <c r="T321" s="3">
        <v>3</v>
      </c>
    </row>
    <row r="322" spans="1:20">
      <c r="A322" s="5" t="s">
        <v>492</v>
      </c>
      <c r="B322" s="5" t="s">
        <v>493</v>
      </c>
      <c r="C322" s="6">
        <v>45166</v>
      </c>
      <c r="D322" s="8">
        <v>36</v>
      </c>
      <c r="E322" s="5" t="s">
        <v>20</v>
      </c>
      <c r="F322" s="5" t="s">
        <v>76</v>
      </c>
      <c r="G322" s="5" t="s">
        <v>56</v>
      </c>
      <c r="H322" s="7">
        <v>1077.56</v>
      </c>
      <c r="I322" s="3">
        <v>1</v>
      </c>
      <c r="J322" s="3">
        <f t="shared" si="8"/>
        <v>1077.56</v>
      </c>
      <c r="K322" s="4">
        <v>0</v>
      </c>
      <c r="L322" s="23">
        <f t="shared" si="9"/>
        <v>0</v>
      </c>
      <c r="M322" s="7">
        <v>1077.56</v>
      </c>
      <c r="N322" s="5" t="s">
        <v>327</v>
      </c>
      <c r="O322" s="5" t="s">
        <v>24</v>
      </c>
      <c r="P322" s="3">
        <v>12</v>
      </c>
      <c r="Q322" s="3">
        <v>16</v>
      </c>
      <c r="R322" s="5" t="b">
        <v>0</v>
      </c>
      <c r="S322" s="3">
        <v>6</v>
      </c>
      <c r="T322" s="3">
        <v>4</v>
      </c>
    </row>
    <row r="323" spans="1:20">
      <c r="A323" s="5" t="s">
        <v>923</v>
      </c>
      <c r="B323" s="5" t="s">
        <v>924</v>
      </c>
      <c r="C323" s="6">
        <v>45369</v>
      </c>
      <c r="D323" s="8">
        <v>42</v>
      </c>
      <c r="E323" s="5" t="s">
        <v>20</v>
      </c>
      <c r="F323" s="5" t="s">
        <v>83</v>
      </c>
      <c r="G323" s="5" t="s">
        <v>53</v>
      </c>
      <c r="H323" s="7">
        <v>92.08</v>
      </c>
      <c r="I323" s="3">
        <v>5</v>
      </c>
      <c r="J323" s="3">
        <f t="shared" ref="J323:J386" si="10">H323*I323</f>
        <v>460.4</v>
      </c>
      <c r="K323" s="4">
        <v>0</v>
      </c>
      <c r="L323" s="23">
        <f t="shared" ref="L323:L386" si="11">IF(J323=0,0,K323/J323)</f>
        <v>0</v>
      </c>
      <c r="M323" s="7">
        <v>460.4</v>
      </c>
      <c r="N323" s="5" t="s">
        <v>692</v>
      </c>
      <c r="O323" s="5" t="s">
        <v>24</v>
      </c>
      <c r="P323" s="3">
        <v>7</v>
      </c>
      <c r="Q323" s="3">
        <v>10</v>
      </c>
      <c r="R323" s="5" t="b">
        <v>0</v>
      </c>
      <c r="S323" s="3">
        <v>9</v>
      </c>
      <c r="T323" s="3">
        <v>3</v>
      </c>
    </row>
    <row r="324" spans="1:20">
      <c r="A324" s="5" t="s">
        <v>1367</v>
      </c>
      <c r="B324" s="5" t="s">
        <v>1368</v>
      </c>
      <c r="C324" s="6">
        <v>45300</v>
      </c>
      <c r="D324" s="8">
        <v>25</v>
      </c>
      <c r="E324" s="5" t="s">
        <v>20</v>
      </c>
      <c r="F324" s="5" t="s">
        <v>52</v>
      </c>
      <c r="G324" s="5" t="s">
        <v>64</v>
      </c>
      <c r="H324" s="7">
        <v>1925.4</v>
      </c>
      <c r="I324" s="3">
        <v>3</v>
      </c>
      <c r="J324" s="3">
        <f t="shared" si="10"/>
        <v>5776.2000000000007</v>
      </c>
      <c r="K324" s="4">
        <v>247.59</v>
      </c>
      <c r="L324" s="23">
        <f t="shared" si="11"/>
        <v>4.2863820504830161E-2</v>
      </c>
      <c r="M324" s="7">
        <v>5528.61</v>
      </c>
      <c r="N324" s="5" t="s">
        <v>1298</v>
      </c>
      <c r="O324" s="5" t="s">
        <v>24</v>
      </c>
      <c r="P324" s="3">
        <v>13</v>
      </c>
      <c r="Q324" s="3">
        <v>16</v>
      </c>
      <c r="R324" s="5" t="b">
        <v>1</v>
      </c>
      <c r="S324" s="3">
        <v>4</v>
      </c>
      <c r="T324" s="3">
        <v>3</v>
      </c>
    </row>
    <row r="325" spans="1:20">
      <c r="A325" s="5" t="s">
        <v>494</v>
      </c>
      <c r="B325" s="5" t="s">
        <v>495</v>
      </c>
      <c r="C325" s="6">
        <v>44954</v>
      </c>
      <c r="D325" s="8">
        <v>60</v>
      </c>
      <c r="E325" s="5" t="s">
        <v>20</v>
      </c>
      <c r="F325" s="5" t="s">
        <v>52</v>
      </c>
      <c r="G325" s="5" t="s">
        <v>115</v>
      </c>
      <c r="H325" s="7">
        <v>49.39</v>
      </c>
      <c r="I325" s="3">
        <v>1</v>
      </c>
      <c r="J325" s="3">
        <f t="shared" si="10"/>
        <v>49.39</v>
      </c>
      <c r="K325" s="4">
        <v>0</v>
      </c>
      <c r="L325" s="23">
        <f t="shared" si="11"/>
        <v>0</v>
      </c>
      <c r="M325" s="7">
        <v>49.39</v>
      </c>
      <c r="N325" s="5" t="s">
        <v>327</v>
      </c>
      <c r="O325" s="5" t="s">
        <v>29</v>
      </c>
      <c r="P325" s="3">
        <v>14</v>
      </c>
      <c r="Q325" s="3">
        <v>12</v>
      </c>
      <c r="R325" s="5" t="b">
        <v>1</v>
      </c>
      <c r="S325" s="3">
        <v>6</v>
      </c>
      <c r="T325" s="3">
        <v>4</v>
      </c>
    </row>
    <row r="326" spans="1:20">
      <c r="A326" s="5" t="s">
        <v>925</v>
      </c>
      <c r="B326" s="5" t="s">
        <v>926</v>
      </c>
      <c r="C326" s="6">
        <v>45271</v>
      </c>
      <c r="D326" s="8">
        <v>22</v>
      </c>
      <c r="E326" s="5" t="s">
        <v>36</v>
      </c>
      <c r="F326" s="5" t="s">
        <v>88</v>
      </c>
      <c r="G326" s="5" t="s">
        <v>37</v>
      </c>
      <c r="H326" s="7">
        <v>157.19999999999999</v>
      </c>
      <c r="I326" s="3">
        <v>2</v>
      </c>
      <c r="J326" s="3">
        <f t="shared" si="10"/>
        <v>314.39999999999998</v>
      </c>
      <c r="K326" s="4">
        <v>0</v>
      </c>
      <c r="L326" s="23">
        <f t="shared" si="11"/>
        <v>0</v>
      </c>
      <c r="M326" s="7">
        <v>314.39999999999998</v>
      </c>
      <c r="N326" s="5" t="s">
        <v>692</v>
      </c>
      <c r="O326" s="5" t="s">
        <v>33</v>
      </c>
      <c r="P326" s="3">
        <v>6</v>
      </c>
      <c r="Q326" s="3">
        <v>8</v>
      </c>
      <c r="R326" s="5" t="b">
        <v>1</v>
      </c>
      <c r="S326" s="3">
        <v>8</v>
      </c>
      <c r="T326" s="3">
        <v>4</v>
      </c>
    </row>
    <row r="327" spans="1:20">
      <c r="A327" s="5" t="s">
        <v>927</v>
      </c>
      <c r="B327" s="5" t="s">
        <v>928</v>
      </c>
      <c r="C327" s="6">
        <v>45261</v>
      </c>
      <c r="D327" s="8">
        <v>20</v>
      </c>
      <c r="E327" s="5" t="s">
        <v>20</v>
      </c>
      <c r="F327" s="5" t="s">
        <v>83</v>
      </c>
      <c r="G327" s="5" t="s">
        <v>22</v>
      </c>
      <c r="H327" s="7">
        <v>229.26</v>
      </c>
      <c r="I327" s="3">
        <v>2</v>
      </c>
      <c r="J327" s="3">
        <f t="shared" si="10"/>
        <v>458.52</v>
      </c>
      <c r="K327" s="4">
        <v>0</v>
      </c>
      <c r="L327" s="23">
        <f t="shared" si="11"/>
        <v>0</v>
      </c>
      <c r="M327" s="7">
        <v>458.52</v>
      </c>
      <c r="N327" s="5" t="s">
        <v>692</v>
      </c>
      <c r="O327" s="5" t="s">
        <v>24</v>
      </c>
      <c r="P327" s="3">
        <v>8</v>
      </c>
      <c r="Q327" s="3">
        <v>6</v>
      </c>
      <c r="R327" s="5" t="b">
        <v>1</v>
      </c>
      <c r="S327" s="3">
        <v>7</v>
      </c>
      <c r="T327" s="3">
        <v>1</v>
      </c>
    </row>
    <row r="328" spans="1:20">
      <c r="A328" s="5" t="s">
        <v>183</v>
      </c>
      <c r="B328" s="5" t="s">
        <v>184</v>
      </c>
      <c r="C328" s="6">
        <v>45257</v>
      </c>
      <c r="D328" s="8">
        <v>48</v>
      </c>
      <c r="E328" s="5" t="s">
        <v>20</v>
      </c>
      <c r="F328" s="5" t="s">
        <v>49</v>
      </c>
      <c r="G328" s="5" t="s">
        <v>28</v>
      </c>
      <c r="H328" s="7">
        <v>129.38999999999999</v>
      </c>
      <c r="I328" s="3">
        <v>1</v>
      </c>
      <c r="J328" s="3">
        <f t="shared" si="10"/>
        <v>129.38999999999999</v>
      </c>
      <c r="K328" s="4">
        <v>0</v>
      </c>
      <c r="L328" s="23">
        <f t="shared" si="11"/>
        <v>0</v>
      </c>
      <c r="M328" s="7">
        <v>129.38999999999999</v>
      </c>
      <c r="N328" s="5" t="s">
        <v>23</v>
      </c>
      <c r="O328" s="5" t="s">
        <v>33</v>
      </c>
      <c r="P328" s="3">
        <v>17</v>
      </c>
      <c r="Q328" s="3">
        <v>11</v>
      </c>
      <c r="R328" s="5" t="b">
        <v>1</v>
      </c>
      <c r="S328" s="3">
        <v>2</v>
      </c>
      <c r="T328" s="3">
        <v>4</v>
      </c>
    </row>
    <row r="329" spans="1:20">
      <c r="A329" s="5" t="s">
        <v>185</v>
      </c>
      <c r="B329" s="5" t="s">
        <v>186</v>
      </c>
      <c r="C329" s="6">
        <v>44977</v>
      </c>
      <c r="D329" s="8">
        <v>44</v>
      </c>
      <c r="E329" s="5" t="s">
        <v>36</v>
      </c>
      <c r="F329" s="5" t="s">
        <v>59</v>
      </c>
      <c r="G329" s="5" t="s">
        <v>115</v>
      </c>
      <c r="H329" s="7">
        <v>16.71</v>
      </c>
      <c r="I329" s="3">
        <v>2</v>
      </c>
      <c r="J329" s="3">
        <f t="shared" si="10"/>
        <v>33.42</v>
      </c>
      <c r="K329" s="4">
        <v>0</v>
      </c>
      <c r="L329" s="23">
        <f t="shared" si="11"/>
        <v>0</v>
      </c>
      <c r="M329" s="7">
        <v>33.42</v>
      </c>
      <c r="N329" s="5" t="s">
        <v>23</v>
      </c>
      <c r="O329" s="5" t="s">
        <v>24</v>
      </c>
      <c r="P329" s="3">
        <v>21</v>
      </c>
      <c r="Q329" s="3">
        <v>9</v>
      </c>
      <c r="R329" s="5" t="b">
        <v>0</v>
      </c>
      <c r="S329" s="3">
        <v>7</v>
      </c>
      <c r="T329" s="3">
        <v>3</v>
      </c>
    </row>
    <row r="330" spans="1:20">
      <c r="A330" s="5" t="s">
        <v>496</v>
      </c>
      <c r="B330" s="5" t="s">
        <v>497</v>
      </c>
      <c r="C330" s="6">
        <v>44958</v>
      </c>
      <c r="D330" s="8">
        <v>42</v>
      </c>
      <c r="E330" s="5" t="s">
        <v>36</v>
      </c>
      <c r="F330" s="5" t="s">
        <v>59</v>
      </c>
      <c r="G330" s="5" t="s">
        <v>22</v>
      </c>
      <c r="H330" s="7">
        <v>394.76</v>
      </c>
      <c r="I330" s="3">
        <v>1</v>
      </c>
      <c r="J330" s="3">
        <f t="shared" si="10"/>
        <v>394.76</v>
      </c>
      <c r="K330" s="4">
        <v>0</v>
      </c>
      <c r="L330" s="23">
        <f t="shared" si="11"/>
        <v>0</v>
      </c>
      <c r="M330" s="7">
        <v>394.76</v>
      </c>
      <c r="N330" s="5" t="s">
        <v>327</v>
      </c>
      <c r="O330" s="5" t="s">
        <v>33</v>
      </c>
      <c r="P330" s="3">
        <v>21</v>
      </c>
      <c r="Q330" s="3">
        <v>13</v>
      </c>
      <c r="R330" s="5" t="b">
        <v>1</v>
      </c>
      <c r="S330" s="3">
        <v>3</v>
      </c>
      <c r="T330" s="3">
        <v>5</v>
      </c>
    </row>
    <row r="331" spans="1:20">
      <c r="A331" s="5" t="s">
        <v>929</v>
      </c>
      <c r="B331" s="5" t="s">
        <v>930</v>
      </c>
      <c r="C331" s="6">
        <v>45133</v>
      </c>
      <c r="D331" s="8">
        <v>42</v>
      </c>
      <c r="E331" s="5" t="s">
        <v>36</v>
      </c>
      <c r="F331" s="5" t="s">
        <v>52</v>
      </c>
      <c r="G331" s="5" t="s">
        <v>28</v>
      </c>
      <c r="H331" s="7">
        <v>161.21</v>
      </c>
      <c r="I331" s="3">
        <v>4</v>
      </c>
      <c r="J331" s="3">
        <f t="shared" si="10"/>
        <v>644.84</v>
      </c>
      <c r="K331" s="4">
        <v>0</v>
      </c>
      <c r="L331" s="23">
        <f t="shared" si="11"/>
        <v>0</v>
      </c>
      <c r="M331" s="7">
        <v>644.84</v>
      </c>
      <c r="N331" s="5" t="s">
        <v>692</v>
      </c>
      <c r="O331" s="5" t="s">
        <v>33</v>
      </c>
      <c r="P331" s="3">
        <v>12</v>
      </c>
      <c r="Q331" s="3">
        <v>5</v>
      </c>
      <c r="R331" s="5" t="b">
        <v>1</v>
      </c>
      <c r="S331" s="3">
        <v>2</v>
      </c>
      <c r="T331" s="3">
        <v>4</v>
      </c>
    </row>
    <row r="332" spans="1:20">
      <c r="A332" s="5" t="s">
        <v>187</v>
      </c>
      <c r="B332" s="5" t="s">
        <v>188</v>
      </c>
      <c r="C332" s="6">
        <v>45299</v>
      </c>
      <c r="D332" s="8">
        <v>34</v>
      </c>
      <c r="E332" s="5" t="s">
        <v>20</v>
      </c>
      <c r="F332" s="5" t="s">
        <v>73</v>
      </c>
      <c r="G332" s="5" t="s">
        <v>56</v>
      </c>
      <c r="H332" s="7">
        <v>1518.15</v>
      </c>
      <c r="I332" s="3">
        <v>3</v>
      </c>
      <c r="J332" s="3">
        <f t="shared" si="10"/>
        <v>4554.4500000000007</v>
      </c>
      <c r="K332" s="4">
        <v>0</v>
      </c>
      <c r="L332" s="23">
        <f t="shared" si="11"/>
        <v>0</v>
      </c>
      <c r="M332" s="7">
        <v>4554.45</v>
      </c>
      <c r="N332" s="5" t="s">
        <v>23</v>
      </c>
      <c r="O332" s="5" t="s">
        <v>24</v>
      </c>
      <c r="P332" s="3">
        <v>24</v>
      </c>
      <c r="Q332" s="3">
        <v>10</v>
      </c>
      <c r="R332" s="5" t="b">
        <v>0</v>
      </c>
      <c r="S332" s="3">
        <v>3</v>
      </c>
      <c r="T332" s="3">
        <v>5</v>
      </c>
    </row>
    <row r="333" spans="1:20">
      <c r="A333" s="5" t="s">
        <v>931</v>
      </c>
      <c r="B333" s="5" t="s">
        <v>932</v>
      </c>
      <c r="C333" s="6">
        <v>45100</v>
      </c>
      <c r="D333" s="8">
        <v>24</v>
      </c>
      <c r="E333" s="5" t="s">
        <v>36</v>
      </c>
      <c r="F333" s="5" t="s">
        <v>59</v>
      </c>
      <c r="G333" s="5" t="s">
        <v>37</v>
      </c>
      <c r="H333" s="7">
        <v>63.25</v>
      </c>
      <c r="I333" s="3">
        <v>2</v>
      </c>
      <c r="J333" s="3">
        <f t="shared" si="10"/>
        <v>126.5</v>
      </c>
      <c r="K333" s="4">
        <v>0</v>
      </c>
      <c r="L333" s="23">
        <f t="shared" si="11"/>
        <v>0</v>
      </c>
      <c r="M333" s="7">
        <v>126.5</v>
      </c>
      <c r="N333" s="5" t="s">
        <v>692</v>
      </c>
      <c r="O333" s="5" t="s">
        <v>24</v>
      </c>
      <c r="P333" s="3">
        <v>8</v>
      </c>
      <c r="Q333" s="3">
        <v>12</v>
      </c>
      <c r="R333" s="5" t="b">
        <v>0</v>
      </c>
      <c r="S333" s="3">
        <v>4</v>
      </c>
      <c r="T333" s="3">
        <v>3</v>
      </c>
    </row>
    <row r="334" spans="1:20">
      <c r="A334" s="5" t="s">
        <v>189</v>
      </c>
      <c r="B334" s="5" t="s">
        <v>190</v>
      </c>
      <c r="C334" s="6">
        <v>45336</v>
      </c>
      <c r="D334" s="8">
        <v>35</v>
      </c>
      <c r="E334" s="5" t="s">
        <v>20</v>
      </c>
      <c r="F334" s="5" t="s">
        <v>49</v>
      </c>
      <c r="G334" s="5" t="s">
        <v>46</v>
      </c>
      <c r="H334" s="7">
        <v>214.15</v>
      </c>
      <c r="I334" s="3">
        <v>2</v>
      </c>
      <c r="J334" s="3">
        <f t="shared" si="10"/>
        <v>428.3</v>
      </c>
      <c r="K334" s="4">
        <v>0</v>
      </c>
      <c r="L334" s="23">
        <f t="shared" si="11"/>
        <v>0</v>
      </c>
      <c r="M334" s="7">
        <v>428.3</v>
      </c>
      <c r="N334" s="5" t="s">
        <v>23</v>
      </c>
      <c r="O334" s="5" t="s">
        <v>24</v>
      </c>
      <c r="P334" s="3">
        <v>4</v>
      </c>
      <c r="Q334" s="3">
        <v>4</v>
      </c>
      <c r="R334" s="5" t="b">
        <v>0</v>
      </c>
      <c r="S334" s="3">
        <v>3</v>
      </c>
      <c r="T334" s="3">
        <v>5</v>
      </c>
    </row>
    <row r="335" spans="1:20">
      <c r="A335" s="5" t="s">
        <v>498</v>
      </c>
      <c r="B335" s="5" t="s">
        <v>499</v>
      </c>
      <c r="C335" s="6">
        <v>45368</v>
      </c>
      <c r="D335" s="8">
        <v>26</v>
      </c>
      <c r="E335" s="5" t="s">
        <v>20</v>
      </c>
      <c r="F335" s="5" t="s">
        <v>32</v>
      </c>
      <c r="G335" s="5" t="s">
        <v>53</v>
      </c>
      <c r="H335" s="7">
        <v>91.5</v>
      </c>
      <c r="I335" s="3">
        <v>5</v>
      </c>
      <c r="J335" s="3">
        <f t="shared" si="10"/>
        <v>457.5</v>
      </c>
      <c r="K335" s="4">
        <v>0</v>
      </c>
      <c r="L335" s="23">
        <f t="shared" si="11"/>
        <v>0</v>
      </c>
      <c r="M335" s="7">
        <v>457.5</v>
      </c>
      <c r="N335" s="5" t="s">
        <v>327</v>
      </c>
      <c r="O335" s="5" t="s">
        <v>33</v>
      </c>
      <c r="P335" s="3">
        <v>9</v>
      </c>
      <c r="Q335" s="3">
        <v>9</v>
      </c>
      <c r="R335" s="5" t="b">
        <v>1</v>
      </c>
      <c r="S335" s="3">
        <v>6</v>
      </c>
      <c r="T335" s="3">
        <v>4</v>
      </c>
    </row>
    <row r="336" spans="1:20">
      <c r="A336" s="5" t="s">
        <v>933</v>
      </c>
      <c r="B336" s="5" t="s">
        <v>934</v>
      </c>
      <c r="C336" s="6">
        <v>44982</v>
      </c>
      <c r="D336" s="8">
        <v>46</v>
      </c>
      <c r="E336" s="5" t="s">
        <v>20</v>
      </c>
      <c r="F336" s="5" t="s">
        <v>52</v>
      </c>
      <c r="G336" s="5" t="s">
        <v>37</v>
      </c>
      <c r="H336" s="7">
        <v>206.16</v>
      </c>
      <c r="I336" s="3">
        <v>5</v>
      </c>
      <c r="J336" s="3">
        <f t="shared" si="10"/>
        <v>1030.8</v>
      </c>
      <c r="K336" s="4">
        <v>0</v>
      </c>
      <c r="L336" s="23">
        <f t="shared" si="11"/>
        <v>0</v>
      </c>
      <c r="M336" s="7">
        <v>1030.8</v>
      </c>
      <c r="N336" s="5" t="s">
        <v>692</v>
      </c>
      <c r="O336" s="5" t="s">
        <v>33</v>
      </c>
      <c r="P336" s="3">
        <v>9</v>
      </c>
      <c r="Q336" s="3">
        <v>9</v>
      </c>
      <c r="R336" s="5" t="b">
        <v>0</v>
      </c>
      <c r="S336" s="3">
        <v>15</v>
      </c>
      <c r="T336" s="3">
        <v>3</v>
      </c>
    </row>
    <row r="337" spans="1:20">
      <c r="A337" s="5" t="s">
        <v>935</v>
      </c>
      <c r="B337" s="5" t="s">
        <v>936</v>
      </c>
      <c r="C337" s="6">
        <v>45054</v>
      </c>
      <c r="D337" s="8">
        <v>33</v>
      </c>
      <c r="E337" s="5" t="s">
        <v>36</v>
      </c>
      <c r="F337" s="5" t="s">
        <v>32</v>
      </c>
      <c r="G337" s="5" t="s">
        <v>53</v>
      </c>
      <c r="H337" s="7">
        <v>49.39</v>
      </c>
      <c r="I337" s="3">
        <v>1</v>
      </c>
      <c r="J337" s="3">
        <f t="shared" si="10"/>
        <v>49.39</v>
      </c>
      <c r="K337" s="4">
        <v>0</v>
      </c>
      <c r="L337" s="23">
        <f t="shared" si="11"/>
        <v>0</v>
      </c>
      <c r="M337" s="7">
        <v>49.39</v>
      </c>
      <c r="N337" s="5" t="s">
        <v>692</v>
      </c>
      <c r="O337" s="5" t="s">
        <v>29</v>
      </c>
      <c r="P337" s="3">
        <v>8</v>
      </c>
      <c r="Q337" s="3">
        <v>13</v>
      </c>
      <c r="R337" s="5" t="b">
        <v>0</v>
      </c>
      <c r="S337" s="3">
        <v>5</v>
      </c>
      <c r="T337" s="3">
        <v>5</v>
      </c>
    </row>
    <row r="338" spans="1:20">
      <c r="A338" s="5" t="s">
        <v>937</v>
      </c>
      <c r="B338" s="5" t="s">
        <v>938</v>
      </c>
      <c r="C338" s="6">
        <v>45025</v>
      </c>
      <c r="D338" s="8">
        <v>25</v>
      </c>
      <c r="E338" s="5" t="s">
        <v>20</v>
      </c>
      <c r="F338" s="5" t="s">
        <v>32</v>
      </c>
      <c r="G338" s="5" t="s">
        <v>53</v>
      </c>
      <c r="H338" s="7">
        <v>82.06</v>
      </c>
      <c r="I338" s="3">
        <v>1</v>
      </c>
      <c r="J338" s="3">
        <f t="shared" si="10"/>
        <v>82.06</v>
      </c>
      <c r="K338" s="4">
        <v>5.79</v>
      </c>
      <c r="L338" s="23">
        <f t="shared" si="11"/>
        <v>7.0558128198878869E-2</v>
      </c>
      <c r="M338" s="7">
        <v>76.27</v>
      </c>
      <c r="N338" s="5" t="s">
        <v>692</v>
      </c>
      <c r="O338" s="5" t="s">
        <v>24</v>
      </c>
      <c r="P338" s="3">
        <v>19</v>
      </c>
      <c r="Q338" s="3">
        <v>12</v>
      </c>
      <c r="R338" s="5" t="b">
        <v>0</v>
      </c>
      <c r="S338" s="3">
        <v>7</v>
      </c>
      <c r="T338" s="3">
        <v>5</v>
      </c>
    </row>
    <row r="339" spans="1:20">
      <c r="A339" s="5" t="s">
        <v>939</v>
      </c>
      <c r="B339" s="5" t="s">
        <v>940</v>
      </c>
      <c r="C339" s="6">
        <v>45024</v>
      </c>
      <c r="D339" s="8">
        <v>31</v>
      </c>
      <c r="E339" s="5" t="s">
        <v>20</v>
      </c>
      <c r="F339" s="5" t="s">
        <v>88</v>
      </c>
      <c r="G339" s="5" t="s">
        <v>46</v>
      </c>
      <c r="H339" s="7">
        <v>341.81</v>
      </c>
      <c r="I339" s="3">
        <v>3</v>
      </c>
      <c r="J339" s="3">
        <f t="shared" si="10"/>
        <v>1025.43</v>
      </c>
      <c r="K339" s="4">
        <v>0</v>
      </c>
      <c r="L339" s="23">
        <f t="shared" si="11"/>
        <v>0</v>
      </c>
      <c r="M339" s="7">
        <v>1025.43</v>
      </c>
      <c r="N339" s="5" t="s">
        <v>692</v>
      </c>
      <c r="O339" s="5" t="s">
        <v>33</v>
      </c>
      <c r="P339" s="3">
        <v>13</v>
      </c>
      <c r="Q339" s="3">
        <v>6</v>
      </c>
      <c r="R339" s="5" t="b">
        <v>0</v>
      </c>
      <c r="S339" s="3">
        <v>9</v>
      </c>
      <c r="T339" s="3">
        <v>5</v>
      </c>
    </row>
    <row r="340" spans="1:20">
      <c r="A340" s="5" t="s">
        <v>941</v>
      </c>
      <c r="B340" s="5" t="s">
        <v>942</v>
      </c>
      <c r="C340" s="6">
        <v>45201</v>
      </c>
      <c r="D340" s="8">
        <v>39</v>
      </c>
      <c r="E340" s="5" t="s">
        <v>20</v>
      </c>
      <c r="F340" s="5" t="s">
        <v>32</v>
      </c>
      <c r="G340" s="5" t="s">
        <v>46</v>
      </c>
      <c r="H340" s="7">
        <v>355.96</v>
      </c>
      <c r="I340" s="3">
        <v>5</v>
      </c>
      <c r="J340" s="3">
        <f t="shared" si="10"/>
        <v>1779.8</v>
      </c>
      <c r="K340" s="4">
        <v>0</v>
      </c>
      <c r="L340" s="23">
        <f t="shared" si="11"/>
        <v>0</v>
      </c>
      <c r="M340" s="7">
        <v>1779.8</v>
      </c>
      <c r="N340" s="5" t="s">
        <v>692</v>
      </c>
      <c r="O340" s="5" t="s">
        <v>24</v>
      </c>
      <c r="P340" s="3">
        <v>24</v>
      </c>
      <c r="Q340" s="3">
        <v>7</v>
      </c>
      <c r="R340" s="5" t="b">
        <v>0</v>
      </c>
      <c r="S340" s="3">
        <v>13</v>
      </c>
      <c r="T340" s="3">
        <v>5</v>
      </c>
    </row>
    <row r="341" spans="1:20">
      <c r="A341" s="5" t="s">
        <v>500</v>
      </c>
      <c r="B341" s="5" t="s">
        <v>501</v>
      </c>
      <c r="C341" s="6">
        <v>45156</v>
      </c>
      <c r="D341" s="8">
        <v>28</v>
      </c>
      <c r="E341" s="5" t="s">
        <v>36</v>
      </c>
      <c r="F341" s="5" t="s">
        <v>32</v>
      </c>
      <c r="G341" s="5" t="s">
        <v>28</v>
      </c>
      <c r="H341" s="7">
        <v>196.38</v>
      </c>
      <c r="I341" s="3">
        <v>2</v>
      </c>
      <c r="J341" s="3">
        <f t="shared" si="10"/>
        <v>392.76</v>
      </c>
      <c r="K341" s="4">
        <v>0</v>
      </c>
      <c r="L341" s="23">
        <f t="shared" si="11"/>
        <v>0</v>
      </c>
      <c r="M341" s="7">
        <v>392.76</v>
      </c>
      <c r="N341" s="5" t="s">
        <v>327</v>
      </c>
      <c r="O341" s="5" t="s">
        <v>33</v>
      </c>
      <c r="P341" s="3">
        <v>9</v>
      </c>
      <c r="Q341" s="3">
        <v>10</v>
      </c>
      <c r="R341" s="5" t="b">
        <v>0</v>
      </c>
      <c r="S341" s="3">
        <v>6</v>
      </c>
      <c r="T341" s="3">
        <v>3</v>
      </c>
    </row>
    <row r="342" spans="1:20">
      <c r="A342" s="5" t="s">
        <v>502</v>
      </c>
      <c r="B342" s="5" t="s">
        <v>503</v>
      </c>
      <c r="C342" s="6">
        <v>44998</v>
      </c>
      <c r="D342" s="8">
        <v>25</v>
      </c>
      <c r="E342" s="5" t="s">
        <v>36</v>
      </c>
      <c r="F342" s="5" t="s">
        <v>52</v>
      </c>
      <c r="G342" s="5" t="s">
        <v>46</v>
      </c>
      <c r="H342" s="7">
        <v>352.49</v>
      </c>
      <c r="I342" s="3">
        <v>1</v>
      </c>
      <c r="J342" s="3">
        <f t="shared" si="10"/>
        <v>352.49</v>
      </c>
      <c r="K342" s="4">
        <v>0</v>
      </c>
      <c r="L342" s="23">
        <f t="shared" si="11"/>
        <v>0</v>
      </c>
      <c r="M342" s="7">
        <v>352.49</v>
      </c>
      <c r="N342" s="5" t="s">
        <v>327</v>
      </c>
      <c r="O342" s="5" t="s">
        <v>33</v>
      </c>
      <c r="P342" s="3">
        <v>11</v>
      </c>
      <c r="Q342" s="3">
        <v>7</v>
      </c>
      <c r="R342" s="5" t="b">
        <v>0</v>
      </c>
      <c r="S342" s="3">
        <v>3</v>
      </c>
      <c r="T342" s="3">
        <v>4</v>
      </c>
    </row>
    <row r="343" spans="1:20">
      <c r="A343" s="5" t="s">
        <v>504</v>
      </c>
      <c r="B343" s="5" t="s">
        <v>505</v>
      </c>
      <c r="C343" s="6">
        <v>45143</v>
      </c>
      <c r="D343" s="8">
        <v>37</v>
      </c>
      <c r="E343" s="5" t="s">
        <v>20</v>
      </c>
      <c r="F343" s="5" t="s">
        <v>73</v>
      </c>
      <c r="G343" s="5" t="s">
        <v>56</v>
      </c>
      <c r="H343" s="7">
        <v>697.98</v>
      </c>
      <c r="I343" s="3">
        <v>3</v>
      </c>
      <c r="J343" s="3">
        <f t="shared" si="10"/>
        <v>2093.94</v>
      </c>
      <c r="K343" s="4">
        <v>167.79</v>
      </c>
      <c r="L343" s="23">
        <f t="shared" si="11"/>
        <v>8.0131235852030136E-2</v>
      </c>
      <c r="M343" s="7">
        <v>1926.15</v>
      </c>
      <c r="N343" s="5" t="s">
        <v>327</v>
      </c>
      <c r="O343" s="5" t="s">
        <v>29</v>
      </c>
      <c r="P343" s="3">
        <v>17</v>
      </c>
      <c r="Q343" s="3">
        <v>14</v>
      </c>
      <c r="R343" s="5" t="b">
        <v>1</v>
      </c>
      <c r="S343" s="3">
        <v>12</v>
      </c>
      <c r="T343" s="3">
        <v>4</v>
      </c>
    </row>
    <row r="344" spans="1:20">
      <c r="A344" s="5" t="s">
        <v>506</v>
      </c>
      <c r="B344" s="5" t="s">
        <v>507</v>
      </c>
      <c r="C344" s="6">
        <v>45020</v>
      </c>
      <c r="D344" s="8">
        <v>37</v>
      </c>
      <c r="E344" s="5" t="s">
        <v>36</v>
      </c>
      <c r="F344" s="5" t="s">
        <v>73</v>
      </c>
      <c r="G344" s="5" t="s">
        <v>22</v>
      </c>
      <c r="H344" s="7">
        <v>255.96</v>
      </c>
      <c r="I344" s="3">
        <v>1</v>
      </c>
      <c r="J344" s="3">
        <f t="shared" si="10"/>
        <v>255.96</v>
      </c>
      <c r="K344" s="4">
        <v>0</v>
      </c>
      <c r="L344" s="23">
        <f t="shared" si="11"/>
        <v>0</v>
      </c>
      <c r="M344" s="7">
        <v>255.96</v>
      </c>
      <c r="N344" s="5" t="s">
        <v>327</v>
      </c>
      <c r="O344" s="5" t="s">
        <v>33</v>
      </c>
      <c r="P344" s="3">
        <v>21</v>
      </c>
      <c r="Q344" s="3">
        <v>9</v>
      </c>
      <c r="R344" s="5" t="b">
        <v>1</v>
      </c>
      <c r="S344" s="3">
        <v>5</v>
      </c>
      <c r="T344" s="3">
        <v>2</v>
      </c>
    </row>
    <row r="345" spans="1:20">
      <c r="A345" s="5" t="s">
        <v>191</v>
      </c>
      <c r="B345" s="5" t="s">
        <v>192</v>
      </c>
      <c r="C345" s="6">
        <v>45069</v>
      </c>
      <c r="D345" s="8">
        <v>28</v>
      </c>
      <c r="E345" s="5" t="s">
        <v>36</v>
      </c>
      <c r="F345" s="5" t="s">
        <v>32</v>
      </c>
      <c r="G345" s="5" t="s">
        <v>64</v>
      </c>
      <c r="H345" s="7">
        <v>555.79999999999995</v>
      </c>
      <c r="I345" s="3">
        <v>2</v>
      </c>
      <c r="J345" s="3">
        <f t="shared" si="10"/>
        <v>1111.5999999999999</v>
      </c>
      <c r="K345" s="4">
        <v>0</v>
      </c>
      <c r="L345" s="23">
        <f t="shared" si="11"/>
        <v>0</v>
      </c>
      <c r="M345" s="7">
        <v>1111.5999999999999</v>
      </c>
      <c r="N345" s="5" t="s">
        <v>23</v>
      </c>
      <c r="O345" s="5" t="s">
        <v>29</v>
      </c>
      <c r="P345" s="3">
        <v>31</v>
      </c>
      <c r="Q345" s="3">
        <v>12</v>
      </c>
      <c r="R345" s="5" t="b">
        <v>1</v>
      </c>
      <c r="S345" s="3">
        <v>11</v>
      </c>
      <c r="T345" s="3">
        <v>5</v>
      </c>
    </row>
    <row r="346" spans="1:20">
      <c r="A346" s="5" t="s">
        <v>1369</v>
      </c>
      <c r="B346" s="5" t="s">
        <v>1370</v>
      </c>
      <c r="C346" s="6">
        <v>45163</v>
      </c>
      <c r="D346" s="8">
        <v>29</v>
      </c>
      <c r="E346" s="5" t="s">
        <v>36</v>
      </c>
      <c r="F346" s="5" t="s">
        <v>32</v>
      </c>
      <c r="G346" s="5" t="s">
        <v>46</v>
      </c>
      <c r="H346" s="7">
        <v>523.16</v>
      </c>
      <c r="I346" s="3">
        <v>5</v>
      </c>
      <c r="J346" s="3">
        <f t="shared" si="10"/>
        <v>2615.7999999999997</v>
      </c>
      <c r="K346" s="4">
        <v>0</v>
      </c>
      <c r="L346" s="23">
        <f t="shared" si="11"/>
        <v>0</v>
      </c>
      <c r="M346" s="7">
        <v>2615.8000000000002</v>
      </c>
      <c r="N346" s="5" t="s">
        <v>1298</v>
      </c>
      <c r="O346" s="5" t="s">
        <v>33</v>
      </c>
      <c r="P346" s="3">
        <v>11</v>
      </c>
      <c r="Q346" s="3">
        <v>6</v>
      </c>
      <c r="R346" s="5" t="b">
        <v>1</v>
      </c>
      <c r="S346" s="3">
        <v>8</v>
      </c>
      <c r="T346" s="3">
        <v>4</v>
      </c>
    </row>
    <row r="347" spans="1:20">
      <c r="A347" s="5" t="s">
        <v>943</v>
      </c>
      <c r="B347" s="5" t="s">
        <v>944</v>
      </c>
      <c r="C347" s="6">
        <v>45054</v>
      </c>
      <c r="D347" s="8">
        <v>37</v>
      </c>
      <c r="E347" s="5" t="s">
        <v>20</v>
      </c>
      <c r="F347" s="5" t="s">
        <v>32</v>
      </c>
      <c r="G347" s="5" t="s">
        <v>22</v>
      </c>
      <c r="H347" s="7">
        <v>102.11</v>
      </c>
      <c r="I347" s="3">
        <v>5</v>
      </c>
      <c r="J347" s="3">
        <f t="shared" si="10"/>
        <v>510.55</v>
      </c>
      <c r="K347" s="4">
        <v>0</v>
      </c>
      <c r="L347" s="23">
        <f t="shared" si="11"/>
        <v>0</v>
      </c>
      <c r="M347" s="7">
        <v>510.55</v>
      </c>
      <c r="N347" s="5" t="s">
        <v>692</v>
      </c>
      <c r="O347" s="5" t="s">
        <v>24</v>
      </c>
      <c r="P347" s="3">
        <v>2</v>
      </c>
      <c r="Q347" s="3">
        <v>9</v>
      </c>
      <c r="R347" s="5" t="b">
        <v>0</v>
      </c>
      <c r="S347" s="3">
        <v>9</v>
      </c>
      <c r="T347" s="3">
        <v>5</v>
      </c>
    </row>
    <row r="348" spans="1:20">
      <c r="A348" s="5" t="s">
        <v>508</v>
      </c>
      <c r="B348" s="5" t="s">
        <v>509</v>
      </c>
      <c r="C348" s="6">
        <v>45374</v>
      </c>
      <c r="D348" s="8">
        <v>18</v>
      </c>
      <c r="E348" s="5" t="s">
        <v>36</v>
      </c>
      <c r="F348" s="5" t="s">
        <v>21</v>
      </c>
      <c r="G348" s="5" t="s">
        <v>28</v>
      </c>
      <c r="H348" s="7">
        <v>248.3</v>
      </c>
      <c r="I348" s="3">
        <v>1</v>
      </c>
      <c r="J348" s="3">
        <f t="shared" si="10"/>
        <v>248.3</v>
      </c>
      <c r="K348" s="4">
        <v>0</v>
      </c>
      <c r="L348" s="23">
        <f t="shared" si="11"/>
        <v>0</v>
      </c>
      <c r="M348" s="7">
        <v>248.3</v>
      </c>
      <c r="N348" s="5" t="s">
        <v>327</v>
      </c>
      <c r="O348" s="5" t="s">
        <v>33</v>
      </c>
      <c r="P348" s="3">
        <v>1</v>
      </c>
      <c r="Q348" s="3">
        <v>4</v>
      </c>
      <c r="R348" s="5" t="b">
        <v>0</v>
      </c>
      <c r="S348" s="3">
        <v>10</v>
      </c>
      <c r="T348" s="3">
        <v>4</v>
      </c>
    </row>
    <row r="349" spans="1:20">
      <c r="A349" s="5" t="s">
        <v>945</v>
      </c>
      <c r="B349" s="5" t="s">
        <v>946</v>
      </c>
      <c r="C349" s="6">
        <v>44965</v>
      </c>
      <c r="D349" s="8">
        <v>18</v>
      </c>
      <c r="E349" s="5" t="s">
        <v>20</v>
      </c>
      <c r="F349" s="5" t="s">
        <v>52</v>
      </c>
      <c r="G349" s="5" t="s">
        <v>46</v>
      </c>
      <c r="H349" s="7">
        <v>893.98</v>
      </c>
      <c r="I349" s="3">
        <v>2</v>
      </c>
      <c r="J349" s="3">
        <f t="shared" si="10"/>
        <v>1787.96</v>
      </c>
      <c r="K349" s="4">
        <v>98.59</v>
      </c>
      <c r="L349" s="23">
        <f t="shared" si="11"/>
        <v>5.5141054609722816E-2</v>
      </c>
      <c r="M349" s="7">
        <v>1689.37</v>
      </c>
      <c r="N349" s="5" t="s">
        <v>692</v>
      </c>
      <c r="O349" s="5" t="s">
        <v>33</v>
      </c>
      <c r="P349" s="3">
        <v>39</v>
      </c>
      <c r="Q349" s="3">
        <v>12</v>
      </c>
      <c r="R349" s="5" t="b">
        <v>1</v>
      </c>
      <c r="S349" s="3">
        <v>8</v>
      </c>
      <c r="T349" s="3">
        <v>4</v>
      </c>
    </row>
    <row r="350" spans="1:20">
      <c r="A350" s="5" t="s">
        <v>947</v>
      </c>
      <c r="B350" s="5" t="s">
        <v>948</v>
      </c>
      <c r="C350" s="6">
        <v>45153</v>
      </c>
      <c r="D350" s="8">
        <v>26</v>
      </c>
      <c r="E350" s="5" t="s">
        <v>36</v>
      </c>
      <c r="F350" s="5" t="s">
        <v>76</v>
      </c>
      <c r="G350" s="5" t="s">
        <v>64</v>
      </c>
      <c r="H350" s="7">
        <v>1265.69</v>
      </c>
      <c r="I350" s="3">
        <v>1</v>
      </c>
      <c r="J350" s="3">
        <f t="shared" si="10"/>
        <v>1265.69</v>
      </c>
      <c r="K350" s="4">
        <v>0</v>
      </c>
      <c r="L350" s="23">
        <f t="shared" si="11"/>
        <v>0</v>
      </c>
      <c r="M350" s="7">
        <v>1265.69</v>
      </c>
      <c r="N350" s="5" t="s">
        <v>692</v>
      </c>
      <c r="O350" s="5" t="s">
        <v>33</v>
      </c>
      <c r="P350" s="3">
        <v>11</v>
      </c>
      <c r="Q350" s="3">
        <v>7</v>
      </c>
      <c r="R350" s="5" t="b">
        <v>1</v>
      </c>
      <c r="S350" s="3">
        <v>5</v>
      </c>
      <c r="T350" s="3">
        <v>2</v>
      </c>
    </row>
    <row r="351" spans="1:20">
      <c r="A351" s="5" t="s">
        <v>193</v>
      </c>
      <c r="B351" s="5" t="s">
        <v>194</v>
      </c>
      <c r="C351" s="6">
        <v>45340</v>
      </c>
      <c r="D351" s="8">
        <v>32</v>
      </c>
      <c r="E351" s="5" t="s">
        <v>20</v>
      </c>
      <c r="F351" s="5" t="s">
        <v>21</v>
      </c>
      <c r="G351" s="5" t="s">
        <v>37</v>
      </c>
      <c r="H351" s="7">
        <v>246.17</v>
      </c>
      <c r="I351" s="3">
        <v>5</v>
      </c>
      <c r="J351" s="3">
        <f t="shared" si="10"/>
        <v>1230.8499999999999</v>
      </c>
      <c r="K351" s="4">
        <v>0</v>
      </c>
      <c r="L351" s="23">
        <f t="shared" si="11"/>
        <v>0</v>
      </c>
      <c r="M351" s="7">
        <v>1230.8499999999999</v>
      </c>
      <c r="N351" s="5" t="s">
        <v>23</v>
      </c>
      <c r="O351" s="5" t="s">
        <v>33</v>
      </c>
      <c r="P351" s="3">
        <v>31</v>
      </c>
      <c r="Q351" s="3">
        <v>13</v>
      </c>
      <c r="R351" s="5" t="b">
        <v>1</v>
      </c>
      <c r="S351" s="3">
        <v>9</v>
      </c>
      <c r="T351" s="3">
        <v>3</v>
      </c>
    </row>
    <row r="352" spans="1:20">
      <c r="A352" s="5" t="s">
        <v>510</v>
      </c>
      <c r="B352" s="5" t="s">
        <v>511</v>
      </c>
      <c r="C352" s="6">
        <v>45368</v>
      </c>
      <c r="D352" s="8">
        <v>38</v>
      </c>
      <c r="E352" s="5" t="s">
        <v>20</v>
      </c>
      <c r="F352" s="5" t="s">
        <v>32</v>
      </c>
      <c r="G352" s="5" t="s">
        <v>115</v>
      </c>
      <c r="H352" s="7">
        <v>134.15</v>
      </c>
      <c r="I352" s="3">
        <v>1</v>
      </c>
      <c r="J352" s="3">
        <f t="shared" si="10"/>
        <v>134.15</v>
      </c>
      <c r="K352" s="4">
        <v>0</v>
      </c>
      <c r="L352" s="23">
        <f t="shared" si="11"/>
        <v>0</v>
      </c>
      <c r="M352" s="7">
        <v>134.15</v>
      </c>
      <c r="N352" s="5" t="s">
        <v>327</v>
      </c>
      <c r="O352" s="5" t="s">
        <v>33</v>
      </c>
      <c r="P352" s="3">
        <v>14</v>
      </c>
      <c r="Q352" s="3">
        <v>6</v>
      </c>
      <c r="R352" s="5" t="b">
        <v>1</v>
      </c>
      <c r="S352" s="3">
        <v>3</v>
      </c>
      <c r="T352" s="3">
        <v>5</v>
      </c>
    </row>
    <row r="353" spans="1:20">
      <c r="A353" s="5" t="s">
        <v>195</v>
      </c>
      <c r="B353" s="5" t="s">
        <v>196</v>
      </c>
      <c r="C353" s="6">
        <v>45365</v>
      </c>
      <c r="D353" s="8">
        <v>52</v>
      </c>
      <c r="E353" s="5" t="s">
        <v>20</v>
      </c>
      <c r="F353" s="5" t="s">
        <v>27</v>
      </c>
      <c r="G353" s="5" t="s">
        <v>46</v>
      </c>
      <c r="H353" s="7">
        <v>529.26</v>
      </c>
      <c r="I353" s="3">
        <v>1</v>
      </c>
      <c r="J353" s="3">
        <f t="shared" si="10"/>
        <v>529.26</v>
      </c>
      <c r="K353" s="4">
        <v>45.68</v>
      </c>
      <c r="L353" s="23">
        <f t="shared" si="11"/>
        <v>8.6309186411215655E-2</v>
      </c>
      <c r="M353" s="7">
        <v>483.58</v>
      </c>
      <c r="N353" s="5" t="s">
        <v>23</v>
      </c>
      <c r="O353" s="5" t="s">
        <v>33</v>
      </c>
      <c r="P353" s="3">
        <v>26</v>
      </c>
      <c r="Q353" s="3">
        <v>9</v>
      </c>
      <c r="R353" s="5" t="b">
        <v>1</v>
      </c>
      <c r="S353" s="3">
        <v>10</v>
      </c>
      <c r="T353" s="3">
        <v>5</v>
      </c>
    </row>
    <row r="354" spans="1:20">
      <c r="A354" s="5" t="s">
        <v>512</v>
      </c>
      <c r="B354" s="5" t="s">
        <v>513</v>
      </c>
      <c r="C354" s="6">
        <v>45208</v>
      </c>
      <c r="D354" s="8">
        <v>45</v>
      </c>
      <c r="E354" s="5" t="s">
        <v>36</v>
      </c>
      <c r="F354" s="5" t="s">
        <v>52</v>
      </c>
      <c r="G354" s="5" t="s">
        <v>22</v>
      </c>
      <c r="H354" s="7">
        <v>195.94</v>
      </c>
      <c r="I354" s="3">
        <v>4</v>
      </c>
      <c r="J354" s="3">
        <f t="shared" si="10"/>
        <v>783.76</v>
      </c>
      <c r="K354" s="4">
        <v>14.08</v>
      </c>
      <c r="L354" s="23">
        <f t="shared" si="11"/>
        <v>1.7964683066244769E-2</v>
      </c>
      <c r="M354" s="7">
        <v>769.68</v>
      </c>
      <c r="N354" s="5" t="s">
        <v>327</v>
      </c>
      <c r="O354" s="5" t="s">
        <v>24</v>
      </c>
      <c r="P354" s="3">
        <v>21</v>
      </c>
      <c r="Q354" s="3">
        <v>6</v>
      </c>
      <c r="R354" s="5" t="b">
        <v>0</v>
      </c>
      <c r="S354" s="3">
        <v>15</v>
      </c>
      <c r="T354" s="3">
        <v>4</v>
      </c>
    </row>
    <row r="355" spans="1:20">
      <c r="A355" s="5" t="s">
        <v>949</v>
      </c>
      <c r="B355" s="5" t="s">
        <v>950</v>
      </c>
      <c r="C355" s="6">
        <v>44977</v>
      </c>
      <c r="D355" s="8">
        <v>33</v>
      </c>
      <c r="E355" s="5" t="s">
        <v>20</v>
      </c>
      <c r="F355" s="5" t="s">
        <v>49</v>
      </c>
      <c r="G355" s="5" t="s">
        <v>28</v>
      </c>
      <c r="H355" s="7">
        <v>281.58</v>
      </c>
      <c r="I355" s="3">
        <v>1</v>
      </c>
      <c r="J355" s="3">
        <f t="shared" si="10"/>
        <v>281.58</v>
      </c>
      <c r="K355" s="4">
        <v>0</v>
      </c>
      <c r="L355" s="23">
        <f t="shared" si="11"/>
        <v>0</v>
      </c>
      <c r="M355" s="7">
        <v>281.58</v>
      </c>
      <c r="N355" s="5" t="s">
        <v>692</v>
      </c>
      <c r="O355" s="5" t="s">
        <v>29</v>
      </c>
      <c r="P355" s="3">
        <v>6</v>
      </c>
      <c r="Q355" s="3">
        <v>11</v>
      </c>
      <c r="R355" s="5" t="b">
        <v>1</v>
      </c>
      <c r="S355" s="3">
        <v>3</v>
      </c>
      <c r="T355" s="3">
        <v>5</v>
      </c>
    </row>
    <row r="356" spans="1:20">
      <c r="A356" s="5" t="s">
        <v>1371</v>
      </c>
      <c r="B356" s="5" t="s">
        <v>1372</v>
      </c>
      <c r="C356" s="6">
        <v>44952</v>
      </c>
      <c r="D356" s="8">
        <v>34</v>
      </c>
      <c r="E356" s="5" t="s">
        <v>36</v>
      </c>
      <c r="F356" s="5" t="s">
        <v>52</v>
      </c>
      <c r="G356" s="5" t="s">
        <v>28</v>
      </c>
      <c r="H356" s="7">
        <v>412.45</v>
      </c>
      <c r="I356" s="3">
        <v>2</v>
      </c>
      <c r="J356" s="3">
        <f t="shared" si="10"/>
        <v>824.9</v>
      </c>
      <c r="K356" s="4">
        <v>0</v>
      </c>
      <c r="L356" s="23">
        <f t="shared" si="11"/>
        <v>0</v>
      </c>
      <c r="M356" s="7">
        <v>824.9</v>
      </c>
      <c r="N356" s="5" t="s">
        <v>1298</v>
      </c>
      <c r="O356" s="5" t="s">
        <v>33</v>
      </c>
      <c r="P356" s="3">
        <v>30</v>
      </c>
      <c r="Q356" s="3">
        <v>10</v>
      </c>
      <c r="R356" s="5" t="b">
        <v>1</v>
      </c>
      <c r="S356" s="3">
        <v>2</v>
      </c>
      <c r="T356" s="3">
        <v>4</v>
      </c>
    </row>
    <row r="357" spans="1:20">
      <c r="A357" s="5" t="s">
        <v>951</v>
      </c>
      <c r="B357" s="5" t="s">
        <v>952</v>
      </c>
      <c r="C357" s="6">
        <v>45260</v>
      </c>
      <c r="D357" s="8">
        <v>22</v>
      </c>
      <c r="E357" s="5" t="s">
        <v>20</v>
      </c>
      <c r="F357" s="5" t="s">
        <v>73</v>
      </c>
      <c r="G357" s="5" t="s">
        <v>115</v>
      </c>
      <c r="H357" s="7">
        <v>75.63</v>
      </c>
      <c r="I357" s="3">
        <v>2</v>
      </c>
      <c r="J357" s="3">
        <f t="shared" si="10"/>
        <v>151.26</v>
      </c>
      <c r="K357" s="4">
        <v>0</v>
      </c>
      <c r="L357" s="23">
        <f t="shared" si="11"/>
        <v>0</v>
      </c>
      <c r="M357" s="7">
        <v>151.26</v>
      </c>
      <c r="N357" s="5" t="s">
        <v>692</v>
      </c>
      <c r="O357" s="5" t="s">
        <v>33</v>
      </c>
      <c r="P357" s="3">
        <v>7</v>
      </c>
      <c r="Q357" s="3">
        <v>9</v>
      </c>
      <c r="R357" s="5" t="b">
        <v>1</v>
      </c>
      <c r="S357" s="3">
        <v>9</v>
      </c>
      <c r="T357" s="3">
        <v>5</v>
      </c>
    </row>
    <row r="358" spans="1:20">
      <c r="A358" s="5" t="s">
        <v>953</v>
      </c>
      <c r="B358" s="5" t="s">
        <v>954</v>
      </c>
      <c r="C358" s="6">
        <v>45203</v>
      </c>
      <c r="D358" s="8">
        <v>34</v>
      </c>
      <c r="E358" s="5" t="s">
        <v>36</v>
      </c>
      <c r="F358" s="5" t="s">
        <v>27</v>
      </c>
      <c r="G358" s="5" t="s">
        <v>56</v>
      </c>
      <c r="H358" s="7">
        <v>398.92</v>
      </c>
      <c r="I358" s="3">
        <v>1</v>
      </c>
      <c r="J358" s="3">
        <f t="shared" si="10"/>
        <v>398.92</v>
      </c>
      <c r="K358" s="4">
        <v>0</v>
      </c>
      <c r="L358" s="23">
        <f t="shared" si="11"/>
        <v>0</v>
      </c>
      <c r="M358" s="7">
        <v>398.92</v>
      </c>
      <c r="N358" s="5" t="s">
        <v>692</v>
      </c>
      <c r="O358" s="5" t="s">
        <v>24</v>
      </c>
      <c r="P358" s="3">
        <v>22</v>
      </c>
      <c r="Q358" s="3">
        <v>14</v>
      </c>
      <c r="R358" s="5" t="b">
        <v>1</v>
      </c>
      <c r="S358" s="3">
        <v>6</v>
      </c>
      <c r="T358" s="3">
        <v>3</v>
      </c>
    </row>
    <row r="359" spans="1:20">
      <c r="A359" s="5" t="s">
        <v>955</v>
      </c>
      <c r="B359" s="5" t="s">
        <v>956</v>
      </c>
      <c r="C359" s="6">
        <v>45355</v>
      </c>
      <c r="D359" s="8">
        <v>31</v>
      </c>
      <c r="E359" s="5" t="s">
        <v>36</v>
      </c>
      <c r="F359" s="5" t="s">
        <v>76</v>
      </c>
      <c r="G359" s="5" t="s">
        <v>28</v>
      </c>
      <c r="H359" s="7">
        <v>232.13</v>
      </c>
      <c r="I359" s="3">
        <v>3</v>
      </c>
      <c r="J359" s="3">
        <f t="shared" si="10"/>
        <v>696.39</v>
      </c>
      <c r="K359" s="4">
        <v>51.08</v>
      </c>
      <c r="L359" s="23">
        <f t="shared" si="11"/>
        <v>7.3349703470756325E-2</v>
      </c>
      <c r="M359" s="7">
        <v>645.30999999999995</v>
      </c>
      <c r="N359" s="5" t="s">
        <v>692</v>
      </c>
      <c r="O359" s="5" t="s">
        <v>24</v>
      </c>
      <c r="P359" s="3">
        <v>19</v>
      </c>
      <c r="Q359" s="3">
        <v>13</v>
      </c>
      <c r="R359" s="5" t="b">
        <v>0</v>
      </c>
      <c r="S359" s="3">
        <v>2</v>
      </c>
      <c r="T359" s="3">
        <v>4</v>
      </c>
    </row>
    <row r="360" spans="1:20">
      <c r="A360" s="5" t="s">
        <v>1262</v>
      </c>
      <c r="B360" s="5" t="s">
        <v>1263</v>
      </c>
      <c r="C360" s="6">
        <v>44934</v>
      </c>
      <c r="D360" s="8">
        <v>38</v>
      </c>
      <c r="E360" s="5" t="s">
        <v>36</v>
      </c>
      <c r="F360" s="5" t="s">
        <v>52</v>
      </c>
      <c r="G360" s="5" t="s">
        <v>37</v>
      </c>
      <c r="H360" s="7">
        <v>94.59</v>
      </c>
      <c r="I360" s="3">
        <v>3</v>
      </c>
      <c r="J360" s="3">
        <f t="shared" si="10"/>
        <v>283.77</v>
      </c>
      <c r="K360" s="4">
        <v>0</v>
      </c>
      <c r="L360" s="23">
        <f t="shared" si="11"/>
        <v>0</v>
      </c>
      <c r="M360" s="7">
        <v>283.77</v>
      </c>
      <c r="N360" s="5" t="s">
        <v>1231</v>
      </c>
      <c r="O360" s="5" t="s">
        <v>33</v>
      </c>
      <c r="P360" s="3">
        <v>24</v>
      </c>
      <c r="Q360" s="3">
        <v>13</v>
      </c>
      <c r="R360" s="5" t="b">
        <v>1</v>
      </c>
      <c r="S360" s="3">
        <v>2</v>
      </c>
      <c r="T360" s="3">
        <v>4</v>
      </c>
    </row>
    <row r="361" spans="1:20">
      <c r="A361" s="5" t="s">
        <v>514</v>
      </c>
      <c r="B361" s="5" t="s">
        <v>515</v>
      </c>
      <c r="C361" s="6">
        <v>44974</v>
      </c>
      <c r="D361" s="8">
        <v>25</v>
      </c>
      <c r="E361" s="5" t="s">
        <v>36</v>
      </c>
      <c r="F361" s="5" t="s">
        <v>52</v>
      </c>
      <c r="G361" s="5" t="s">
        <v>28</v>
      </c>
      <c r="H361" s="7">
        <v>70.12</v>
      </c>
      <c r="I361" s="3">
        <v>2</v>
      </c>
      <c r="J361" s="3">
        <f t="shared" si="10"/>
        <v>140.24</v>
      </c>
      <c r="K361" s="4">
        <v>0</v>
      </c>
      <c r="L361" s="23">
        <f t="shared" si="11"/>
        <v>0</v>
      </c>
      <c r="M361" s="7">
        <v>140.24</v>
      </c>
      <c r="N361" s="5" t="s">
        <v>327</v>
      </c>
      <c r="O361" s="5" t="s">
        <v>29</v>
      </c>
      <c r="P361" s="3">
        <v>13</v>
      </c>
      <c r="Q361" s="3">
        <v>7</v>
      </c>
      <c r="R361" s="5" t="b">
        <v>1</v>
      </c>
      <c r="S361" s="3">
        <v>8</v>
      </c>
      <c r="T361" s="3">
        <v>4</v>
      </c>
    </row>
    <row r="362" spans="1:20">
      <c r="A362" s="5" t="s">
        <v>516</v>
      </c>
      <c r="B362" s="5" t="s">
        <v>517</v>
      </c>
      <c r="C362" s="6">
        <v>45312</v>
      </c>
      <c r="D362" s="8">
        <v>41</v>
      </c>
      <c r="E362" s="5" t="s">
        <v>36</v>
      </c>
      <c r="F362" s="5" t="s">
        <v>21</v>
      </c>
      <c r="G362" s="5" t="s">
        <v>28</v>
      </c>
      <c r="H362" s="7">
        <v>108.97</v>
      </c>
      <c r="I362" s="3">
        <v>5</v>
      </c>
      <c r="J362" s="3">
        <f t="shared" si="10"/>
        <v>544.85</v>
      </c>
      <c r="K362" s="4">
        <v>5.92</v>
      </c>
      <c r="L362" s="23">
        <f t="shared" si="11"/>
        <v>1.0865375791502247E-2</v>
      </c>
      <c r="M362" s="7">
        <v>538.92999999999995</v>
      </c>
      <c r="N362" s="5" t="s">
        <v>327</v>
      </c>
      <c r="O362" s="5" t="s">
        <v>33</v>
      </c>
      <c r="P362" s="3">
        <v>22</v>
      </c>
      <c r="Q362" s="3">
        <v>11</v>
      </c>
      <c r="R362" s="5" t="b">
        <v>1</v>
      </c>
      <c r="S362" s="3">
        <v>7</v>
      </c>
      <c r="T362" s="3">
        <v>3</v>
      </c>
    </row>
    <row r="363" spans="1:20">
      <c r="A363" s="5" t="s">
        <v>197</v>
      </c>
      <c r="B363" s="5" t="s">
        <v>198</v>
      </c>
      <c r="C363" s="6">
        <v>45361</v>
      </c>
      <c r="D363" s="8">
        <v>53</v>
      </c>
      <c r="E363" s="5" t="s">
        <v>20</v>
      </c>
      <c r="F363" s="5" t="s">
        <v>76</v>
      </c>
      <c r="G363" s="5" t="s">
        <v>37</v>
      </c>
      <c r="H363" s="7">
        <v>182.33</v>
      </c>
      <c r="I363" s="3">
        <v>1</v>
      </c>
      <c r="J363" s="3">
        <f t="shared" si="10"/>
        <v>182.33</v>
      </c>
      <c r="K363" s="4">
        <v>0</v>
      </c>
      <c r="L363" s="23">
        <f t="shared" si="11"/>
        <v>0</v>
      </c>
      <c r="M363" s="7">
        <v>182.33</v>
      </c>
      <c r="N363" s="5" t="s">
        <v>23</v>
      </c>
      <c r="O363" s="5" t="s">
        <v>33</v>
      </c>
      <c r="P363" s="3">
        <v>7</v>
      </c>
      <c r="Q363" s="3">
        <v>9</v>
      </c>
      <c r="R363" s="5" t="b">
        <v>1</v>
      </c>
      <c r="S363" s="3">
        <v>2</v>
      </c>
      <c r="T363" s="3">
        <v>4</v>
      </c>
    </row>
    <row r="364" spans="1:20">
      <c r="A364" s="5" t="s">
        <v>518</v>
      </c>
      <c r="B364" s="5" t="s">
        <v>519</v>
      </c>
      <c r="C364" s="6">
        <v>45048</v>
      </c>
      <c r="D364" s="8">
        <v>33</v>
      </c>
      <c r="E364" s="5" t="s">
        <v>36</v>
      </c>
      <c r="F364" s="5" t="s">
        <v>88</v>
      </c>
      <c r="G364" s="5" t="s">
        <v>115</v>
      </c>
      <c r="H364" s="7">
        <v>54.95</v>
      </c>
      <c r="I364" s="3">
        <v>2</v>
      </c>
      <c r="J364" s="3">
        <f t="shared" si="10"/>
        <v>109.9</v>
      </c>
      <c r="K364" s="4">
        <v>0</v>
      </c>
      <c r="L364" s="23">
        <f t="shared" si="11"/>
        <v>0</v>
      </c>
      <c r="M364" s="7">
        <v>109.9</v>
      </c>
      <c r="N364" s="5" t="s">
        <v>327</v>
      </c>
      <c r="O364" s="5" t="s">
        <v>33</v>
      </c>
      <c r="P364" s="3">
        <v>12</v>
      </c>
      <c r="Q364" s="3">
        <v>10</v>
      </c>
      <c r="R364" s="5" t="b">
        <v>1</v>
      </c>
      <c r="S364" s="3">
        <v>12</v>
      </c>
      <c r="T364" s="3">
        <v>4</v>
      </c>
    </row>
    <row r="365" spans="1:20">
      <c r="A365" s="5" t="s">
        <v>199</v>
      </c>
      <c r="B365" s="5" t="s">
        <v>200</v>
      </c>
      <c r="C365" s="6">
        <v>45012</v>
      </c>
      <c r="D365" s="8">
        <v>39</v>
      </c>
      <c r="E365" s="5" t="s">
        <v>20</v>
      </c>
      <c r="F365" s="5" t="s">
        <v>32</v>
      </c>
      <c r="G365" s="5" t="s">
        <v>115</v>
      </c>
      <c r="H365" s="7">
        <v>40.18</v>
      </c>
      <c r="I365" s="3">
        <v>1</v>
      </c>
      <c r="J365" s="3">
        <f t="shared" si="10"/>
        <v>40.18</v>
      </c>
      <c r="K365" s="4">
        <v>0</v>
      </c>
      <c r="L365" s="23">
        <f t="shared" si="11"/>
        <v>0</v>
      </c>
      <c r="M365" s="7">
        <v>40.18</v>
      </c>
      <c r="N365" s="5" t="s">
        <v>23</v>
      </c>
      <c r="O365" s="5" t="s">
        <v>33</v>
      </c>
      <c r="P365" s="3">
        <v>21</v>
      </c>
      <c r="Q365" s="3">
        <v>6</v>
      </c>
      <c r="R365" s="5" t="b">
        <v>0</v>
      </c>
      <c r="S365" s="3">
        <v>9</v>
      </c>
      <c r="T365" s="3">
        <v>2</v>
      </c>
    </row>
    <row r="366" spans="1:20">
      <c r="A366" s="5" t="s">
        <v>520</v>
      </c>
      <c r="B366" s="5" t="s">
        <v>521</v>
      </c>
      <c r="C366" s="6">
        <v>45135</v>
      </c>
      <c r="D366" s="8">
        <v>43</v>
      </c>
      <c r="E366" s="5" t="s">
        <v>36</v>
      </c>
      <c r="F366" s="5" t="s">
        <v>32</v>
      </c>
      <c r="G366" s="5" t="s">
        <v>37</v>
      </c>
      <c r="H366" s="7">
        <v>210.09</v>
      </c>
      <c r="I366" s="3">
        <v>1</v>
      </c>
      <c r="J366" s="3">
        <f t="shared" si="10"/>
        <v>210.09</v>
      </c>
      <c r="K366" s="4">
        <v>41.67</v>
      </c>
      <c r="L366" s="23">
        <f t="shared" si="11"/>
        <v>0.19834356704269598</v>
      </c>
      <c r="M366" s="7">
        <v>168.42</v>
      </c>
      <c r="N366" s="5" t="s">
        <v>327</v>
      </c>
      <c r="O366" s="5" t="s">
        <v>24</v>
      </c>
      <c r="P366" s="3">
        <v>25</v>
      </c>
      <c r="Q366" s="3">
        <v>6</v>
      </c>
      <c r="R366" s="5" t="b">
        <v>1</v>
      </c>
      <c r="S366" s="3">
        <v>5</v>
      </c>
      <c r="T366" s="3">
        <v>5</v>
      </c>
    </row>
    <row r="367" spans="1:20">
      <c r="A367" s="5" t="s">
        <v>1264</v>
      </c>
      <c r="B367" s="5" t="s">
        <v>1265</v>
      </c>
      <c r="C367" s="6">
        <v>45175</v>
      </c>
      <c r="D367" s="8">
        <v>30</v>
      </c>
      <c r="E367" s="5" t="s">
        <v>36</v>
      </c>
      <c r="F367" s="5" t="s">
        <v>21</v>
      </c>
      <c r="G367" s="5" t="s">
        <v>64</v>
      </c>
      <c r="H367" s="7">
        <v>2897.09</v>
      </c>
      <c r="I367" s="3">
        <v>5</v>
      </c>
      <c r="J367" s="3">
        <f t="shared" si="10"/>
        <v>14485.45</v>
      </c>
      <c r="K367" s="4">
        <v>0</v>
      </c>
      <c r="L367" s="23">
        <f t="shared" si="11"/>
        <v>0</v>
      </c>
      <c r="M367" s="7">
        <v>14485.45</v>
      </c>
      <c r="N367" s="5" t="s">
        <v>1231</v>
      </c>
      <c r="O367" s="5" t="s">
        <v>33</v>
      </c>
      <c r="P367" s="3">
        <v>7</v>
      </c>
      <c r="Q367" s="3">
        <v>5</v>
      </c>
      <c r="R367" s="5" t="b">
        <v>1</v>
      </c>
      <c r="S367" s="3">
        <v>4</v>
      </c>
      <c r="T367" s="3">
        <v>5</v>
      </c>
    </row>
    <row r="368" spans="1:20">
      <c r="A368" s="5" t="s">
        <v>201</v>
      </c>
      <c r="B368" s="5" t="s">
        <v>202</v>
      </c>
      <c r="C368" s="6">
        <v>45173</v>
      </c>
      <c r="D368" s="8">
        <v>37</v>
      </c>
      <c r="E368" s="5" t="s">
        <v>20</v>
      </c>
      <c r="F368" s="5" t="s">
        <v>32</v>
      </c>
      <c r="G368" s="5" t="s">
        <v>22</v>
      </c>
      <c r="H368" s="7">
        <v>182.84</v>
      </c>
      <c r="I368" s="3">
        <v>3</v>
      </c>
      <c r="J368" s="3">
        <f t="shared" si="10"/>
        <v>548.52</v>
      </c>
      <c r="K368" s="4">
        <v>0</v>
      </c>
      <c r="L368" s="23">
        <f t="shared" si="11"/>
        <v>0</v>
      </c>
      <c r="M368" s="7">
        <v>548.52</v>
      </c>
      <c r="N368" s="5" t="s">
        <v>23</v>
      </c>
      <c r="O368" s="5" t="s">
        <v>24</v>
      </c>
      <c r="P368" s="3">
        <v>21</v>
      </c>
      <c r="Q368" s="3">
        <v>7</v>
      </c>
      <c r="R368" s="5" t="b">
        <v>0</v>
      </c>
      <c r="S368" s="3">
        <v>5</v>
      </c>
      <c r="T368" s="3">
        <v>5</v>
      </c>
    </row>
    <row r="369" spans="1:20">
      <c r="A369" s="5" t="s">
        <v>522</v>
      </c>
      <c r="B369" s="5" t="s">
        <v>523</v>
      </c>
      <c r="C369" s="6">
        <v>45036</v>
      </c>
      <c r="D369" s="8">
        <v>35</v>
      </c>
      <c r="E369" s="5" t="s">
        <v>20</v>
      </c>
      <c r="F369" s="5" t="s">
        <v>52</v>
      </c>
      <c r="G369" s="5" t="s">
        <v>53</v>
      </c>
      <c r="H369" s="7">
        <v>141.97999999999999</v>
      </c>
      <c r="I369" s="3">
        <v>1</v>
      </c>
      <c r="J369" s="3">
        <f t="shared" si="10"/>
        <v>141.97999999999999</v>
      </c>
      <c r="K369" s="4">
        <v>19.47</v>
      </c>
      <c r="L369" s="23">
        <f t="shared" si="11"/>
        <v>0.1371319904211861</v>
      </c>
      <c r="M369" s="7">
        <v>122.51</v>
      </c>
      <c r="N369" s="5" t="s">
        <v>327</v>
      </c>
      <c r="O369" s="5" t="s">
        <v>33</v>
      </c>
      <c r="P369" s="3">
        <v>20</v>
      </c>
      <c r="Q369" s="3">
        <v>8</v>
      </c>
      <c r="R369" s="5" t="b">
        <v>0</v>
      </c>
      <c r="S369" s="3">
        <v>4</v>
      </c>
      <c r="T369" s="3">
        <v>4</v>
      </c>
    </row>
    <row r="370" spans="1:20">
      <c r="A370" s="5" t="s">
        <v>957</v>
      </c>
      <c r="B370" s="5" t="s">
        <v>958</v>
      </c>
      <c r="C370" s="6">
        <v>45369</v>
      </c>
      <c r="D370" s="8">
        <v>36</v>
      </c>
      <c r="E370" s="5" t="s">
        <v>20</v>
      </c>
      <c r="F370" s="5" t="s">
        <v>32</v>
      </c>
      <c r="G370" s="5" t="s">
        <v>28</v>
      </c>
      <c r="H370" s="7">
        <v>140.33000000000001</v>
      </c>
      <c r="I370" s="3">
        <v>4</v>
      </c>
      <c r="J370" s="3">
        <f t="shared" si="10"/>
        <v>561.32000000000005</v>
      </c>
      <c r="K370" s="4">
        <v>0</v>
      </c>
      <c r="L370" s="23">
        <f t="shared" si="11"/>
        <v>0</v>
      </c>
      <c r="M370" s="7">
        <v>561.32000000000005</v>
      </c>
      <c r="N370" s="5" t="s">
        <v>692</v>
      </c>
      <c r="O370" s="5" t="s">
        <v>33</v>
      </c>
      <c r="P370" s="3">
        <v>19</v>
      </c>
      <c r="Q370" s="3">
        <v>7</v>
      </c>
      <c r="R370" s="5" t="b">
        <v>0</v>
      </c>
      <c r="S370" s="3">
        <v>17</v>
      </c>
      <c r="T370" s="3">
        <v>2</v>
      </c>
    </row>
    <row r="371" spans="1:20">
      <c r="A371" s="5" t="s">
        <v>1373</v>
      </c>
      <c r="B371" s="5" t="s">
        <v>1374</v>
      </c>
      <c r="C371" s="6">
        <v>45132</v>
      </c>
      <c r="D371" s="8">
        <v>25</v>
      </c>
      <c r="E371" s="5" t="s">
        <v>36</v>
      </c>
      <c r="F371" s="5" t="s">
        <v>49</v>
      </c>
      <c r="G371" s="5" t="s">
        <v>115</v>
      </c>
      <c r="H371" s="7">
        <v>75.87</v>
      </c>
      <c r="I371" s="3">
        <v>1</v>
      </c>
      <c r="J371" s="3">
        <f t="shared" si="10"/>
        <v>75.87</v>
      </c>
      <c r="K371" s="4">
        <v>13.41</v>
      </c>
      <c r="L371" s="23">
        <f t="shared" si="11"/>
        <v>0.17674970344009489</v>
      </c>
      <c r="M371" s="7">
        <v>62.46</v>
      </c>
      <c r="N371" s="5" t="s">
        <v>1298</v>
      </c>
      <c r="O371" s="5" t="s">
        <v>33</v>
      </c>
      <c r="P371" s="3">
        <v>11</v>
      </c>
      <c r="Q371" s="3">
        <v>15</v>
      </c>
      <c r="R371" s="5" t="b">
        <v>1</v>
      </c>
      <c r="S371" s="3">
        <v>5</v>
      </c>
      <c r="T371" s="3">
        <v>4</v>
      </c>
    </row>
    <row r="372" spans="1:20">
      <c r="A372" s="5" t="s">
        <v>203</v>
      </c>
      <c r="B372" s="5" t="s">
        <v>204</v>
      </c>
      <c r="C372" s="6">
        <v>44957</v>
      </c>
      <c r="D372" s="8">
        <v>35</v>
      </c>
      <c r="E372" s="5" t="s">
        <v>36</v>
      </c>
      <c r="F372" s="5" t="s">
        <v>76</v>
      </c>
      <c r="G372" s="5" t="s">
        <v>53</v>
      </c>
      <c r="H372" s="7">
        <v>51.94</v>
      </c>
      <c r="I372" s="3">
        <v>1</v>
      </c>
      <c r="J372" s="3">
        <f t="shared" si="10"/>
        <v>51.94</v>
      </c>
      <c r="K372" s="4">
        <v>14.38</v>
      </c>
      <c r="L372" s="23">
        <f t="shared" si="11"/>
        <v>0.27685791297651141</v>
      </c>
      <c r="M372" s="7">
        <v>37.56</v>
      </c>
      <c r="N372" s="5" t="s">
        <v>23</v>
      </c>
      <c r="O372" s="5" t="s">
        <v>24</v>
      </c>
      <c r="P372" s="3">
        <v>1</v>
      </c>
      <c r="Q372" s="3">
        <v>8</v>
      </c>
      <c r="R372" s="5" t="b">
        <v>0</v>
      </c>
      <c r="S372" s="3">
        <v>7</v>
      </c>
      <c r="T372" s="3">
        <v>3</v>
      </c>
    </row>
    <row r="373" spans="1:20">
      <c r="A373" s="5" t="s">
        <v>524</v>
      </c>
      <c r="B373" s="5" t="s">
        <v>525</v>
      </c>
      <c r="C373" s="6">
        <v>45011</v>
      </c>
      <c r="D373" s="8">
        <v>40</v>
      </c>
      <c r="E373" s="5" t="s">
        <v>36</v>
      </c>
      <c r="F373" s="5" t="s">
        <v>83</v>
      </c>
      <c r="G373" s="5" t="s">
        <v>53</v>
      </c>
      <c r="H373" s="7">
        <v>29.66</v>
      </c>
      <c r="I373" s="3">
        <v>1</v>
      </c>
      <c r="J373" s="3">
        <f t="shared" si="10"/>
        <v>29.66</v>
      </c>
      <c r="K373" s="4">
        <v>0</v>
      </c>
      <c r="L373" s="23">
        <f t="shared" si="11"/>
        <v>0</v>
      </c>
      <c r="M373" s="7">
        <v>29.66</v>
      </c>
      <c r="N373" s="5" t="s">
        <v>327</v>
      </c>
      <c r="O373" s="5" t="s">
        <v>33</v>
      </c>
      <c r="P373" s="3">
        <v>20</v>
      </c>
      <c r="Q373" s="3">
        <v>8</v>
      </c>
      <c r="R373" s="5" t="b">
        <v>0</v>
      </c>
      <c r="S373" s="3">
        <v>3</v>
      </c>
      <c r="T373" s="3">
        <v>5</v>
      </c>
    </row>
    <row r="374" spans="1:20">
      <c r="A374" s="5" t="s">
        <v>205</v>
      </c>
      <c r="B374" s="5" t="s">
        <v>206</v>
      </c>
      <c r="C374" s="6">
        <v>45121</v>
      </c>
      <c r="D374" s="8">
        <v>52</v>
      </c>
      <c r="E374" s="5" t="s">
        <v>36</v>
      </c>
      <c r="F374" s="5" t="s">
        <v>52</v>
      </c>
      <c r="G374" s="5" t="s">
        <v>56</v>
      </c>
      <c r="H374" s="7">
        <v>522.49</v>
      </c>
      <c r="I374" s="3">
        <v>1</v>
      </c>
      <c r="J374" s="3">
        <f t="shared" si="10"/>
        <v>522.49</v>
      </c>
      <c r="K374" s="4">
        <v>0</v>
      </c>
      <c r="L374" s="23">
        <f t="shared" si="11"/>
        <v>0</v>
      </c>
      <c r="M374" s="7">
        <v>522.49</v>
      </c>
      <c r="N374" s="5" t="s">
        <v>23</v>
      </c>
      <c r="O374" s="5" t="s">
        <v>24</v>
      </c>
      <c r="P374" s="3">
        <v>25</v>
      </c>
      <c r="Q374" s="3">
        <v>9</v>
      </c>
      <c r="R374" s="5" t="b">
        <v>0</v>
      </c>
      <c r="S374" s="3">
        <v>5</v>
      </c>
      <c r="T374" s="3">
        <v>1</v>
      </c>
    </row>
    <row r="375" spans="1:20">
      <c r="A375" s="5" t="s">
        <v>526</v>
      </c>
      <c r="B375" s="5" t="s">
        <v>527</v>
      </c>
      <c r="C375" s="6">
        <v>44928</v>
      </c>
      <c r="D375" s="8">
        <v>46</v>
      </c>
      <c r="E375" s="5" t="s">
        <v>36</v>
      </c>
      <c r="F375" s="5" t="s">
        <v>73</v>
      </c>
      <c r="G375" s="5" t="s">
        <v>46</v>
      </c>
      <c r="H375" s="7">
        <v>431.85</v>
      </c>
      <c r="I375" s="3">
        <v>1</v>
      </c>
      <c r="J375" s="3">
        <f t="shared" si="10"/>
        <v>431.85</v>
      </c>
      <c r="K375" s="4">
        <v>0</v>
      </c>
      <c r="L375" s="23">
        <f t="shared" si="11"/>
        <v>0</v>
      </c>
      <c r="M375" s="7">
        <v>431.85</v>
      </c>
      <c r="N375" s="5" t="s">
        <v>327</v>
      </c>
      <c r="O375" s="5" t="s">
        <v>33</v>
      </c>
      <c r="P375" s="3">
        <v>27</v>
      </c>
      <c r="Q375" s="3">
        <v>11</v>
      </c>
      <c r="R375" s="5" t="b">
        <v>1</v>
      </c>
      <c r="S375" s="3">
        <v>6</v>
      </c>
      <c r="T375" s="3">
        <v>4</v>
      </c>
    </row>
    <row r="376" spans="1:20">
      <c r="A376" s="5" t="s">
        <v>959</v>
      </c>
      <c r="B376" s="5" t="s">
        <v>960</v>
      </c>
      <c r="C376" s="6">
        <v>45126</v>
      </c>
      <c r="D376" s="8">
        <v>60</v>
      </c>
      <c r="E376" s="5" t="s">
        <v>20</v>
      </c>
      <c r="F376" s="5" t="s">
        <v>88</v>
      </c>
      <c r="G376" s="5" t="s">
        <v>28</v>
      </c>
      <c r="H376" s="7">
        <v>32.18</v>
      </c>
      <c r="I376" s="3">
        <v>1</v>
      </c>
      <c r="J376" s="3">
        <f t="shared" si="10"/>
        <v>32.18</v>
      </c>
      <c r="K376" s="4">
        <v>0</v>
      </c>
      <c r="L376" s="23">
        <f t="shared" si="11"/>
        <v>0</v>
      </c>
      <c r="M376" s="7">
        <v>32.18</v>
      </c>
      <c r="N376" s="5" t="s">
        <v>692</v>
      </c>
      <c r="O376" s="5" t="s">
        <v>33</v>
      </c>
      <c r="P376" s="3">
        <v>5</v>
      </c>
      <c r="Q376" s="3">
        <v>14</v>
      </c>
      <c r="R376" s="5" t="b">
        <v>0</v>
      </c>
      <c r="S376" s="3">
        <v>6</v>
      </c>
      <c r="T376" s="3">
        <v>2</v>
      </c>
    </row>
    <row r="377" spans="1:20">
      <c r="A377" s="5" t="s">
        <v>961</v>
      </c>
      <c r="B377" s="5" t="s">
        <v>962</v>
      </c>
      <c r="C377" s="6">
        <v>45062</v>
      </c>
      <c r="D377" s="8">
        <v>25</v>
      </c>
      <c r="E377" s="5" t="s">
        <v>20</v>
      </c>
      <c r="F377" s="5" t="s">
        <v>32</v>
      </c>
      <c r="G377" s="5" t="s">
        <v>46</v>
      </c>
      <c r="H377" s="7">
        <v>541.58000000000004</v>
      </c>
      <c r="I377" s="3">
        <v>3</v>
      </c>
      <c r="J377" s="3">
        <f t="shared" si="10"/>
        <v>1624.7400000000002</v>
      </c>
      <c r="K377" s="4">
        <v>0</v>
      </c>
      <c r="L377" s="23">
        <f t="shared" si="11"/>
        <v>0</v>
      </c>
      <c r="M377" s="7">
        <v>1624.74</v>
      </c>
      <c r="N377" s="5" t="s">
        <v>692</v>
      </c>
      <c r="O377" s="5" t="s">
        <v>24</v>
      </c>
      <c r="P377" s="3">
        <v>3</v>
      </c>
      <c r="Q377" s="3">
        <v>7</v>
      </c>
      <c r="R377" s="5" t="b">
        <v>1</v>
      </c>
      <c r="S377" s="3">
        <v>1</v>
      </c>
      <c r="T377" s="3">
        <v>1</v>
      </c>
    </row>
    <row r="378" spans="1:20">
      <c r="A378" s="5" t="s">
        <v>528</v>
      </c>
      <c r="B378" s="5" t="s">
        <v>529</v>
      </c>
      <c r="C378" s="6">
        <v>45328</v>
      </c>
      <c r="D378" s="8">
        <v>45</v>
      </c>
      <c r="E378" s="5" t="s">
        <v>36</v>
      </c>
      <c r="F378" s="5" t="s">
        <v>49</v>
      </c>
      <c r="G378" s="5" t="s">
        <v>46</v>
      </c>
      <c r="H378" s="7">
        <v>801.16</v>
      </c>
      <c r="I378" s="3">
        <v>1</v>
      </c>
      <c r="J378" s="3">
        <f t="shared" si="10"/>
        <v>801.16</v>
      </c>
      <c r="K378" s="4">
        <v>0</v>
      </c>
      <c r="L378" s="23">
        <f t="shared" si="11"/>
        <v>0</v>
      </c>
      <c r="M378" s="7">
        <v>801.16</v>
      </c>
      <c r="N378" s="5" t="s">
        <v>327</v>
      </c>
      <c r="O378" s="5" t="s">
        <v>33</v>
      </c>
      <c r="P378" s="3">
        <v>10</v>
      </c>
      <c r="Q378" s="3">
        <v>12</v>
      </c>
      <c r="R378" s="5" t="b">
        <v>1</v>
      </c>
      <c r="S378" s="3">
        <v>5</v>
      </c>
      <c r="T378" s="3">
        <v>5</v>
      </c>
    </row>
    <row r="379" spans="1:20">
      <c r="A379" s="5" t="s">
        <v>963</v>
      </c>
      <c r="B379" s="5" t="s">
        <v>964</v>
      </c>
      <c r="C379" s="6">
        <v>45328</v>
      </c>
      <c r="D379" s="8">
        <v>37</v>
      </c>
      <c r="E379" s="5" t="s">
        <v>36</v>
      </c>
      <c r="F379" s="5" t="s">
        <v>21</v>
      </c>
      <c r="G379" s="5" t="s">
        <v>56</v>
      </c>
      <c r="H379" s="7">
        <v>239.81</v>
      </c>
      <c r="I379" s="3">
        <v>5</v>
      </c>
      <c r="J379" s="3">
        <f t="shared" si="10"/>
        <v>1199.05</v>
      </c>
      <c r="K379" s="4">
        <v>0</v>
      </c>
      <c r="L379" s="23">
        <f t="shared" si="11"/>
        <v>0</v>
      </c>
      <c r="M379" s="7">
        <v>1199.05</v>
      </c>
      <c r="N379" s="5" t="s">
        <v>692</v>
      </c>
      <c r="O379" s="5" t="s">
        <v>24</v>
      </c>
      <c r="P379" s="3">
        <v>18</v>
      </c>
      <c r="Q379" s="3">
        <v>8</v>
      </c>
      <c r="R379" s="5" t="b">
        <v>1</v>
      </c>
      <c r="S379" s="3">
        <v>10</v>
      </c>
      <c r="T379" s="3">
        <v>5</v>
      </c>
    </row>
    <row r="380" spans="1:20">
      <c r="A380" s="5" t="s">
        <v>530</v>
      </c>
      <c r="B380" s="5" t="s">
        <v>531</v>
      </c>
      <c r="C380" s="6">
        <v>45159</v>
      </c>
      <c r="D380" s="8">
        <v>61</v>
      </c>
      <c r="E380" s="5" t="s">
        <v>36</v>
      </c>
      <c r="F380" s="5" t="s">
        <v>32</v>
      </c>
      <c r="G380" s="5" t="s">
        <v>53</v>
      </c>
      <c r="H380" s="7">
        <v>74.709999999999994</v>
      </c>
      <c r="I380" s="3">
        <v>1</v>
      </c>
      <c r="J380" s="3">
        <f t="shared" si="10"/>
        <v>74.709999999999994</v>
      </c>
      <c r="K380" s="4">
        <v>3.75</v>
      </c>
      <c r="L380" s="23">
        <f t="shared" si="11"/>
        <v>5.0194083790657214E-2</v>
      </c>
      <c r="M380" s="7">
        <v>70.959999999999994</v>
      </c>
      <c r="N380" s="5" t="s">
        <v>327</v>
      </c>
      <c r="O380" s="5" t="s">
        <v>33</v>
      </c>
      <c r="P380" s="3">
        <v>20</v>
      </c>
      <c r="Q380" s="3">
        <v>7</v>
      </c>
      <c r="R380" s="5" t="b">
        <v>1</v>
      </c>
      <c r="S380" s="3">
        <v>2</v>
      </c>
      <c r="T380" s="3">
        <v>4</v>
      </c>
    </row>
    <row r="381" spans="1:20">
      <c r="A381" s="5" t="s">
        <v>207</v>
      </c>
      <c r="B381" s="5" t="s">
        <v>208</v>
      </c>
      <c r="C381" s="6">
        <v>45073</v>
      </c>
      <c r="D381" s="8">
        <v>25</v>
      </c>
      <c r="E381" s="5" t="s">
        <v>20</v>
      </c>
      <c r="F381" s="5" t="s">
        <v>21</v>
      </c>
      <c r="G381" s="5" t="s">
        <v>37</v>
      </c>
      <c r="H381" s="7">
        <v>188.29</v>
      </c>
      <c r="I381" s="3">
        <v>5</v>
      </c>
      <c r="J381" s="3">
        <f t="shared" si="10"/>
        <v>941.44999999999993</v>
      </c>
      <c r="K381" s="4">
        <v>0</v>
      </c>
      <c r="L381" s="23">
        <f t="shared" si="11"/>
        <v>0</v>
      </c>
      <c r="M381" s="7">
        <v>941.45</v>
      </c>
      <c r="N381" s="5" t="s">
        <v>23</v>
      </c>
      <c r="O381" s="5" t="s">
        <v>33</v>
      </c>
      <c r="P381" s="3">
        <v>10</v>
      </c>
      <c r="Q381" s="3">
        <v>11</v>
      </c>
      <c r="R381" s="5" t="b">
        <v>0</v>
      </c>
      <c r="S381" s="3">
        <v>18</v>
      </c>
      <c r="T381" s="3">
        <v>3</v>
      </c>
    </row>
    <row r="382" spans="1:20">
      <c r="A382" s="5" t="s">
        <v>965</v>
      </c>
      <c r="B382" s="5" t="s">
        <v>966</v>
      </c>
      <c r="C382" s="6">
        <v>45143</v>
      </c>
      <c r="D382" s="8">
        <v>24</v>
      </c>
      <c r="E382" s="5" t="s">
        <v>20</v>
      </c>
      <c r="F382" s="5" t="s">
        <v>32</v>
      </c>
      <c r="G382" s="5" t="s">
        <v>46</v>
      </c>
      <c r="H382" s="7">
        <v>398.34</v>
      </c>
      <c r="I382" s="3">
        <v>2</v>
      </c>
      <c r="J382" s="3">
        <f t="shared" si="10"/>
        <v>796.68</v>
      </c>
      <c r="K382" s="4">
        <v>0</v>
      </c>
      <c r="L382" s="23">
        <f t="shared" si="11"/>
        <v>0</v>
      </c>
      <c r="M382" s="7">
        <v>796.68</v>
      </c>
      <c r="N382" s="5" t="s">
        <v>692</v>
      </c>
      <c r="O382" s="5" t="s">
        <v>33</v>
      </c>
      <c r="P382" s="3">
        <v>12</v>
      </c>
      <c r="Q382" s="3">
        <v>7</v>
      </c>
      <c r="R382" s="5" t="b">
        <v>0</v>
      </c>
      <c r="S382" s="3">
        <v>7</v>
      </c>
      <c r="T382" s="3">
        <v>5</v>
      </c>
    </row>
    <row r="383" spans="1:20">
      <c r="A383" s="5" t="s">
        <v>967</v>
      </c>
      <c r="B383" s="5" t="s">
        <v>968</v>
      </c>
      <c r="C383" s="6">
        <v>45283</v>
      </c>
      <c r="D383" s="8">
        <v>27</v>
      </c>
      <c r="E383" s="5" t="s">
        <v>20</v>
      </c>
      <c r="F383" s="5" t="s">
        <v>49</v>
      </c>
      <c r="G383" s="5" t="s">
        <v>115</v>
      </c>
      <c r="H383" s="7">
        <v>186.71</v>
      </c>
      <c r="I383" s="3">
        <v>4</v>
      </c>
      <c r="J383" s="3">
        <f t="shared" si="10"/>
        <v>746.84</v>
      </c>
      <c r="K383" s="4">
        <v>0</v>
      </c>
      <c r="L383" s="23">
        <f t="shared" si="11"/>
        <v>0</v>
      </c>
      <c r="M383" s="7">
        <v>746.84</v>
      </c>
      <c r="N383" s="5" t="s">
        <v>692</v>
      </c>
      <c r="O383" s="5" t="s">
        <v>24</v>
      </c>
      <c r="P383" s="3">
        <v>12</v>
      </c>
      <c r="Q383" s="3">
        <v>6</v>
      </c>
      <c r="R383" s="5" t="b">
        <v>1</v>
      </c>
      <c r="S383" s="3">
        <v>7</v>
      </c>
      <c r="T383" s="3">
        <v>5</v>
      </c>
    </row>
    <row r="384" spans="1:20">
      <c r="A384" s="5" t="s">
        <v>209</v>
      </c>
      <c r="B384" s="5" t="s">
        <v>210</v>
      </c>
      <c r="C384" s="6">
        <v>45301</v>
      </c>
      <c r="D384" s="8">
        <v>18</v>
      </c>
      <c r="E384" s="5" t="s">
        <v>20</v>
      </c>
      <c r="F384" s="5" t="s">
        <v>52</v>
      </c>
      <c r="G384" s="5" t="s">
        <v>37</v>
      </c>
      <c r="H384" s="7">
        <v>113.03</v>
      </c>
      <c r="I384" s="3">
        <v>3</v>
      </c>
      <c r="J384" s="3">
        <f t="shared" si="10"/>
        <v>339.09000000000003</v>
      </c>
      <c r="K384" s="4">
        <v>0</v>
      </c>
      <c r="L384" s="23">
        <f t="shared" si="11"/>
        <v>0</v>
      </c>
      <c r="M384" s="7">
        <v>339.09</v>
      </c>
      <c r="N384" s="5" t="s">
        <v>23</v>
      </c>
      <c r="O384" s="5" t="s">
        <v>24</v>
      </c>
      <c r="P384" s="3">
        <v>6</v>
      </c>
      <c r="Q384" s="3">
        <v>10</v>
      </c>
      <c r="R384" s="5" t="b">
        <v>0</v>
      </c>
      <c r="S384" s="3">
        <v>2</v>
      </c>
      <c r="T384" s="3">
        <v>5</v>
      </c>
    </row>
    <row r="385" spans="1:20">
      <c r="A385" s="5" t="s">
        <v>532</v>
      </c>
      <c r="B385" s="5" t="s">
        <v>533</v>
      </c>
      <c r="C385" s="6">
        <v>45328</v>
      </c>
      <c r="D385" s="8">
        <v>28</v>
      </c>
      <c r="E385" s="5" t="s">
        <v>20</v>
      </c>
      <c r="F385" s="5" t="s">
        <v>52</v>
      </c>
      <c r="G385" s="5" t="s">
        <v>37</v>
      </c>
      <c r="H385" s="7">
        <v>27.22</v>
      </c>
      <c r="I385" s="3">
        <v>4</v>
      </c>
      <c r="J385" s="3">
        <f t="shared" si="10"/>
        <v>108.88</v>
      </c>
      <c r="K385" s="4">
        <v>5.68</v>
      </c>
      <c r="L385" s="23">
        <f t="shared" si="11"/>
        <v>5.2167523879500369E-2</v>
      </c>
      <c r="M385" s="7">
        <v>103.2</v>
      </c>
      <c r="N385" s="5" t="s">
        <v>327</v>
      </c>
      <c r="O385" s="5" t="s">
        <v>33</v>
      </c>
      <c r="P385" s="3">
        <v>17</v>
      </c>
      <c r="Q385" s="3">
        <v>10</v>
      </c>
      <c r="R385" s="5" t="b">
        <v>1</v>
      </c>
      <c r="S385" s="3">
        <v>7</v>
      </c>
      <c r="T385" s="3">
        <v>4</v>
      </c>
    </row>
    <row r="386" spans="1:20">
      <c r="A386" s="5" t="s">
        <v>969</v>
      </c>
      <c r="B386" s="5" t="s">
        <v>970</v>
      </c>
      <c r="C386" s="6">
        <v>45211</v>
      </c>
      <c r="D386" s="8">
        <v>25</v>
      </c>
      <c r="E386" s="5" t="s">
        <v>36</v>
      </c>
      <c r="F386" s="5" t="s">
        <v>32</v>
      </c>
      <c r="G386" s="5" t="s">
        <v>56</v>
      </c>
      <c r="H386" s="7">
        <v>204.07</v>
      </c>
      <c r="I386" s="3">
        <v>5</v>
      </c>
      <c r="J386" s="3">
        <f t="shared" si="10"/>
        <v>1020.3499999999999</v>
      </c>
      <c r="K386" s="4">
        <v>0</v>
      </c>
      <c r="L386" s="23">
        <f t="shared" si="11"/>
        <v>0</v>
      </c>
      <c r="M386" s="7">
        <v>1020.35</v>
      </c>
      <c r="N386" s="5" t="s">
        <v>692</v>
      </c>
      <c r="O386" s="5" t="s">
        <v>33</v>
      </c>
      <c r="P386" s="3">
        <v>35</v>
      </c>
      <c r="Q386" s="3">
        <v>9</v>
      </c>
      <c r="R386" s="5" t="b">
        <v>1</v>
      </c>
      <c r="S386" s="3">
        <v>6</v>
      </c>
      <c r="T386" s="3">
        <v>2</v>
      </c>
    </row>
    <row r="387" spans="1:20">
      <c r="A387" s="5" t="s">
        <v>211</v>
      </c>
      <c r="B387" s="5" t="s">
        <v>212</v>
      </c>
      <c r="C387" s="6">
        <v>45265</v>
      </c>
      <c r="D387" s="8">
        <v>36</v>
      </c>
      <c r="E387" s="5" t="s">
        <v>20</v>
      </c>
      <c r="F387" s="5" t="s">
        <v>88</v>
      </c>
      <c r="G387" s="5" t="s">
        <v>115</v>
      </c>
      <c r="H387" s="7">
        <v>74.34</v>
      </c>
      <c r="I387" s="3">
        <v>4</v>
      </c>
      <c r="J387" s="3">
        <f t="shared" ref="J387:J450" si="12">H387*I387</f>
        <v>297.36</v>
      </c>
      <c r="K387" s="4">
        <v>0</v>
      </c>
      <c r="L387" s="23">
        <f t="shared" ref="L387:L450" si="13">IF(J387=0,0,K387/J387)</f>
        <v>0</v>
      </c>
      <c r="M387" s="7">
        <v>297.36</v>
      </c>
      <c r="N387" s="5" t="s">
        <v>23</v>
      </c>
      <c r="O387" s="5" t="s">
        <v>33</v>
      </c>
      <c r="P387" s="3">
        <v>16</v>
      </c>
      <c r="Q387" s="3">
        <v>13</v>
      </c>
      <c r="R387" s="5" t="b">
        <v>1</v>
      </c>
      <c r="S387" s="3">
        <v>2</v>
      </c>
      <c r="T387" s="3">
        <v>2</v>
      </c>
    </row>
    <row r="388" spans="1:20">
      <c r="A388" s="5" t="s">
        <v>213</v>
      </c>
      <c r="B388" s="5" t="s">
        <v>214</v>
      </c>
      <c r="C388" s="6">
        <v>45294</v>
      </c>
      <c r="D388" s="8">
        <v>39</v>
      </c>
      <c r="E388" s="5" t="s">
        <v>36</v>
      </c>
      <c r="F388" s="5" t="s">
        <v>21</v>
      </c>
      <c r="G388" s="5" t="s">
        <v>56</v>
      </c>
      <c r="H388" s="7">
        <v>907.02</v>
      </c>
      <c r="I388" s="3">
        <v>2</v>
      </c>
      <c r="J388" s="3">
        <f t="shared" si="12"/>
        <v>1814.04</v>
      </c>
      <c r="K388" s="4">
        <v>248.01</v>
      </c>
      <c r="L388" s="23">
        <f t="shared" si="13"/>
        <v>0.13671694119203545</v>
      </c>
      <c r="M388" s="7">
        <v>1566.03</v>
      </c>
      <c r="N388" s="5" t="s">
        <v>23</v>
      </c>
      <c r="O388" s="5" t="s">
        <v>33</v>
      </c>
      <c r="P388" s="3">
        <v>22</v>
      </c>
      <c r="Q388" s="3">
        <v>9</v>
      </c>
      <c r="R388" s="5" t="b">
        <v>1</v>
      </c>
      <c r="S388" s="3">
        <v>11</v>
      </c>
      <c r="T388" s="3">
        <v>5</v>
      </c>
    </row>
    <row r="389" spans="1:20">
      <c r="A389" s="5" t="s">
        <v>971</v>
      </c>
      <c r="B389" s="5" t="s">
        <v>972</v>
      </c>
      <c r="C389" s="6">
        <v>45176</v>
      </c>
      <c r="D389" s="8">
        <v>57</v>
      </c>
      <c r="E389" s="5" t="s">
        <v>20</v>
      </c>
      <c r="F389" s="5" t="s">
        <v>73</v>
      </c>
      <c r="G389" s="5" t="s">
        <v>22</v>
      </c>
      <c r="H389" s="7">
        <v>250.04</v>
      </c>
      <c r="I389" s="3">
        <v>4</v>
      </c>
      <c r="J389" s="3">
        <f t="shared" si="12"/>
        <v>1000.16</v>
      </c>
      <c r="K389" s="4">
        <v>0</v>
      </c>
      <c r="L389" s="23">
        <f t="shared" si="13"/>
        <v>0</v>
      </c>
      <c r="M389" s="7">
        <v>1000.16</v>
      </c>
      <c r="N389" s="5" t="s">
        <v>692</v>
      </c>
      <c r="O389" s="5" t="s">
        <v>33</v>
      </c>
      <c r="P389" s="3">
        <v>9</v>
      </c>
      <c r="Q389" s="3">
        <v>15</v>
      </c>
      <c r="R389" s="5" t="b">
        <v>1</v>
      </c>
      <c r="S389" s="3">
        <v>4</v>
      </c>
      <c r="T389" s="3">
        <v>5</v>
      </c>
    </row>
    <row r="390" spans="1:20">
      <c r="A390" s="5" t="s">
        <v>973</v>
      </c>
      <c r="B390" s="5" t="s">
        <v>974</v>
      </c>
      <c r="C390" s="6">
        <v>45006</v>
      </c>
      <c r="D390" s="8">
        <v>46</v>
      </c>
      <c r="E390" s="5" t="s">
        <v>36</v>
      </c>
      <c r="F390" s="5" t="s">
        <v>73</v>
      </c>
      <c r="G390" s="5" t="s">
        <v>28</v>
      </c>
      <c r="H390" s="7">
        <v>176.72</v>
      </c>
      <c r="I390" s="3">
        <v>4</v>
      </c>
      <c r="J390" s="3">
        <f t="shared" si="12"/>
        <v>706.88</v>
      </c>
      <c r="K390" s="4">
        <v>0</v>
      </c>
      <c r="L390" s="23">
        <f t="shared" si="13"/>
        <v>0</v>
      </c>
      <c r="M390" s="7">
        <v>706.88</v>
      </c>
      <c r="N390" s="5" t="s">
        <v>692</v>
      </c>
      <c r="O390" s="5" t="s">
        <v>33</v>
      </c>
      <c r="P390" s="3">
        <v>10</v>
      </c>
      <c r="Q390" s="3">
        <v>12</v>
      </c>
      <c r="R390" s="5" t="b">
        <v>1</v>
      </c>
      <c r="S390" s="3">
        <v>5</v>
      </c>
      <c r="T390" s="3">
        <v>4</v>
      </c>
    </row>
    <row r="391" spans="1:20">
      <c r="A391" s="5" t="s">
        <v>975</v>
      </c>
      <c r="B391" s="5" t="s">
        <v>976</v>
      </c>
      <c r="C391" s="6">
        <v>45024</v>
      </c>
      <c r="D391" s="8">
        <v>28</v>
      </c>
      <c r="E391" s="5" t="s">
        <v>20</v>
      </c>
      <c r="F391" s="5" t="s">
        <v>21</v>
      </c>
      <c r="G391" s="5" t="s">
        <v>46</v>
      </c>
      <c r="H391" s="7">
        <v>469.83</v>
      </c>
      <c r="I391" s="3">
        <v>1</v>
      </c>
      <c r="J391" s="3">
        <f t="shared" si="12"/>
        <v>469.83</v>
      </c>
      <c r="K391" s="4">
        <v>0</v>
      </c>
      <c r="L391" s="23">
        <f t="shared" si="13"/>
        <v>0</v>
      </c>
      <c r="M391" s="7">
        <v>469.83</v>
      </c>
      <c r="N391" s="5" t="s">
        <v>692</v>
      </c>
      <c r="O391" s="5" t="s">
        <v>33</v>
      </c>
      <c r="P391" s="3">
        <v>13</v>
      </c>
      <c r="Q391" s="3">
        <v>11</v>
      </c>
      <c r="R391" s="5" t="b">
        <v>1</v>
      </c>
      <c r="S391" s="3">
        <v>11</v>
      </c>
      <c r="T391" s="3">
        <v>4</v>
      </c>
    </row>
    <row r="392" spans="1:20">
      <c r="A392" s="5" t="s">
        <v>215</v>
      </c>
      <c r="B392" s="5" t="s">
        <v>216</v>
      </c>
      <c r="C392" s="6">
        <v>45078</v>
      </c>
      <c r="D392" s="8">
        <v>24</v>
      </c>
      <c r="E392" s="5" t="s">
        <v>20</v>
      </c>
      <c r="F392" s="5" t="s">
        <v>32</v>
      </c>
      <c r="G392" s="5" t="s">
        <v>53</v>
      </c>
      <c r="H392" s="7">
        <v>33.29</v>
      </c>
      <c r="I392" s="3">
        <v>1</v>
      </c>
      <c r="J392" s="3">
        <f t="shared" si="12"/>
        <v>33.29</v>
      </c>
      <c r="K392" s="4">
        <v>0</v>
      </c>
      <c r="L392" s="23">
        <f t="shared" si="13"/>
        <v>0</v>
      </c>
      <c r="M392" s="7">
        <v>33.29</v>
      </c>
      <c r="N392" s="5" t="s">
        <v>23</v>
      </c>
      <c r="O392" s="5" t="s">
        <v>33</v>
      </c>
      <c r="P392" s="3">
        <v>10</v>
      </c>
      <c r="Q392" s="3">
        <v>5</v>
      </c>
      <c r="R392" s="5" t="b">
        <v>1</v>
      </c>
      <c r="S392" s="3">
        <v>3</v>
      </c>
      <c r="T392" s="3">
        <v>5</v>
      </c>
    </row>
    <row r="393" spans="1:20">
      <c r="A393" s="5" t="s">
        <v>534</v>
      </c>
      <c r="B393" s="5" t="s">
        <v>535</v>
      </c>
      <c r="C393" s="6">
        <v>45038</v>
      </c>
      <c r="D393" s="8">
        <v>40</v>
      </c>
      <c r="E393" s="5" t="s">
        <v>20</v>
      </c>
      <c r="F393" s="5" t="s">
        <v>27</v>
      </c>
      <c r="G393" s="5" t="s">
        <v>64</v>
      </c>
      <c r="H393" s="7">
        <v>1546.14</v>
      </c>
      <c r="I393" s="3">
        <v>1</v>
      </c>
      <c r="J393" s="3">
        <f t="shared" si="12"/>
        <v>1546.14</v>
      </c>
      <c r="K393" s="4">
        <v>171.78</v>
      </c>
      <c r="L393" s="23">
        <f t="shared" si="13"/>
        <v>0.11110248748496254</v>
      </c>
      <c r="M393" s="7">
        <v>1374.36</v>
      </c>
      <c r="N393" s="5" t="s">
        <v>327</v>
      </c>
      <c r="O393" s="5" t="s">
        <v>33</v>
      </c>
      <c r="P393" s="3">
        <v>7</v>
      </c>
      <c r="Q393" s="3">
        <v>7</v>
      </c>
      <c r="R393" s="5" t="b">
        <v>1</v>
      </c>
      <c r="S393" s="3">
        <v>3</v>
      </c>
      <c r="T393" s="3">
        <v>5</v>
      </c>
    </row>
    <row r="394" spans="1:20">
      <c r="A394" s="5" t="s">
        <v>536</v>
      </c>
      <c r="B394" s="5" t="s">
        <v>537</v>
      </c>
      <c r="C394" s="6">
        <v>44956</v>
      </c>
      <c r="D394" s="8">
        <v>19</v>
      </c>
      <c r="E394" s="5" t="s">
        <v>36</v>
      </c>
      <c r="F394" s="5" t="s">
        <v>32</v>
      </c>
      <c r="G394" s="5" t="s">
        <v>115</v>
      </c>
      <c r="H394" s="7">
        <v>17.809999999999999</v>
      </c>
      <c r="I394" s="3">
        <v>1</v>
      </c>
      <c r="J394" s="3">
        <f t="shared" si="12"/>
        <v>17.809999999999999</v>
      </c>
      <c r="K394" s="4">
        <v>1.41</v>
      </c>
      <c r="L394" s="23">
        <f t="shared" si="13"/>
        <v>7.9169006176305443E-2</v>
      </c>
      <c r="M394" s="7">
        <v>16.399999999999999</v>
      </c>
      <c r="N394" s="5" t="s">
        <v>327</v>
      </c>
      <c r="O394" s="5" t="s">
        <v>33</v>
      </c>
      <c r="P394" s="3">
        <v>17</v>
      </c>
      <c r="Q394" s="3">
        <v>11</v>
      </c>
      <c r="R394" s="5" t="b">
        <v>1</v>
      </c>
      <c r="S394" s="3">
        <v>6</v>
      </c>
      <c r="T394" s="3">
        <v>5</v>
      </c>
    </row>
    <row r="395" spans="1:20">
      <c r="A395" s="5" t="s">
        <v>1375</v>
      </c>
      <c r="B395" s="5" t="s">
        <v>1376</v>
      </c>
      <c r="C395" s="6">
        <v>45223</v>
      </c>
      <c r="D395" s="8">
        <v>56</v>
      </c>
      <c r="E395" s="5" t="s">
        <v>36</v>
      </c>
      <c r="F395" s="5" t="s">
        <v>32</v>
      </c>
      <c r="G395" s="5" t="s">
        <v>56</v>
      </c>
      <c r="H395" s="7">
        <v>457.14</v>
      </c>
      <c r="I395" s="3">
        <v>3</v>
      </c>
      <c r="J395" s="3">
        <f t="shared" si="12"/>
        <v>1371.42</v>
      </c>
      <c r="K395" s="4">
        <v>0</v>
      </c>
      <c r="L395" s="23">
        <f t="shared" si="13"/>
        <v>0</v>
      </c>
      <c r="M395" s="7">
        <v>1371.42</v>
      </c>
      <c r="N395" s="5" t="s">
        <v>1298</v>
      </c>
      <c r="O395" s="5" t="s">
        <v>33</v>
      </c>
      <c r="P395" s="3">
        <v>7</v>
      </c>
      <c r="Q395" s="3">
        <v>8</v>
      </c>
      <c r="R395" s="5" t="b">
        <v>1</v>
      </c>
      <c r="S395" s="3">
        <v>6</v>
      </c>
      <c r="T395" s="3">
        <v>4</v>
      </c>
    </row>
    <row r="396" spans="1:20">
      <c r="A396" s="5" t="s">
        <v>977</v>
      </c>
      <c r="B396" s="5" t="s">
        <v>978</v>
      </c>
      <c r="C396" s="6">
        <v>45303</v>
      </c>
      <c r="D396" s="8">
        <v>49</v>
      </c>
      <c r="E396" s="5" t="s">
        <v>20</v>
      </c>
      <c r="F396" s="5" t="s">
        <v>27</v>
      </c>
      <c r="G396" s="5" t="s">
        <v>37</v>
      </c>
      <c r="H396" s="7">
        <v>135.71</v>
      </c>
      <c r="I396" s="3">
        <v>1</v>
      </c>
      <c r="J396" s="3">
        <f t="shared" si="12"/>
        <v>135.71</v>
      </c>
      <c r="K396" s="4">
        <v>0</v>
      </c>
      <c r="L396" s="23">
        <f t="shared" si="13"/>
        <v>0</v>
      </c>
      <c r="M396" s="7">
        <v>135.71</v>
      </c>
      <c r="N396" s="5" t="s">
        <v>692</v>
      </c>
      <c r="O396" s="5" t="s">
        <v>33</v>
      </c>
      <c r="P396" s="3">
        <v>8</v>
      </c>
      <c r="Q396" s="3">
        <v>12</v>
      </c>
      <c r="R396" s="5" t="b">
        <v>0</v>
      </c>
      <c r="S396" s="3">
        <v>8</v>
      </c>
      <c r="T396" s="3">
        <v>3</v>
      </c>
    </row>
    <row r="397" spans="1:20">
      <c r="A397" s="5" t="s">
        <v>979</v>
      </c>
      <c r="B397" s="5" t="s">
        <v>980</v>
      </c>
      <c r="C397" s="6">
        <v>45204</v>
      </c>
      <c r="D397" s="8">
        <v>29</v>
      </c>
      <c r="E397" s="5" t="s">
        <v>20</v>
      </c>
      <c r="F397" s="5" t="s">
        <v>32</v>
      </c>
      <c r="G397" s="5" t="s">
        <v>22</v>
      </c>
      <c r="H397" s="7">
        <v>123.69</v>
      </c>
      <c r="I397" s="3">
        <v>1</v>
      </c>
      <c r="J397" s="3">
        <f t="shared" si="12"/>
        <v>123.69</v>
      </c>
      <c r="K397" s="4">
        <v>0</v>
      </c>
      <c r="L397" s="23">
        <f t="shared" si="13"/>
        <v>0</v>
      </c>
      <c r="M397" s="7">
        <v>123.69</v>
      </c>
      <c r="N397" s="5" t="s">
        <v>692</v>
      </c>
      <c r="O397" s="5" t="s">
        <v>33</v>
      </c>
      <c r="P397" s="3">
        <v>21</v>
      </c>
      <c r="Q397" s="3">
        <v>12</v>
      </c>
      <c r="R397" s="5" t="b">
        <v>0</v>
      </c>
      <c r="S397" s="3">
        <v>15</v>
      </c>
      <c r="T397" s="3">
        <v>3</v>
      </c>
    </row>
    <row r="398" spans="1:20">
      <c r="A398" s="5" t="s">
        <v>981</v>
      </c>
      <c r="B398" s="5" t="s">
        <v>982</v>
      </c>
      <c r="C398" s="6">
        <v>44958</v>
      </c>
      <c r="D398" s="8">
        <v>18</v>
      </c>
      <c r="E398" s="5" t="s">
        <v>36</v>
      </c>
      <c r="F398" s="5" t="s">
        <v>52</v>
      </c>
      <c r="G398" s="5" t="s">
        <v>64</v>
      </c>
      <c r="H398" s="7">
        <v>1201.31</v>
      </c>
      <c r="I398" s="3">
        <v>1</v>
      </c>
      <c r="J398" s="3">
        <f t="shared" si="12"/>
        <v>1201.31</v>
      </c>
      <c r="K398" s="4">
        <v>177.05</v>
      </c>
      <c r="L398" s="23">
        <f t="shared" si="13"/>
        <v>0.14738077598621507</v>
      </c>
      <c r="M398" s="7">
        <v>1024.26</v>
      </c>
      <c r="N398" s="5" t="s">
        <v>692</v>
      </c>
      <c r="O398" s="5" t="s">
        <v>24</v>
      </c>
      <c r="P398" s="3">
        <v>20</v>
      </c>
      <c r="Q398" s="3">
        <v>10</v>
      </c>
      <c r="R398" s="5" t="b">
        <v>1</v>
      </c>
      <c r="S398" s="3">
        <v>12</v>
      </c>
      <c r="T398" s="3">
        <v>5</v>
      </c>
    </row>
    <row r="399" spans="1:20">
      <c r="A399" s="5" t="s">
        <v>983</v>
      </c>
      <c r="B399" s="5" t="s">
        <v>984</v>
      </c>
      <c r="C399" s="6">
        <v>45309</v>
      </c>
      <c r="D399" s="8">
        <v>51</v>
      </c>
      <c r="E399" s="5" t="s">
        <v>20</v>
      </c>
      <c r="F399" s="5" t="s">
        <v>21</v>
      </c>
      <c r="G399" s="5" t="s">
        <v>56</v>
      </c>
      <c r="H399" s="7">
        <v>656.9</v>
      </c>
      <c r="I399" s="3">
        <v>1</v>
      </c>
      <c r="J399" s="3">
        <f t="shared" si="12"/>
        <v>656.9</v>
      </c>
      <c r="K399" s="4">
        <v>0</v>
      </c>
      <c r="L399" s="23">
        <f t="shared" si="13"/>
        <v>0</v>
      </c>
      <c r="M399" s="7">
        <v>656.9</v>
      </c>
      <c r="N399" s="5" t="s">
        <v>692</v>
      </c>
      <c r="O399" s="5" t="s">
        <v>29</v>
      </c>
      <c r="P399" s="3">
        <v>1</v>
      </c>
      <c r="Q399" s="3">
        <v>7</v>
      </c>
      <c r="R399" s="5" t="b">
        <v>0</v>
      </c>
      <c r="S399" s="3">
        <v>9</v>
      </c>
      <c r="T399" s="3">
        <v>5</v>
      </c>
    </row>
    <row r="400" spans="1:20">
      <c r="A400" s="5" t="s">
        <v>217</v>
      </c>
      <c r="B400" s="5" t="s">
        <v>218</v>
      </c>
      <c r="C400" s="6">
        <v>45087</v>
      </c>
      <c r="D400" s="8">
        <v>33</v>
      </c>
      <c r="E400" s="5" t="s">
        <v>20</v>
      </c>
      <c r="F400" s="5" t="s">
        <v>21</v>
      </c>
      <c r="G400" s="5" t="s">
        <v>22</v>
      </c>
      <c r="H400" s="7">
        <v>718.68</v>
      </c>
      <c r="I400" s="3">
        <v>1</v>
      </c>
      <c r="J400" s="3">
        <f t="shared" si="12"/>
        <v>718.68</v>
      </c>
      <c r="K400" s="4">
        <v>0</v>
      </c>
      <c r="L400" s="23">
        <f t="shared" si="13"/>
        <v>0</v>
      </c>
      <c r="M400" s="7">
        <v>718.68</v>
      </c>
      <c r="N400" s="5" t="s">
        <v>23</v>
      </c>
      <c r="O400" s="5" t="s">
        <v>24</v>
      </c>
      <c r="P400" s="3">
        <v>10</v>
      </c>
      <c r="Q400" s="3">
        <v>7</v>
      </c>
      <c r="R400" s="5" t="b">
        <v>1</v>
      </c>
      <c r="S400" s="3">
        <v>8</v>
      </c>
      <c r="T400" s="3">
        <v>2</v>
      </c>
    </row>
    <row r="401" spans="1:20">
      <c r="A401" s="5" t="s">
        <v>538</v>
      </c>
      <c r="B401" s="5" t="s">
        <v>539</v>
      </c>
      <c r="C401" s="6">
        <v>44956</v>
      </c>
      <c r="D401" s="8">
        <v>49</v>
      </c>
      <c r="E401" s="5" t="s">
        <v>36</v>
      </c>
      <c r="F401" s="5" t="s">
        <v>27</v>
      </c>
      <c r="G401" s="5" t="s">
        <v>37</v>
      </c>
      <c r="H401" s="7">
        <v>178.19</v>
      </c>
      <c r="I401" s="3">
        <v>2</v>
      </c>
      <c r="J401" s="3">
        <f t="shared" si="12"/>
        <v>356.38</v>
      </c>
      <c r="K401" s="4">
        <v>0</v>
      </c>
      <c r="L401" s="23">
        <f t="shared" si="13"/>
        <v>0</v>
      </c>
      <c r="M401" s="7">
        <v>356.38</v>
      </c>
      <c r="N401" s="5" t="s">
        <v>327</v>
      </c>
      <c r="O401" s="5" t="s">
        <v>33</v>
      </c>
      <c r="P401" s="3">
        <v>16</v>
      </c>
      <c r="Q401" s="3">
        <v>9</v>
      </c>
      <c r="R401" s="5" t="b">
        <v>1</v>
      </c>
      <c r="S401" s="3">
        <v>4</v>
      </c>
      <c r="T401" s="3">
        <v>3</v>
      </c>
    </row>
    <row r="402" spans="1:20">
      <c r="A402" s="5" t="s">
        <v>985</v>
      </c>
      <c r="B402" s="5" t="s">
        <v>986</v>
      </c>
      <c r="C402" s="6">
        <v>44952</v>
      </c>
      <c r="D402" s="8">
        <v>18</v>
      </c>
      <c r="E402" s="5" t="s">
        <v>36</v>
      </c>
      <c r="F402" s="5" t="s">
        <v>49</v>
      </c>
      <c r="G402" s="5" t="s">
        <v>46</v>
      </c>
      <c r="H402" s="7">
        <v>118.11</v>
      </c>
      <c r="I402" s="3">
        <v>1</v>
      </c>
      <c r="J402" s="3">
        <f t="shared" si="12"/>
        <v>118.11</v>
      </c>
      <c r="K402" s="4">
        <v>0</v>
      </c>
      <c r="L402" s="23">
        <f t="shared" si="13"/>
        <v>0</v>
      </c>
      <c r="M402" s="7">
        <v>118.11</v>
      </c>
      <c r="N402" s="5" t="s">
        <v>692</v>
      </c>
      <c r="O402" s="5" t="s">
        <v>24</v>
      </c>
      <c r="P402" s="3">
        <v>45</v>
      </c>
      <c r="Q402" s="3">
        <v>7</v>
      </c>
      <c r="R402" s="5" t="b">
        <v>1</v>
      </c>
      <c r="S402" s="3">
        <v>2</v>
      </c>
      <c r="T402" s="3">
        <v>5</v>
      </c>
    </row>
    <row r="403" spans="1:20">
      <c r="A403" s="5" t="s">
        <v>987</v>
      </c>
      <c r="B403" s="5" t="s">
        <v>988</v>
      </c>
      <c r="C403" s="6">
        <v>45226</v>
      </c>
      <c r="D403" s="8">
        <v>27</v>
      </c>
      <c r="E403" s="5" t="s">
        <v>20</v>
      </c>
      <c r="F403" s="5" t="s">
        <v>49</v>
      </c>
      <c r="G403" s="5" t="s">
        <v>28</v>
      </c>
      <c r="H403" s="7">
        <v>520.04999999999995</v>
      </c>
      <c r="I403" s="3">
        <v>2</v>
      </c>
      <c r="J403" s="3">
        <f t="shared" si="12"/>
        <v>1040.0999999999999</v>
      </c>
      <c r="K403" s="4">
        <v>0</v>
      </c>
      <c r="L403" s="23">
        <f t="shared" si="13"/>
        <v>0</v>
      </c>
      <c r="M403" s="7">
        <v>1040.0999999999999</v>
      </c>
      <c r="N403" s="5" t="s">
        <v>692</v>
      </c>
      <c r="O403" s="5" t="s">
        <v>33</v>
      </c>
      <c r="P403" s="3">
        <v>2</v>
      </c>
      <c r="Q403" s="3">
        <v>10</v>
      </c>
      <c r="R403" s="5" t="b">
        <v>1</v>
      </c>
      <c r="S403" s="3">
        <v>23</v>
      </c>
      <c r="T403" s="3">
        <v>4</v>
      </c>
    </row>
    <row r="404" spans="1:20">
      <c r="A404" s="5" t="s">
        <v>989</v>
      </c>
      <c r="B404" s="5" t="s">
        <v>990</v>
      </c>
      <c r="C404" s="6">
        <v>45171</v>
      </c>
      <c r="D404" s="8">
        <v>35</v>
      </c>
      <c r="E404" s="5" t="s">
        <v>20</v>
      </c>
      <c r="F404" s="5" t="s">
        <v>27</v>
      </c>
      <c r="G404" s="5" t="s">
        <v>28</v>
      </c>
      <c r="H404" s="7">
        <v>361.3</v>
      </c>
      <c r="I404" s="3">
        <v>1</v>
      </c>
      <c r="J404" s="3">
        <f t="shared" si="12"/>
        <v>361.3</v>
      </c>
      <c r="K404" s="4">
        <v>0</v>
      </c>
      <c r="L404" s="23">
        <f t="shared" si="13"/>
        <v>0</v>
      </c>
      <c r="M404" s="7">
        <v>361.3</v>
      </c>
      <c r="N404" s="5" t="s">
        <v>692</v>
      </c>
      <c r="O404" s="5" t="s">
        <v>33</v>
      </c>
      <c r="P404" s="3">
        <v>9</v>
      </c>
      <c r="Q404" s="3">
        <v>8</v>
      </c>
      <c r="R404" s="5" t="b">
        <v>0</v>
      </c>
      <c r="S404" s="3">
        <v>4</v>
      </c>
      <c r="T404" s="3">
        <v>4</v>
      </c>
    </row>
    <row r="405" spans="1:20">
      <c r="A405" s="5" t="s">
        <v>1266</v>
      </c>
      <c r="B405" s="5" t="s">
        <v>1267</v>
      </c>
      <c r="C405" s="6">
        <v>45184</v>
      </c>
      <c r="D405" s="8">
        <v>35</v>
      </c>
      <c r="E405" s="5" t="s">
        <v>36</v>
      </c>
      <c r="F405" s="5" t="s">
        <v>52</v>
      </c>
      <c r="G405" s="5" t="s">
        <v>22</v>
      </c>
      <c r="H405" s="7">
        <v>280.36</v>
      </c>
      <c r="I405" s="3">
        <v>5</v>
      </c>
      <c r="J405" s="3">
        <f t="shared" si="12"/>
        <v>1401.8000000000002</v>
      </c>
      <c r="K405" s="4">
        <v>0</v>
      </c>
      <c r="L405" s="23">
        <f t="shared" si="13"/>
        <v>0</v>
      </c>
      <c r="M405" s="7">
        <v>1401.8</v>
      </c>
      <c r="N405" s="5" t="s">
        <v>1231</v>
      </c>
      <c r="O405" s="5" t="s">
        <v>33</v>
      </c>
      <c r="P405" s="3">
        <v>20</v>
      </c>
      <c r="Q405" s="3">
        <v>5</v>
      </c>
      <c r="R405" s="5" t="b">
        <v>0</v>
      </c>
      <c r="S405" s="3">
        <v>4</v>
      </c>
      <c r="T405" s="3">
        <v>4</v>
      </c>
    </row>
    <row r="406" spans="1:20">
      <c r="A406" s="5" t="s">
        <v>219</v>
      </c>
      <c r="B406" s="5" t="s">
        <v>220</v>
      </c>
      <c r="C406" s="6">
        <v>45363</v>
      </c>
      <c r="D406" s="8">
        <v>29</v>
      </c>
      <c r="E406" s="5" t="s">
        <v>20</v>
      </c>
      <c r="F406" s="5" t="s">
        <v>52</v>
      </c>
      <c r="G406" s="5" t="s">
        <v>56</v>
      </c>
      <c r="H406" s="7">
        <v>1030.8599999999999</v>
      </c>
      <c r="I406" s="3">
        <v>1</v>
      </c>
      <c r="J406" s="3">
        <f t="shared" si="12"/>
        <v>1030.8599999999999</v>
      </c>
      <c r="K406" s="4">
        <v>296.67</v>
      </c>
      <c r="L406" s="23">
        <f t="shared" si="13"/>
        <v>0.28778883650544212</v>
      </c>
      <c r="M406" s="7">
        <v>734.19</v>
      </c>
      <c r="N406" s="5" t="s">
        <v>23</v>
      </c>
      <c r="O406" s="5" t="s">
        <v>33</v>
      </c>
      <c r="P406" s="3">
        <v>8</v>
      </c>
      <c r="Q406" s="3">
        <v>9</v>
      </c>
      <c r="R406" s="5" t="b">
        <v>0</v>
      </c>
      <c r="S406" s="3">
        <v>3</v>
      </c>
      <c r="T406" s="3">
        <v>5</v>
      </c>
    </row>
    <row r="407" spans="1:20">
      <c r="A407" s="5" t="s">
        <v>540</v>
      </c>
      <c r="B407" s="5" t="s">
        <v>541</v>
      </c>
      <c r="C407" s="6">
        <v>45198</v>
      </c>
      <c r="D407" s="8">
        <v>42</v>
      </c>
      <c r="E407" s="5" t="s">
        <v>20</v>
      </c>
      <c r="F407" s="5" t="s">
        <v>21</v>
      </c>
      <c r="G407" s="5" t="s">
        <v>28</v>
      </c>
      <c r="H407" s="7">
        <v>83.61</v>
      </c>
      <c r="I407" s="3">
        <v>2</v>
      </c>
      <c r="J407" s="3">
        <f t="shared" si="12"/>
        <v>167.22</v>
      </c>
      <c r="K407" s="4">
        <v>0</v>
      </c>
      <c r="L407" s="23">
        <f t="shared" si="13"/>
        <v>0</v>
      </c>
      <c r="M407" s="7">
        <v>167.22</v>
      </c>
      <c r="N407" s="5" t="s">
        <v>327</v>
      </c>
      <c r="O407" s="5" t="s">
        <v>29</v>
      </c>
      <c r="P407" s="3">
        <v>9</v>
      </c>
      <c r="Q407" s="3">
        <v>6</v>
      </c>
      <c r="R407" s="5" t="b">
        <v>0</v>
      </c>
      <c r="S407" s="3">
        <v>8</v>
      </c>
      <c r="T407" s="3">
        <v>5</v>
      </c>
    </row>
    <row r="408" spans="1:20">
      <c r="A408" s="5" t="s">
        <v>991</v>
      </c>
      <c r="B408" s="5" t="s">
        <v>992</v>
      </c>
      <c r="C408" s="6">
        <v>45007</v>
      </c>
      <c r="D408" s="8">
        <v>22</v>
      </c>
      <c r="E408" s="5" t="s">
        <v>36</v>
      </c>
      <c r="F408" s="5" t="s">
        <v>52</v>
      </c>
      <c r="G408" s="5" t="s">
        <v>28</v>
      </c>
      <c r="H408" s="7">
        <v>145.63999999999999</v>
      </c>
      <c r="I408" s="3">
        <v>1</v>
      </c>
      <c r="J408" s="3">
        <f t="shared" si="12"/>
        <v>145.63999999999999</v>
      </c>
      <c r="K408" s="4">
        <v>0</v>
      </c>
      <c r="L408" s="23">
        <f t="shared" si="13"/>
        <v>0</v>
      </c>
      <c r="M408" s="7">
        <v>145.63999999999999</v>
      </c>
      <c r="N408" s="5" t="s">
        <v>692</v>
      </c>
      <c r="O408" s="5" t="s">
        <v>33</v>
      </c>
      <c r="P408" s="3">
        <v>4</v>
      </c>
      <c r="Q408" s="3">
        <v>8</v>
      </c>
      <c r="R408" s="5" t="b">
        <v>1</v>
      </c>
      <c r="S408" s="3">
        <v>5</v>
      </c>
      <c r="T408" s="3">
        <v>4</v>
      </c>
    </row>
    <row r="409" spans="1:20">
      <c r="A409" s="5" t="s">
        <v>542</v>
      </c>
      <c r="B409" s="5" t="s">
        <v>543</v>
      </c>
      <c r="C409" s="6">
        <v>44956</v>
      </c>
      <c r="D409" s="8">
        <v>33</v>
      </c>
      <c r="E409" s="5" t="s">
        <v>36</v>
      </c>
      <c r="F409" s="5" t="s">
        <v>83</v>
      </c>
      <c r="G409" s="5" t="s">
        <v>46</v>
      </c>
      <c r="H409" s="7">
        <v>235.02</v>
      </c>
      <c r="I409" s="3">
        <v>2</v>
      </c>
      <c r="J409" s="3">
        <f t="shared" si="12"/>
        <v>470.04</v>
      </c>
      <c r="K409" s="4">
        <v>0</v>
      </c>
      <c r="L409" s="23">
        <f t="shared" si="13"/>
        <v>0</v>
      </c>
      <c r="M409" s="7">
        <v>470.04</v>
      </c>
      <c r="N409" s="5" t="s">
        <v>327</v>
      </c>
      <c r="O409" s="5" t="s">
        <v>29</v>
      </c>
      <c r="P409" s="3">
        <v>11</v>
      </c>
      <c r="Q409" s="3">
        <v>13</v>
      </c>
      <c r="R409" s="5" t="b">
        <v>1</v>
      </c>
      <c r="S409" s="3">
        <v>12</v>
      </c>
      <c r="T409" s="3">
        <v>4</v>
      </c>
    </row>
    <row r="410" spans="1:20">
      <c r="A410" s="5" t="s">
        <v>993</v>
      </c>
      <c r="B410" s="5" t="s">
        <v>994</v>
      </c>
      <c r="C410" s="6">
        <v>45187</v>
      </c>
      <c r="D410" s="8">
        <v>36</v>
      </c>
      <c r="E410" s="5" t="s">
        <v>20</v>
      </c>
      <c r="F410" s="5" t="s">
        <v>59</v>
      </c>
      <c r="G410" s="5" t="s">
        <v>37</v>
      </c>
      <c r="H410" s="7">
        <v>140.94999999999999</v>
      </c>
      <c r="I410" s="3">
        <v>1</v>
      </c>
      <c r="J410" s="3">
        <f t="shared" si="12"/>
        <v>140.94999999999999</v>
      </c>
      <c r="K410" s="4">
        <v>0</v>
      </c>
      <c r="L410" s="23">
        <f t="shared" si="13"/>
        <v>0</v>
      </c>
      <c r="M410" s="7">
        <v>140.94999999999999</v>
      </c>
      <c r="N410" s="5" t="s">
        <v>692</v>
      </c>
      <c r="O410" s="5" t="s">
        <v>33</v>
      </c>
      <c r="P410" s="3">
        <v>8</v>
      </c>
      <c r="Q410" s="3">
        <v>6</v>
      </c>
      <c r="R410" s="5" t="b">
        <v>1</v>
      </c>
      <c r="S410" s="3">
        <v>13</v>
      </c>
      <c r="T410" s="3">
        <v>2</v>
      </c>
    </row>
    <row r="411" spans="1:20">
      <c r="A411" s="5" t="s">
        <v>1268</v>
      </c>
      <c r="B411" s="5" t="s">
        <v>1269</v>
      </c>
      <c r="C411" s="6">
        <v>44968</v>
      </c>
      <c r="D411" s="8">
        <v>41</v>
      </c>
      <c r="E411" s="5" t="s">
        <v>122</v>
      </c>
      <c r="F411" s="5" t="s">
        <v>32</v>
      </c>
      <c r="G411" s="5" t="s">
        <v>53</v>
      </c>
      <c r="H411" s="7">
        <v>185.48</v>
      </c>
      <c r="I411" s="3">
        <v>1</v>
      </c>
      <c r="J411" s="3">
        <f t="shared" si="12"/>
        <v>185.48</v>
      </c>
      <c r="K411" s="4">
        <v>36.340000000000003</v>
      </c>
      <c r="L411" s="23">
        <f t="shared" si="13"/>
        <v>0.19592408885054996</v>
      </c>
      <c r="M411" s="7">
        <v>149.13999999999999</v>
      </c>
      <c r="N411" s="5" t="s">
        <v>1231</v>
      </c>
      <c r="O411" s="5" t="s">
        <v>29</v>
      </c>
      <c r="P411" s="3">
        <v>12</v>
      </c>
      <c r="Q411" s="3">
        <v>12</v>
      </c>
      <c r="R411" s="5" t="b">
        <v>1</v>
      </c>
      <c r="S411" s="3">
        <v>5</v>
      </c>
      <c r="T411" s="3">
        <v>5</v>
      </c>
    </row>
    <row r="412" spans="1:20">
      <c r="A412" s="5" t="s">
        <v>221</v>
      </c>
      <c r="B412" s="5" t="s">
        <v>222</v>
      </c>
      <c r="C412" s="6">
        <v>45362</v>
      </c>
      <c r="D412" s="8">
        <v>43</v>
      </c>
      <c r="E412" s="5" t="s">
        <v>36</v>
      </c>
      <c r="F412" s="5" t="s">
        <v>32</v>
      </c>
      <c r="G412" s="5" t="s">
        <v>28</v>
      </c>
      <c r="H412" s="7">
        <v>111.68</v>
      </c>
      <c r="I412" s="3">
        <v>3</v>
      </c>
      <c r="J412" s="3">
        <f t="shared" si="12"/>
        <v>335.04</v>
      </c>
      <c r="K412" s="4">
        <v>32.03</v>
      </c>
      <c r="L412" s="23">
        <f t="shared" si="13"/>
        <v>9.5600525310410689E-2</v>
      </c>
      <c r="M412" s="7">
        <v>303.01</v>
      </c>
      <c r="N412" s="5" t="s">
        <v>23</v>
      </c>
      <c r="O412" s="5" t="s">
        <v>24</v>
      </c>
      <c r="P412" s="3">
        <v>10</v>
      </c>
      <c r="Q412" s="3">
        <v>16</v>
      </c>
      <c r="R412" s="5" t="b">
        <v>1</v>
      </c>
      <c r="S412" s="3">
        <v>11</v>
      </c>
      <c r="T412" s="3">
        <v>5</v>
      </c>
    </row>
    <row r="413" spans="1:20">
      <c r="A413" s="5" t="s">
        <v>544</v>
      </c>
      <c r="B413" s="5" t="s">
        <v>545</v>
      </c>
      <c r="C413" s="6">
        <v>45022</v>
      </c>
      <c r="D413" s="8">
        <v>21</v>
      </c>
      <c r="E413" s="5" t="s">
        <v>20</v>
      </c>
      <c r="F413" s="5" t="s">
        <v>32</v>
      </c>
      <c r="G413" s="5" t="s">
        <v>22</v>
      </c>
      <c r="H413" s="7">
        <v>218.37</v>
      </c>
      <c r="I413" s="3">
        <v>1</v>
      </c>
      <c r="J413" s="3">
        <f t="shared" si="12"/>
        <v>218.37</v>
      </c>
      <c r="K413" s="4">
        <v>25.68</v>
      </c>
      <c r="L413" s="23">
        <f t="shared" si="13"/>
        <v>0.11759857123231213</v>
      </c>
      <c r="M413" s="7">
        <v>192.69</v>
      </c>
      <c r="N413" s="5" t="s">
        <v>327</v>
      </c>
      <c r="O413" s="5" t="s">
        <v>33</v>
      </c>
      <c r="P413" s="3">
        <v>13</v>
      </c>
      <c r="Q413" s="3">
        <v>10</v>
      </c>
      <c r="R413" s="5" t="b">
        <v>0</v>
      </c>
      <c r="S413" s="3">
        <v>6</v>
      </c>
      <c r="T413" s="3">
        <v>4</v>
      </c>
    </row>
    <row r="414" spans="1:20">
      <c r="A414" s="5" t="s">
        <v>546</v>
      </c>
      <c r="B414" s="5" t="s">
        <v>547</v>
      </c>
      <c r="C414" s="6">
        <v>44962</v>
      </c>
      <c r="D414" s="8">
        <v>18</v>
      </c>
      <c r="E414" s="5" t="s">
        <v>122</v>
      </c>
      <c r="F414" s="5" t="s">
        <v>32</v>
      </c>
      <c r="G414" s="5" t="s">
        <v>64</v>
      </c>
      <c r="H414" s="7">
        <v>1456.73</v>
      </c>
      <c r="I414" s="3">
        <v>1</v>
      </c>
      <c r="J414" s="3">
        <f t="shared" si="12"/>
        <v>1456.73</v>
      </c>
      <c r="K414" s="4">
        <v>0</v>
      </c>
      <c r="L414" s="23">
        <f t="shared" si="13"/>
        <v>0</v>
      </c>
      <c r="M414" s="7">
        <v>1456.73</v>
      </c>
      <c r="N414" s="5" t="s">
        <v>327</v>
      </c>
      <c r="O414" s="5" t="s">
        <v>24</v>
      </c>
      <c r="P414" s="3">
        <v>13</v>
      </c>
      <c r="Q414" s="3">
        <v>8</v>
      </c>
      <c r="R414" s="5" t="b">
        <v>1</v>
      </c>
      <c r="S414" s="3">
        <v>3</v>
      </c>
      <c r="T414" s="3">
        <v>3</v>
      </c>
    </row>
    <row r="415" spans="1:20">
      <c r="A415" s="5" t="s">
        <v>548</v>
      </c>
      <c r="B415" s="5" t="s">
        <v>549</v>
      </c>
      <c r="C415" s="6">
        <v>45231</v>
      </c>
      <c r="D415" s="8">
        <v>50</v>
      </c>
      <c r="E415" s="5" t="s">
        <v>20</v>
      </c>
      <c r="F415" s="5" t="s">
        <v>32</v>
      </c>
      <c r="G415" s="5" t="s">
        <v>115</v>
      </c>
      <c r="H415" s="7">
        <v>47.29</v>
      </c>
      <c r="I415" s="3">
        <v>3</v>
      </c>
      <c r="J415" s="3">
        <f t="shared" si="12"/>
        <v>141.87</v>
      </c>
      <c r="K415" s="4">
        <v>10.89</v>
      </c>
      <c r="L415" s="23">
        <f t="shared" si="13"/>
        <v>7.6760414463945867E-2</v>
      </c>
      <c r="M415" s="7">
        <v>130.97999999999999</v>
      </c>
      <c r="N415" s="5" t="s">
        <v>327</v>
      </c>
      <c r="O415" s="5" t="s">
        <v>33</v>
      </c>
      <c r="P415" s="3">
        <v>21</v>
      </c>
      <c r="Q415" s="3">
        <v>7</v>
      </c>
      <c r="R415" s="5" t="b">
        <v>0</v>
      </c>
      <c r="S415" s="3">
        <v>3</v>
      </c>
      <c r="T415" s="3">
        <v>2</v>
      </c>
    </row>
    <row r="416" spans="1:20">
      <c r="A416" s="5" t="s">
        <v>995</v>
      </c>
      <c r="B416" s="5" t="s">
        <v>996</v>
      </c>
      <c r="C416" s="6">
        <v>44961</v>
      </c>
      <c r="D416" s="8">
        <v>38</v>
      </c>
      <c r="E416" s="5" t="s">
        <v>20</v>
      </c>
      <c r="F416" s="5" t="s">
        <v>73</v>
      </c>
      <c r="G416" s="5" t="s">
        <v>37</v>
      </c>
      <c r="H416" s="7">
        <v>135.88</v>
      </c>
      <c r="I416" s="3">
        <v>4</v>
      </c>
      <c r="J416" s="3">
        <f t="shared" si="12"/>
        <v>543.52</v>
      </c>
      <c r="K416" s="4">
        <v>16.14</v>
      </c>
      <c r="L416" s="23">
        <f t="shared" si="13"/>
        <v>2.9695319399470121E-2</v>
      </c>
      <c r="M416" s="7">
        <v>527.38</v>
      </c>
      <c r="N416" s="5" t="s">
        <v>692</v>
      </c>
      <c r="O416" s="5" t="s">
        <v>24</v>
      </c>
      <c r="P416" s="3">
        <v>13</v>
      </c>
      <c r="Q416" s="3">
        <v>15</v>
      </c>
      <c r="R416" s="5" t="b">
        <v>0</v>
      </c>
      <c r="S416" s="3">
        <v>7</v>
      </c>
      <c r="T416" s="3">
        <v>4</v>
      </c>
    </row>
    <row r="417" spans="1:20">
      <c r="A417" s="5" t="s">
        <v>997</v>
      </c>
      <c r="B417" s="5" t="s">
        <v>998</v>
      </c>
      <c r="C417" s="6">
        <v>45272</v>
      </c>
      <c r="D417" s="8">
        <v>26</v>
      </c>
      <c r="E417" s="5" t="s">
        <v>36</v>
      </c>
      <c r="F417" s="5" t="s">
        <v>88</v>
      </c>
      <c r="G417" s="5" t="s">
        <v>46</v>
      </c>
      <c r="H417" s="7">
        <v>914.56</v>
      </c>
      <c r="I417" s="3">
        <v>3</v>
      </c>
      <c r="J417" s="3">
        <f t="shared" si="12"/>
        <v>2743.68</v>
      </c>
      <c r="K417" s="4">
        <v>163.69999999999999</v>
      </c>
      <c r="L417" s="23">
        <f t="shared" si="13"/>
        <v>5.9664392348961981E-2</v>
      </c>
      <c r="M417" s="7">
        <v>2579.98</v>
      </c>
      <c r="N417" s="5" t="s">
        <v>692</v>
      </c>
      <c r="O417" s="5" t="s">
        <v>33</v>
      </c>
      <c r="P417" s="3">
        <v>8</v>
      </c>
      <c r="Q417" s="3">
        <v>11</v>
      </c>
      <c r="R417" s="5" t="b">
        <v>1</v>
      </c>
      <c r="S417" s="3">
        <v>4</v>
      </c>
      <c r="T417" s="3">
        <v>2</v>
      </c>
    </row>
    <row r="418" spans="1:20">
      <c r="A418" s="5" t="s">
        <v>550</v>
      </c>
      <c r="B418" s="5" t="s">
        <v>551</v>
      </c>
      <c r="C418" s="6">
        <v>45368</v>
      </c>
      <c r="D418" s="8">
        <v>53</v>
      </c>
      <c r="E418" s="5" t="s">
        <v>20</v>
      </c>
      <c r="F418" s="5" t="s">
        <v>27</v>
      </c>
      <c r="G418" s="5" t="s">
        <v>37</v>
      </c>
      <c r="H418" s="7">
        <v>66.02</v>
      </c>
      <c r="I418" s="3">
        <v>1</v>
      </c>
      <c r="J418" s="3">
        <f t="shared" si="12"/>
        <v>66.02</v>
      </c>
      <c r="K418" s="4">
        <v>0</v>
      </c>
      <c r="L418" s="23">
        <f t="shared" si="13"/>
        <v>0</v>
      </c>
      <c r="M418" s="7">
        <v>66.02</v>
      </c>
      <c r="N418" s="5" t="s">
        <v>327</v>
      </c>
      <c r="O418" s="5" t="s">
        <v>33</v>
      </c>
      <c r="P418" s="3">
        <v>23</v>
      </c>
      <c r="Q418" s="3">
        <v>11</v>
      </c>
      <c r="R418" s="5" t="b">
        <v>1</v>
      </c>
      <c r="S418" s="3">
        <v>7</v>
      </c>
      <c r="T418" s="3">
        <v>5</v>
      </c>
    </row>
    <row r="419" spans="1:20">
      <c r="A419" s="5" t="s">
        <v>999</v>
      </c>
      <c r="B419" s="5" t="s">
        <v>1000</v>
      </c>
      <c r="C419" s="6">
        <v>45047</v>
      </c>
      <c r="D419" s="8">
        <v>36</v>
      </c>
      <c r="E419" s="5" t="s">
        <v>20</v>
      </c>
      <c r="F419" s="5" t="s">
        <v>32</v>
      </c>
      <c r="G419" s="5" t="s">
        <v>46</v>
      </c>
      <c r="H419" s="7">
        <v>440.2</v>
      </c>
      <c r="I419" s="3">
        <v>1</v>
      </c>
      <c r="J419" s="3">
        <f t="shared" si="12"/>
        <v>440.2</v>
      </c>
      <c r="K419" s="4">
        <v>0</v>
      </c>
      <c r="L419" s="23">
        <f t="shared" si="13"/>
        <v>0</v>
      </c>
      <c r="M419" s="7">
        <v>440.2</v>
      </c>
      <c r="N419" s="5" t="s">
        <v>692</v>
      </c>
      <c r="O419" s="5" t="s">
        <v>24</v>
      </c>
      <c r="P419" s="3">
        <v>7</v>
      </c>
      <c r="Q419" s="3">
        <v>7</v>
      </c>
      <c r="R419" s="5" t="b">
        <v>1</v>
      </c>
      <c r="S419" s="3">
        <v>8</v>
      </c>
      <c r="T419" s="3">
        <v>5</v>
      </c>
    </row>
    <row r="420" spans="1:20">
      <c r="A420" s="5" t="s">
        <v>1001</v>
      </c>
      <c r="B420" s="5" t="s">
        <v>1002</v>
      </c>
      <c r="C420" s="6">
        <v>45133</v>
      </c>
      <c r="D420" s="8">
        <v>49</v>
      </c>
      <c r="E420" s="5" t="s">
        <v>20</v>
      </c>
      <c r="F420" s="5" t="s">
        <v>52</v>
      </c>
      <c r="G420" s="5" t="s">
        <v>37</v>
      </c>
      <c r="H420" s="7">
        <v>147.38999999999999</v>
      </c>
      <c r="I420" s="3">
        <v>3</v>
      </c>
      <c r="J420" s="3">
        <f t="shared" si="12"/>
        <v>442.16999999999996</v>
      </c>
      <c r="K420" s="4">
        <v>40.69</v>
      </c>
      <c r="L420" s="23">
        <f t="shared" si="13"/>
        <v>9.2023429902526183E-2</v>
      </c>
      <c r="M420" s="7">
        <v>401.48</v>
      </c>
      <c r="N420" s="5" t="s">
        <v>692</v>
      </c>
      <c r="O420" s="5" t="s">
        <v>24</v>
      </c>
      <c r="P420" s="3">
        <v>21</v>
      </c>
      <c r="Q420" s="3">
        <v>7</v>
      </c>
      <c r="R420" s="5" t="b">
        <v>0</v>
      </c>
      <c r="S420" s="3">
        <v>5</v>
      </c>
      <c r="T420" s="3">
        <v>4</v>
      </c>
    </row>
    <row r="421" spans="1:20">
      <c r="A421" s="5" t="s">
        <v>552</v>
      </c>
      <c r="B421" s="5" t="s">
        <v>553</v>
      </c>
      <c r="C421" s="6">
        <v>44988</v>
      </c>
      <c r="D421" s="8">
        <v>35</v>
      </c>
      <c r="E421" s="5" t="s">
        <v>20</v>
      </c>
      <c r="F421" s="5" t="s">
        <v>21</v>
      </c>
      <c r="G421" s="5" t="s">
        <v>115</v>
      </c>
      <c r="H421" s="7">
        <v>30.6</v>
      </c>
      <c r="I421" s="3">
        <v>1</v>
      </c>
      <c r="J421" s="3">
        <f t="shared" si="12"/>
        <v>30.6</v>
      </c>
      <c r="K421" s="4">
        <v>2.2000000000000002</v>
      </c>
      <c r="L421" s="23">
        <f t="shared" si="13"/>
        <v>7.1895424836601315E-2</v>
      </c>
      <c r="M421" s="7">
        <v>28.4</v>
      </c>
      <c r="N421" s="5" t="s">
        <v>327</v>
      </c>
      <c r="O421" s="5" t="s">
        <v>33</v>
      </c>
      <c r="P421" s="3">
        <v>7</v>
      </c>
      <c r="Q421" s="3">
        <v>6</v>
      </c>
      <c r="R421" s="5" t="b">
        <v>0</v>
      </c>
      <c r="S421" s="3">
        <v>4</v>
      </c>
      <c r="T421" s="3">
        <v>5</v>
      </c>
    </row>
    <row r="422" spans="1:20">
      <c r="A422" s="5" t="s">
        <v>1377</v>
      </c>
      <c r="B422" s="5" t="s">
        <v>1378</v>
      </c>
      <c r="C422" s="6">
        <v>45218</v>
      </c>
      <c r="D422" s="8">
        <v>59</v>
      </c>
      <c r="E422" s="5" t="s">
        <v>36</v>
      </c>
      <c r="F422" s="5" t="s">
        <v>59</v>
      </c>
      <c r="G422" s="5" t="s">
        <v>53</v>
      </c>
      <c r="H422" s="7">
        <v>23.26</v>
      </c>
      <c r="I422" s="3">
        <v>1</v>
      </c>
      <c r="J422" s="3">
        <f t="shared" si="12"/>
        <v>23.26</v>
      </c>
      <c r="K422" s="4">
        <v>0</v>
      </c>
      <c r="L422" s="23">
        <f t="shared" si="13"/>
        <v>0</v>
      </c>
      <c r="M422" s="7">
        <v>23.26</v>
      </c>
      <c r="N422" s="5" t="s">
        <v>1298</v>
      </c>
      <c r="O422" s="5" t="s">
        <v>33</v>
      </c>
      <c r="P422" s="3">
        <v>45</v>
      </c>
      <c r="Q422" s="3">
        <v>8</v>
      </c>
      <c r="R422" s="5" t="b">
        <v>0</v>
      </c>
      <c r="S422" s="3">
        <v>5</v>
      </c>
      <c r="T422" s="3">
        <v>4</v>
      </c>
    </row>
    <row r="423" spans="1:20">
      <c r="A423" s="5" t="s">
        <v>1379</v>
      </c>
      <c r="B423" s="5" t="s">
        <v>1380</v>
      </c>
      <c r="C423" s="6">
        <v>45053</v>
      </c>
      <c r="D423" s="8">
        <v>56</v>
      </c>
      <c r="E423" s="5" t="s">
        <v>36</v>
      </c>
      <c r="F423" s="5" t="s">
        <v>59</v>
      </c>
      <c r="G423" s="5" t="s">
        <v>22</v>
      </c>
      <c r="H423" s="7">
        <v>157.38999999999999</v>
      </c>
      <c r="I423" s="3">
        <v>3</v>
      </c>
      <c r="J423" s="3">
        <f t="shared" si="12"/>
        <v>472.16999999999996</v>
      </c>
      <c r="K423" s="4">
        <v>0</v>
      </c>
      <c r="L423" s="23">
        <f t="shared" si="13"/>
        <v>0</v>
      </c>
      <c r="M423" s="7">
        <v>472.17</v>
      </c>
      <c r="N423" s="5" t="s">
        <v>1298</v>
      </c>
      <c r="O423" s="5" t="s">
        <v>33</v>
      </c>
      <c r="P423" s="3">
        <v>9</v>
      </c>
      <c r="Q423" s="3">
        <v>13</v>
      </c>
      <c r="R423" s="5" t="b">
        <v>1</v>
      </c>
      <c r="S423" s="3">
        <v>11</v>
      </c>
      <c r="T423" s="3">
        <v>5</v>
      </c>
    </row>
    <row r="424" spans="1:20">
      <c r="A424" s="5" t="s">
        <v>1003</v>
      </c>
      <c r="B424" s="5" t="s">
        <v>1004</v>
      </c>
      <c r="C424" s="6">
        <v>45223</v>
      </c>
      <c r="D424" s="8">
        <v>32</v>
      </c>
      <c r="E424" s="5" t="s">
        <v>122</v>
      </c>
      <c r="F424" s="5" t="s">
        <v>88</v>
      </c>
      <c r="G424" s="5" t="s">
        <v>64</v>
      </c>
      <c r="H424" s="7">
        <v>2432.27</v>
      </c>
      <c r="I424" s="3">
        <v>1</v>
      </c>
      <c r="J424" s="3">
        <f t="shared" si="12"/>
        <v>2432.27</v>
      </c>
      <c r="K424" s="4">
        <v>301.61</v>
      </c>
      <c r="L424" s="23">
        <f t="shared" si="13"/>
        <v>0.1240035029005826</v>
      </c>
      <c r="M424" s="7">
        <v>2130.66</v>
      </c>
      <c r="N424" s="5" t="s">
        <v>692</v>
      </c>
      <c r="O424" s="5" t="s">
        <v>29</v>
      </c>
      <c r="P424" s="3">
        <v>24</v>
      </c>
      <c r="Q424" s="3">
        <v>11</v>
      </c>
      <c r="R424" s="5" t="b">
        <v>1</v>
      </c>
      <c r="S424" s="3">
        <v>3</v>
      </c>
      <c r="T424" s="3">
        <v>1</v>
      </c>
    </row>
    <row r="425" spans="1:20">
      <c r="A425" s="5" t="s">
        <v>1005</v>
      </c>
      <c r="B425" s="5" t="s">
        <v>1006</v>
      </c>
      <c r="C425" s="6">
        <v>45231</v>
      </c>
      <c r="D425" s="8">
        <v>46</v>
      </c>
      <c r="E425" s="5" t="s">
        <v>20</v>
      </c>
      <c r="F425" s="5" t="s">
        <v>21</v>
      </c>
      <c r="G425" s="5" t="s">
        <v>28</v>
      </c>
      <c r="H425" s="7">
        <v>71.42</v>
      </c>
      <c r="I425" s="3">
        <v>2</v>
      </c>
      <c r="J425" s="3">
        <f t="shared" si="12"/>
        <v>142.84</v>
      </c>
      <c r="K425" s="4">
        <v>0</v>
      </c>
      <c r="L425" s="23">
        <f t="shared" si="13"/>
        <v>0</v>
      </c>
      <c r="M425" s="7">
        <v>142.84</v>
      </c>
      <c r="N425" s="5" t="s">
        <v>692</v>
      </c>
      <c r="O425" s="5" t="s">
        <v>29</v>
      </c>
      <c r="P425" s="3">
        <v>5</v>
      </c>
      <c r="Q425" s="3">
        <v>4</v>
      </c>
      <c r="R425" s="5" t="b">
        <v>1</v>
      </c>
      <c r="S425" s="3">
        <v>3</v>
      </c>
      <c r="T425" s="3">
        <v>2</v>
      </c>
    </row>
    <row r="426" spans="1:20">
      <c r="A426" s="5" t="s">
        <v>554</v>
      </c>
      <c r="B426" s="5" t="s">
        <v>555</v>
      </c>
      <c r="C426" s="6">
        <v>44947</v>
      </c>
      <c r="D426" s="8">
        <v>42</v>
      </c>
      <c r="E426" s="5" t="s">
        <v>20</v>
      </c>
      <c r="F426" s="5" t="s">
        <v>49</v>
      </c>
      <c r="G426" s="5" t="s">
        <v>53</v>
      </c>
      <c r="H426" s="7">
        <v>36.1</v>
      </c>
      <c r="I426" s="3">
        <v>3</v>
      </c>
      <c r="J426" s="3">
        <f t="shared" si="12"/>
        <v>108.30000000000001</v>
      </c>
      <c r="K426" s="4">
        <v>5.01</v>
      </c>
      <c r="L426" s="23">
        <f t="shared" si="13"/>
        <v>4.6260387811634343E-2</v>
      </c>
      <c r="M426" s="7">
        <v>103.29</v>
      </c>
      <c r="N426" s="5" t="s">
        <v>327</v>
      </c>
      <c r="O426" s="5" t="s">
        <v>29</v>
      </c>
      <c r="P426" s="3">
        <v>52</v>
      </c>
      <c r="Q426" s="3">
        <v>7</v>
      </c>
      <c r="R426" s="5" t="b">
        <v>1</v>
      </c>
      <c r="S426" s="3">
        <v>4</v>
      </c>
      <c r="T426" s="3">
        <v>4</v>
      </c>
    </row>
    <row r="427" spans="1:20">
      <c r="A427" s="5" t="s">
        <v>223</v>
      </c>
      <c r="B427" s="5" t="s">
        <v>224</v>
      </c>
      <c r="C427" s="6">
        <v>45244</v>
      </c>
      <c r="D427" s="8">
        <v>51</v>
      </c>
      <c r="E427" s="5" t="s">
        <v>20</v>
      </c>
      <c r="F427" s="5" t="s">
        <v>32</v>
      </c>
      <c r="G427" s="5" t="s">
        <v>22</v>
      </c>
      <c r="H427" s="7">
        <v>241.12</v>
      </c>
      <c r="I427" s="3">
        <v>1</v>
      </c>
      <c r="J427" s="3">
        <f t="shared" si="12"/>
        <v>241.12</v>
      </c>
      <c r="K427" s="4">
        <v>15.58</v>
      </c>
      <c r="L427" s="23">
        <f t="shared" si="13"/>
        <v>6.46151293961513E-2</v>
      </c>
      <c r="M427" s="7">
        <v>225.54</v>
      </c>
      <c r="N427" s="5" t="s">
        <v>23</v>
      </c>
      <c r="O427" s="5" t="s">
        <v>33</v>
      </c>
      <c r="P427" s="3">
        <v>10</v>
      </c>
      <c r="Q427" s="3">
        <v>15</v>
      </c>
      <c r="R427" s="5" t="b">
        <v>1</v>
      </c>
      <c r="S427" s="3">
        <v>11</v>
      </c>
      <c r="T427" s="3">
        <v>4</v>
      </c>
    </row>
    <row r="428" spans="1:20">
      <c r="A428" s="5" t="s">
        <v>1270</v>
      </c>
      <c r="B428" s="5" t="s">
        <v>1271</v>
      </c>
      <c r="C428" s="6">
        <v>44968</v>
      </c>
      <c r="D428" s="8">
        <v>23</v>
      </c>
      <c r="E428" s="5" t="s">
        <v>20</v>
      </c>
      <c r="F428" s="5" t="s">
        <v>73</v>
      </c>
      <c r="G428" s="5" t="s">
        <v>64</v>
      </c>
      <c r="H428" s="7">
        <v>1635.67</v>
      </c>
      <c r="I428" s="3">
        <v>4</v>
      </c>
      <c r="J428" s="3">
        <f t="shared" si="12"/>
        <v>6542.68</v>
      </c>
      <c r="K428" s="4">
        <v>178.7</v>
      </c>
      <c r="L428" s="23">
        <f t="shared" si="13"/>
        <v>2.7312966551932844E-2</v>
      </c>
      <c r="M428" s="7">
        <v>6363.98</v>
      </c>
      <c r="N428" s="5" t="s">
        <v>1231</v>
      </c>
      <c r="O428" s="5" t="s">
        <v>24</v>
      </c>
      <c r="P428" s="3">
        <v>7</v>
      </c>
      <c r="Q428" s="3">
        <v>9</v>
      </c>
      <c r="R428" s="5" t="b">
        <v>0</v>
      </c>
      <c r="S428" s="3">
        <v>11</v>
      </c>
      <c r="T428" s="3">
        <v>1</v>
      </c>
    </row>
    <row r="429" spans="1:20">
      <c r="A429" s="5" t="s">
        <v>1381</v>
      </c>
      <c r="B429" s="5" t="s">
        <v>1382</v>
      </c>
      <c r="C429" s="6">
        <v>45141</v>
      </c>
      <c r="D429" s="8">
        <v>43</v>
      </c>
      <c r="E429" s="5" t="s">
        <v>20</v>
      </c>
      <c r="F429" s="5" t="s">
        <v>32</v>
      </c>
      <c r="G429" s="5" t="s">
        <v>37</v>
      </c>
      <c r="H429" s="7">
        <v>87.59</v>
      </c>
      <c r="I429" s="3">
        <v>1</v>
      </c>
      <c r="J429" s="3">
        <f t="shared" si="12"/>
        <v>87.59</v>
      </c>
      <c r="K429" s="4">
        <v>5.76</v>
      </c>
      <c r="L429" s="23">
        <f t="shared" si="13"/>
        <v>6.5760931613197848E-2</v>
      </c>
      <c r="M429" s="7">
        <v>81.83</v>
      </c>
      <c r="N429" s="5" t="s">
        <v>1298</v>
      </c>
      <c r="O429" s="5" t="s">
        <v>29</v>
      </c>
      <c r="P429" s="3">
        <v>16</v>
      </c>
      <c r="Q429" s="3">
        <v>4</v>
      </c>
      <c r="R429" s="5" t="b">
        <v>0</v>
      </c>
      <c r="S429" s="3">
        <v>8</v>
      </c>
      <c r="T429" s="3">
        <v>4</v>
      </c>
    </row>
    <row r="430" spans="1:20">
      <c r="A430" s="5" t="s">
        <v>225</v>
      </c>
      <c r="B430" s="5" t="s">
        <v>226</v>
      </c>
      <c r="C430" s="6">
        <v>45263</v>
      </c>
      <c r="D430" s="8">
        <v>47</v>
      </c>
      <c r="E430" s="5" t="s">
        <v>36</v>
      </c>
      <c r="F430" s="5" t="s">
        <v>21</v>
      </c>
      <c r="G430" s="5" t="s">
        <v>115</v>
      </c>
      <c r="H430" s="7">
        <v>61.23</v>
      </c>
      <c r="I430" s="3">
        <v>1</v>
      </c>
      <c r="J430" s="3">
        <f t="shared" si="12"/>
        <v>61.23</v>
      </c>
      <c r="K430" s="4">
        <v>7.57</v>
      </c>
      <c r="L430" s="23">
        <f t="shared" si="13"/>
        <v>0.12363220643475421</v>
      </c>
      <c r="M430" s="7">
        <v>53.66</v>
      </c>
      <c r="N430" s="5" t="s">
        <v>23</v>
      </c>
      <c r="O430" s="5" t="s">
        <v>24</v>
      </c>
      <c r="P430" s="3">
        <v>17</v>
      </c>
      <c r="Q430" s="3">
        <v>11</v>
      </c>
      <c r="R430" s="5" t="b">
        <v>0</v>
      </c>
      <c r="S430" s="3">
        <v>10</v>
      </c>
      <c r="T430" s="3">
        <v>4</v>
      </c>
    </row>
    <row r="431" spans="1:20">
      <c r="A431" s="5" t="s">
        <v>1007</v>
      </c>
      <c r="B431" s="5" t="s">
        <v>1008</v>
      </c>
      <c r="C431" s="6">
        <v>45225</v>
      </c>
      <c r="D431" s="8">
        <v>18</v>
      </c>
      <c r="E431" s="5" t="s">
        <v>36</v>
      </c>
      <c r="F431" s="5" t="s">
        <v>49</v>
      </c>
      <c r="G431" s="5" t="s">
        <v>28</v>
      </c>
      <c r="H431" s="7">
        <v>45.25</v>
      </c>
      <c r="I431" s="3">
        <v>1</v>
      </c>
      <c r="J431" s="3">
        <f t="shared" si="12"/>
        <v>45.25</v>
      </c>
      <c r="K431" s="4">
        <v>0</v>
      </c>
      <c r="L431" s="23">
        <f t="shared" si="13"/>
        <v>0</v>
      </c>
      <c r="M431" s="7">
        <v>45.25</v>
      </c>
      <c r="N431" s="5" t="s">
        <v>692</v>
      </c>
      <c r="O431" s="5" t="s">
        <v>33</v>
      </c>
      <c r="P431" s="3">
        <v>14</v>
      </c>
      <c r="Q431" s="3">
        <v>11</v>
      </c>
      <c r="R431" s="5" t="b">
        <v>1</v>
      </c>
      <c r="S431" s="3">
        <v>4</v>
      </c>
      <c r="T431" s="3">
        <v>5</v>
      </c>
    </row>
    <row r="432" spans="1:20">
      <c r="A432" s="5" t="s">
        <v>1009</v>
      </c>
      <c r="B432" s="5" t="s">
        <v>1010</v>
      </c>
      <c r="C432" s="6">
        <v>45216</v>
      </c>
      <c r="D432" s="8">
        <v>20</v>
      </c>
      <c r="E432" s="5" t="s">
        <v>36</v>
      </c>
      <c r="F432" s="5" t="s">
        <v>52</v>
      </c>
      <c r="G432" s="5" t="s">
        <v>64</v>
      </c>
      <c r="H432" s="7">
        <v>892.29</v>
      </c>
      <c r="I432" s="3">
        <v>4</v>
      </c>
      <c r="J432" s="3">
        <f t="shared" si="12"/>
        <v>3569.16</v>
      </c>
      <c r="K432" s="4">
        <v>0</v>
      </c>
      <c r="L432" s="23">
        <f t="shared" si="13"/>
        <v>0</v>
      </c>
      <c r="M432" s="7">
        <v>3569.16</v>
      </c>
      <c r="N432" s="5" t="s">
        <v>692</v>
      </c>
      <c r="O432" s="5" t="s">
        <v>33</v>
      </c>
      <c r="P432" s="3">
        <v>9</v>
      </c>
      <c r="Q432" s="3">
        <v>5</v>
      </c>
      <c r="R432" s="5" t="b">
        <v>1</v>
      </c>
      <c r="S432" s="3">
        <v>3</v>
      </c>
      <c r="T432" s="3">
        <v>4</v>
      </c>
    </row>
    <row r="433" spans="1:20">
      <c r="A433" s="5" t="s">
        <v>1011</v>
      </c>
      <c r="B433" s="5" t="s">
        <v>1012</v>
      </c>
      <c r="C433" s="6">
        <v>45194</v>
      </c>
      <c r="D433" s="8">
        <v>18</v>
      </c>
      <c r="E433" s="5" t="s">
        <v>20</v>
      </c>
      <c r="F433" s="5" t="s">
        <v>32</v>
      </c>
      <c r="G433" s="5" t="s">
        <v>56</v>
      </c>
      <c r="H433" s="7">
        <v>1028.79</v>
      </c>
      <c r="I433" s="3">
        <v>1</v>
      </c>
      <c r="J433" s="3">
        <f t="shared" si="12"/>
        <v>1028.79</v>
      </c>
      <c r="K433" s="4">
        <v>0</v>
      </c>
      <c r="L433" s="23">
        <f t="shared" si="13"/>
        <v>0</v>
      </c>
      <c r="M433" s="7">
        <v>1028.79</v>
      </c>
      <c r="N433" s="5" t="s">
        <v>692</v>
      </c>
      <c r="O433" s="5" t="s">
        <v>29</v>
      </c>
      <c r="P433" s="3">
        <v>10</v>
      </c>
      <c r="Q433" s="3">
        <v>6</v>
      </c>
      <c r="R433" s="5" t="b">
        <v>1</v>
      </c>
      <c r="S433" s="3">
        <v>6</v>
      </c>
      <c r="T433" s="3">
        <v>4</v>
      </c>
    </row>
    <row r="434" spans="1:20">
      <c r="A434" s="5" t="s">
        <v>556</v>
      </c>
      <c r="B434" s="5" t="s">
        <v>557</v>
      </c>
      <c r="C434" s="6">
        <v>45088</v>
      </c>
      <c r="D434" s="8">
        <v>31</v>
      </c>
      <c r="E434" s="5" t="s">
        <v>36</v>
      </c>
      <c r="F434" s="5" t="s">
        <v>32</v>
      </c>
      <c r="G434" s="5" t="s">
        <v>64</v>
      </c>
      <c r="H434" s="7">
        <v>836.04</v>
      </c>
      <c r="I434" s="3">
        <v>5</v>
      </c>
      <c r="J434" s="3">
        <f t="shared" si="12"/>
        <v>4180.2</v>
      </c>
      <c r="K434" s="4">
        <v>0</v>
      </c>
      <c r="L434" s="23">
        <f t="shared" si="13"/>
        <v>0</v>
      </c>
      <c r="M434" s="7">
        <v>4180.2</v>
      </c>
      <c r="N434" s="5" t="s">
        <v>327</v>
      </c>
      <c r="O434" s="5" t="s">
        <v>24</v>
      </c>
      <c r="P434" s="3">
        <v>8</v>
      </c>
      <c r="Q434" s="3">
        <v>10</v>
      </c>
      <c r="R434" s="5" t="b">
        <v>0</v>
      </c>
      <c r="S434" s="3">
        <v>8</v>
      </c>
      <c r="T434" s="3">
        <v>5</v>
      </c>
    </row>
    <row r="435" spans="1:20">
      <c r="A435" s="5" t="s">
        <v>1013</v>
      </c>
      <c r="B435" s="5" t="s">
        <v>1014</v>
      </c>
      <c r="C435" s="6">
        <v>45060</v>
      </c>
      <c r="D435" s="8">
        <v>43</v>
      </c>
      <c r="E435" s="5" t="s">
        <v>20</v>
      </c>
      <c r="F435" s="5" t="s">
        <v>32</v>
      </c>
      <c r="G435" s="5" t="s">
        <v>22</v>
      </c>
      <c r="H435" s="7">
        <v>275.02999999999997</v>
      </c>
      <c r="I435" s="3">
        <v>2</v>
      </c>
      <c r="J435" s="3">
        <f t="shared" si="12"/>
        <v>550.05999999999995</v>
      </c>
      <c r="K435" s="4">
        <v>0</v>
      </c>
      <c r="L435" s="23">
        <f t="shared" si="13"/>
        <v>0</v>
      </c>
      <c r="M435" s="7">
        <v>550.05999999999995</v>
      </c>
      <c r="N435" s="5" t="s">
        <v>692</v>
      </c>
      <c r="O435" s="5" t="s">
        <v>33</v>
      </c>
      <c r="P435" s="3">
        <v>16</v>
      </c>
      <c r="Q435" s="3">
        <v>12</v>
      </c>
      <c r="R435" s="5" t="b">
        <v>1</v>
      </c>
      <c r="S435" s="3">
        <v>12</v>
      </c>
      <c r="T435" s="3">
        <v>5</v>
      </c>
    </row>
    <row r="436" spans="1:20">
      <c r="A436" s="5" t="s">
        <v>227</v>
      </c>
      <c r="B436" s="5" t="s">
        <v>228</v>
      </c>
      <c r="C436" s="6">
        <v>45031</v>
      </c>
      <c r="D436" s="8">
        <v>53</v>
      </c>
      <c r="E436" s="5" t="s">
        <v>20</v>
      </c>
      <c r="F436" s="5" t="s">
        <v>32</v>
      </c>
      <c r="G436" s="5" t="s">
        <v>53</v>
      </c>
      <c r="H436" s="7">
        <v>52.51</v>
      </c>
      <c r="I436" s="3">
        <v>1</v>
      </c>
      <c r="J436" s="3">
        <f t="shared" si="12"/>
        <v>52.51</v>
      </c>
      <c r="K436" s="4">
        <v>2.99</v>
      </c>
      <c r="L436" s="23">
        <f t="shared" si="13"/>
        <v>5.6941534945724633E-2</v>
      </c>
      <c r="M436" s="7">
        <v>49.52</v>
      </c>
      <c r="N436" s="5" t="s">
        <v>23</v>
      </c>
      <c r="O436" s="5" t="s">
        <v>33</v>
      </c>
      <c r="P436" s="3">
        <v>9</v>
      </c>
      <c r="Q436" s="3">
        <v>10</v>
      </c>
      <c r="R436" s="5" t="b">
        <v>1</v>
      </c>
      <c r="S436" s="3">
        <v>2</v>
      </c>
      <c r="T436" s="3">
        <v>4</v>
      </c>
    </row>
    <row r="437" spans="1:20">
      <c r="A437" s="5" t="s">
        <v>229</v>
      </c>
      <c r="B437" s="5" t="s">
        <v>230</v>
      </c>
      <c r="C437" s="6">
        <v>45269</v>
      </c>
      <c r="D437" s="8">
        <v>35</v>
      </c>
      <c r="E437" s="5" t="s">
        <v>36</v>
      </c>
      <c r="F437" s="5" t="s">
        <v>32</v>
      </c>
      <c r="G437" s="5" t="s">
        <v>28</v>
      </c>
      <c r="H437" s="7">
        <v>240.93</v>
      </c>
      <c r="I437" s="3">
        <v>2</v>
      </c>
      <c r="J437" s="3">
        <f t="shared" si="12"/>
        <v>481.86</v>
      </c>
      <c r="K437" s="4">
        <v>14.37</v>
      </c>
      <c r="L437" s="23">
        <f t="shared" si="13"/>
        <v>2.9821939982567547E-2</v>
      </c>
      <c r="M437" s="7">
        <v>467.49</v>
      </c>
      <c r="N437" s="5" t="s">
        <v>23</v>
      </c>
      <c r="O437" s="5" t="s">
        <v>29</v>
      </c>
      <c r="P437" s="3">
        <v>23</v>
      </c>
      <c r="Q437" s="3">
        <v>9</v>
      </c>
      <c r="R437" s="5" t="b">
        <v>0</v>
      </c>
      <c r="S437" s="3">
        <v>6</v>
      </c>
      <c r="T437" s="3">
        <v>4</v>
      </c>
    </row>
    <row r="438" spans="1:20">
      <c r="A438" s="5" t="s">
        <v>1015</v>
      </c>
      <c r="B438" s="5" t="s">
        <v>1016</v>
      </c>
      <c r="C438" s="6">
        <v>45293</v>
      </c>
      <c r="D438" s="8">
        <v>54</v>
      </c>
      <c r="E438" s="5" t="s">
        <v>36</v>
      </c>
      <c r="F438" s="5" t="s">
        <v>32</v>
      </c>
      <c r="G438" s="5" t="s">
        <v>53</v>
      </c>
      <c r="H438" s="7">
        <v>82.82</v>
      </c>
      <c r="I438" s="3">
        <v>2</v>
      </c>
      <c r="J438" s="3">
        <f t="shared" si="12"/>
        <v>165.64</v>
      </c>
      <c r="K438" s="4">
        <v>0</v>
      </c>
      <c r="L438" s="23">
        <f t="shared" si="13"/>
        <v>0</v>
      </c>
      <c r="M438" s="7">
        <v>165.64</v>
      </c>
      <c r="N438" s="5" t="s">
        <v>692</v>
      </c>
      <c r="O438" s="5" t="s">
        <v>24</v>
      </c>
      <c r="P438" s="3">
        <v>19</v>
      </c>
      <c r="Q438" s="3">
        <v>10</v>
      </c>
      <c r="R438" s="5" t="b">
        <v>1</v>
      </c>
      <c r="S438" s="3">
        <v>4</v>
      </c>
      <c r="T438" s="3">
        <v>5</v>
      </c>
    </row>
    <row r="439" spans="1:20">
      <c r="A439" s="5" t="s">
        <v>1383</v>
      </c>
      <c r="B439" s="5" t="s">
        <v>1384</v>
      </c>
      <c r="C439" s="6">
        <v>45087</v>
      </c>
      <c r="D439" s="8">
        <v>18</v>
      </c>
      <c r="E439" s="5" t="s">
        <v>20</v>
      </c>
      <c r="F439" s="5" t="s">
        <v>32</v>
      </c>
      <c r="G439" s="5" t="s">
        <v>28</v>
      </c>
      <c r="H439" s="7">
        <v>314.82</v>
      </c>
      <c r="I439" s="3">
        <v>5</v>
      </c>
      <c r="J439" s="3">
        <f t="shared" si="12"/>
        <v>1574.1</v>
      </c>
      <c r="K439" s="4">
        <v>34.229999999999997</v>
      </c>
      <c r="L439" s="23">
        <f t="shared" si="13"/>
        <v>2.1745759481608538E-2</v>
      </c>
      <c r="M439" s="7">
        <v>1539.87</v>
      </c>
      <c r="N439" s="5" t="s">
        <v>1298</v>
      </c>
      <c r="O439" s="5" t="s">
        <v>33</v>
      </c>
      <c r="P439" s="3">
        <v>18</v>
      </c>
      <c r="Q439" s="3">
        <v>12</v>
      </c>
      <c r="R439" s="5" t="b">
        <v>1</v>
      </c>
      <c r="S439" s="3">
        <v>1</v>
      </c>
      <c r="T439" s="3">
        <v>3</v>
      </c>
    </row>
    <row r="440" spans="1:20">
      <c r="A440" s="5" t="s">
        <v>558</v>
      </c>
      <c r="B440" s="5" t="s">
        <v>559</v>
      </c>
      <c r="C440" s="6">
        <v>45049</v>
      </c>
      <c r="D440" s="8">
        <v>18</v>
      </c>
      <c r="E440" s="5" t="s">
        <v>20</v>
      </c>
      <c r="F440" s="5" t="s">
        <v>83</v>
      </c>
      <c r="G440" s="5" t="s">
        <v>56</v>
      </c>
      <c r="H440" s="7">
        <v>1513.47</v>
      </c>
      <c r="I440" s="3">
        <v>1</v>
      </c>
      <c r="J440" s="3">
        <f t="shared" si="12"/>
        <v>1513.47</v>
      </c>
      <c r="K440" s="4">
        <v>0</v>
      </c>
      <c r="L440" s="23">
        <f t="shared" si="13"/>
        <v>0</v>
      </c>
      <c r="M440" s="7">
        <v>1513.47</v>
      </c>
      <c r="N440" s="5" t="s">
        <v>327</v>
      </c>
      <c r="O440" s="5" t="s">
        <v>33</v>
      </c>
      <c r="P440" s="3">
        <v>8</v>
      </c>
      <c r="Q440" s="3">
        <v>9</v>
      </c>
      <c r="R440" s="5" t="b">
        <v>1</v>
      </c>
      <c r="S440" s="3">
        <v>6</v>
      </c>
      <c r="T440" s="3">
        <v>2</v>
      </c>
    </row>
    <row r="441" spans="1:20">
      <c r="A441" s="5" t="s">
        <v>1385</v>
      </c>
      <c r="B441" s="5" t="s">
        <v>1386</v>
      </c>
      <c r="C441" s="6">
        <v>45062</v>
      </c>
      <c r="D441" s="8">
        <v>34</v>
      </c>
      <c r="E441" s="5" t="s">
        <v>20</v>
      </c>
      <c r="F441" s="5" t="s">
        <v>52</v>
      </c>
      <c r="G441" s="5" t="s">
        <v>22</v>
      </c>
      <c r="H441" s="7">
        <v>118.91</v>
      </c>
      <c r="I441" s="3">
        <v>4</v>
      </c>
      <c r="J441" s="3">
        <f t="shared" si="12"/>
        <v>475.64</v>
      </c>
      <c r="K441" s="4">
        <v>0</v>
      </c>
      <c r="L441" s="23">
        <f t="shared" si="13"/>
        <v>0</v>
      </c>
      <c r="M441" s="7">
        <v>475.64</v>
      </c>
      <c r="N441" s="5" t="s">
        <v>1298</v>
      </c>
      <c r="O441" s="5" t="s">
        <v>33</v>
      </c>
      <c r="P441" s="3">
        <v>6</v>
      </c>
      <c r="Q441" s="3">
        <v>12</v>
      </c>
      <c r="R441" s="5" t="b">
        <v>1</v>
      </c>
      <c r="S441" s="3">
        <v>8</v>
      </c>
      <c r="T441" s="3">
        <v>4</v>
      </c>
    </row>
    <row r="442" spans="1:20">
      <c r="A442" s="5" t="s">
        <v>1387</v>
      </c>
      <c r="B442" s="5" t="s">
        <v>1388</v>
      </c>
      <c r="C442" s="6">
        <v>45129</v>
      </c>
      <c r="D442" s="8">
        <v>39</v>
      </c>
      <c r="E442" s="5" t="s">
        <v>36</v>
      </c>
      <c r="F442" s="5" t="s">
        <v>32</v>
      </c>
      <c r="G442" s="5" t="s">
        <v>115</v>
      </c>
      <c r="H442" s="7">
        <v>11.65</v>
      </c>
      <c r="I442" s="3">
        <v>1</v>
      </c>
      <c r="J442" s="3">
        <f t="shared" si="12"/>
        <v>11.65</v>
      </c>
      <c r="K442" s="4">
        <v>0</v>
      </c>
      <c r="L442" s="23">
        <f t="shared" si="13"/>
        <v>0</v>
      </c>
      <c r="M442" s="7">
        <v>11.65</v>
      </c>
      <c r="N442" s="5" t="s">
        <v>1298</v>
      </c>
      <c r="O442" s="5" t="s">
        <v>24</v>
      </c>
      <c r="P442" s="3">
        <v>18</v>
      </c>
      <c r="Q442" s="3">
        <v>10</v>
      </c>
      <c r="R442" s="5" t="b">
        <v>1</v>
      </c>
      <c r="S442" s="3">
        <v>5</v>
      </c>
      <c r="T442" s="3">
        <v>5</v>
      </c>
    </row>
    <row r="443" spans="1:20">
      <c r="A443" s="5" t="s">
        <v>1017</v>
      </c>
      <c r="B443" s="5" t="s">
        <v>1018</v>
      </c>
      <c r="C443" s="6">
        <v>44994</v>
      </c>
      <c r="D443" s="8">
        <v>34</v>
      </c>
      <c r="E443" s="5" t="s">
        <v>20</v>
      </c>
      <c r="F443" s="5" t="s">
        <v>73</v>
      </c>
      <c r="G443" s="5" t="s">
        <v>115</v>
      </c>
      <c r="H443" s="7">
        <v>45.6</v>
      </c>
      <c r="I443" s="3">
        <v>2</v>
      </c>
      <c r="J443" s="3">
        <f t="shared" si="12"/>
        <v>91.2</v>
      </c>
      <c r="K443" s="4">
        <v>6.6</v>
      </c>
      <c r="L443" s="23">
        <f t="shared" si="13"/>
        <v>7.2368421052631568E-2</v>
      </c>
      <c r="M443" s="7">
        <v>84.6</v>
      </c>
      <c r="N443" s="5" t="s">
        <v>692</v>
      </c>
      <c r="O443" s="5" t="s">
        <v>33</v>
      </c>
      <c r="P443" s="3">
        <v>15</v>
      </c>
      <c r="Q443" s="3">
        <v>5</v>
      </c>
      <c r="R443" s="5" t="b">
        <v>0</v>
      </c>
      <c r="S443" s="3">
        <v>5</v>
      </c>
      <c r="T443" s="3">
        <v>3</v>
      </c>
    </row>
    <row r="444" spans="1:20">
      <c r="A444" s="5" t="s">
        <v>1019</v>
      </c>
      <c r="B444" s="5" t="s">
        <v>1020</v>
      </c>
      <c r="C444" s="6">
        <v>45270</v>
      </c>
      <c r="D444" s="8">
        <v>18</v>
      </c>
      <c r="E444" s="5" t="s">
        <v>122</v>
      </c>
      <c r="F444" s="5" t="s">
        <v>88</v>
      </c>
      <c r="G444" s="5" t="s">
        <v>64</v>
      </c>
      <c r="H444" s="7">
        <v>635.69000000000005</v>
      </c>
      <c r="I444" s="3">
        <v>2</v>
      </c>
      <c r="J444" s="3">
        <f t="shared" si="12"/>
        <v>1271.3800000000001</v>
      </c>
      <c r="K444" s="4">
        <v>0</v>
      </c>
      <c r="L444" s="23">
        <f t="shared" si="13"/>
        <v>0</v>
      </c>
      <c r="M444" s="7">
        <v>1271.3800000000001</v>
      </c>
      <c r="N444" s="5" t="s">
        <v>692</v>
      </c>
      <c r="O444" s="5" t="s">
        <v>24</v>
      </c>
      <c r="P444" s="3">
        <v>17</v>
      </c>
      <c r="Q444" s="3">
        <v>6</v>
      </c>
      <c r="R444" s="5" t="b">
        <v>1</v>
      </c>
      <c r="S444" s="3">
        <v>5</v>
      </c>
      <c r="T444" s="3">
        <v>3</v>
      </c>
    </row>
    <row r="445" spans="1:20">
      <c r="A445" s="5" t="s">
        <v>1021</v>
      </c>
      <c r="B445" s="5" t="s">
        <v>1022</v>
      </c>
      <c r="C445" s="6">
        <v>45257</v>
      </c>
      <c r="D445" s="8">
        <v>33</v>
      </c>
      <c r="E445" s="5" t="s">
        <v>20</v>
      </c>
      <c r="F445" s="5" t="s">
        <v>49</v>
      </c>
      <c r="G445" s="5" t="s">
        <v>56</v>
      </c>
      <c r="H445" s="7">
        <v>311.36</v>
      </c>
      <c r="I445" s="3">
        <v>1</v>
      </c>
      <c r="J445" s="3">
        <f t="shared" si="12"/>
        <v>311.36</v>
      </c>
      <c r="K445" s="4">
        <v>46.57</v>
      </c>
      <c r="L445" s="23">
        <f t="shared" si="13"/>
        <v>0.14956963001027748</v>
      </c>
      <c r="M445" s="7">
        <v>264.79000000000002</v>
      </c>
      <c r="N445" s="5" t="s">
        <v>692</v>
      </c>
      <c r="O445" s="5" t="s">
        <v>33</v>
      </c>
      <c r="P445" s="3">
        <v>10</v>
      </c>
      <c r="Q445" s="3">
        <v>11</v>
      </c>
      <c r="R445" s="5" t="b">
        <v>1</v>
      </c>
      <c r="S445" s="3">
        <v>2</v>
      </c>
      <c r="T445" s="3">
        <v>3</v>
      </c>
    </row>
    <row r="446" spans="1:20">
      <c r="A446" s="5" t="s">
        <v>231</v>
      </c>
      <c r="B446" s="5" t="s">
        <v>232</v>
      </c>
      <c r="C446" s="6">
        <v>45080</v>
      </c>
      <c r="D446" s="8">
        <v>19</v>
      </c>
      <c r="E446" s="5" t="s">
        <v>20</v>
      </c>
      <c r="F446" s="5" t="s">
        <v>52</v>
      </c>
      <c r="G446" s="5" t="s">
        <v>37</v>
      </c>
      <c r="H446" s="7">
        <v>132.38999999999999</v>
      </c>
      <c r="I446" s="3">
        <v>1</v>
      </c>
      <c r="J446" s="3">
        <f t="shared" si="12"/>
        <v>132.38999999999999</v>
      </c>
      <c r="K446" s="4">
        <v>0</v>
      </c>
      <c r="L446" s="23">
        <f t="shared" si="13"/>
        <v>0</v>
      </c>
      <c r="M446" s="7">
        <v>132.38999999999999</v>
      </c>
      <c r="N446" s="5" t="s">
        <v>23</v>
      </c>
      <c r="O446" s="5" t="s">
        <v>33</v>
      </c>
      <c r="P446" s="3">
        <v>9</v>
      </c>
      <c r="Q446" s="3">
        <v>11</v>
      </c>
      <c r="R446" s="5" t="b">
        <v>0</v>
      </c>
      <c r="S446" s="3">
        <v>5</v>
      </c>
      <c r="T446" s="3">
        <v>5</v>
      </c>
    </row>
    <row r="447" spans="1:20">
      <c r="A447" s="5" t="s">
        <v>560</v>
      </c>
      <c r="B447" s="5" t="s">
        <v>561</v>
      </c>
      <c r="C447" s="6">
        <v>45161</v>
      </c>
      <c r="D447" s="8">
        <v>43</v>
      </c>
      <c r="E447" s="5" t="s">
        <v>36</v>
      </c>
      <c r="F447" s="5" t="s">
        <v>73</v>
      </c>
      <c r="G447" s="5" t="s">
        <v>46</v>
      </c>
      <c r="H447" s="7">
        <v>905.87</v>
      </c>
      <c r="I447" s="3">
        <v>4</v>
      </c>
      <c r="J447" s="3">
        <f t="shared" si="12"/>
        <v>3623.48</v>
      </c>
      <c r="K447" s="4">
        <v>0</v>
      </c>
      <c r="L447" s="23">
        <f t="shared" si="13"/>
        <v>0</v>
      </c>
      <c r="M447" s="7">
        <v>3623.48</v>
      </c>
      <c r="N447" s="5" t="s">
        <v>327</v>
      </c>
      <c r="O447" s="5" t="s">
        <v>24</v>
      </c>
      <c r="P447" s="3">
        <v>19</v>
      </c>
      <c r="Q447" s="3">
        <v>10</v>
      </c>
      <c r="R447" s="5" t="b">
        <v>1</v>
      </c>
      <c r="S447" s="3">
        <v>2</v>
      </c>
      <c r="T447" s="3">
        <v>4</v>
      </c>
    </row>
    <row r="448" spans="1:20">
      <c r="A448" s="5" t="s">
        <v>1389</v>
      </c>
      <c r="B448" s="5" t="s">
        <v>1390</v>
      </c>
      <c r="C448" s="6">
        <v>45088</v>
      </c>
      <c r="D448" s="8">
        <v>39</v>
      </c>
      <c r="E448" s="5" t="s">
        <v>36</v>
      </c>
      <c r="F448" s="5" t="s">
        <v>27</v>
      </c>
      <c r="G448" s="5" t="s">
        <v>37</v>
      </c>
      <c r="H448" s="7">
        <v>110.03</v>
      </c>
      <c r="I448" s="3">
        <v>1</v>
      </c>
      <c r="J448" s="3">
        <f t="shared" si="12"/>
        <v>110.03</v>
      </c>
      <c r="K448" s="4">
        <v>0</v>
      </c>
      <c r="L448" s="23">
        <f t="shared" si="13"/>
        <v>0</v>
      </c>
      <c r="M448" s="7">
        <v>110.03</v>
      </c>
      <c r="N448" s="5" t="s">
        <v>1298</v>
      </c>
      <c r="O448" s="5" t="s">
        <v>33</v>
      </c>
      <c r="P448" s="3">
        <v>8</v>
      </c>
      <c r="Q448" s="3">
        <v>13</v>
      </c>
      <c r="R448" s="5" t="b">
        <v>1</v>
      </c>
      <c r="S448" s="3">
        <v>8</v>
      </c>
      <c r="T448" s="3">
        <v>5</v>
      </c>
    </row>
    <row r="449" spans="1:20">
      <c r="A449" s="5" t="s">
        <v>1023</v>
      </c>
      <c r="B449" s="5" t="s">
        <v>1024</v>
      </c>
      <c r="C449" s="6">
        <v>45311</v>
      </c>
      <c r="D449" s="8">
        <v>23</v>
      </c>
      <c r="E449" s="5" t="s">
        <v>20</v>
      </c>
      <c r="F449" s="5" t="s">
        <v>27</v>
      </c>
      <c r="G449" s="5" t="s">
        <v>22</v>
      </c>
      <c r="H449" s="7">
        <v>148.35</v>
      </c>
      <c r="I449" s="3">
        <v>4</v>
      </c>
      <c r="J449" s="3">
        <f t="shared" si="12"/>
        <v>593.4</v>
      </c>
      <c r="K449" s="4">
        <v>0</v>
      </c>
      <c r="L449" s="23">
        <f t="shared" si="13"/>
        <v>0</v>
      </c>
      <c r="M449" s="7">
        <v>593.4</v>
      </c>
      <c r="N449" s="5" t="s">
        <v>692</v>
      </c>
      <c r="O449" s="5" t="s">
        <v>33</v>
      </c>
      <c r="P449" s="3">
        <v>21</v>
      </c>
      <c r="Q449" s="3">
        <v>10</v>
      </c>
      <c r="R449" s="5" t="b">
        <v>0</v>
      </c>
      <c r="S449" s="3">
        <v>4</v>
      </c>
      <c r="T449" s="3">
        <v>4</v>
      </c>
    </row>
    <row r="450" spans="1:20">
      <c r="A450" s="5" t="s">
        <v>233</v>
      </c>
      <c r="B450" s="5" t="s">
        <v>234</v>
      </c>
      <c r="C450" s="6">
        <v>44964</v>
      </c>
      <c r="D450" s="8">
        <v>28</v>
      </c>
      <c r="E450" s="5" t="s">
        <v>36</v>
      </c>
      <c r="F450" s="5" t="s">
        <v>49</v>
      </c>
      <c r="G450" s="5" t="s">
        <v>56</v>
      </c>
      <c r="H450" s="7">
        <v>711.42</v>
      </c>
      <c r="I450" s="3">
        <v>3</v>
      </c>
      <c r="J450" s="3">
        <f t="shared" si="12"/>
        <v>2134.2599999999998</v>
      </c>
      <c r="K450" s="4">
        <v>0</v>
      </c>
      <c r="L450" s="23">
        <f t="shared" si="13"/>
        <v>0</v>
      </c>
      <c r="M450" s="7">
        <v>2134.2600000000002</v>
      </c>
      <c r="N450" s="5" t="s">
        <v>23</v>
      </c>
      <c r="O450" s="5" t="s">
        <v>33</v>
      </c>
      <c r="P450" s="3">
        <v>16</v>
      </c>
      <c r="Q450" s="3">
        <v>9</v>
      </c>
      <c r="R450" s="5" t="b">
        <v>0</v>
      </c>
      <c r="S450" s="3">
        <v>11</v>
      </c>
      <c r="T450" s="3">
        <v>5</v>
      </c>
    </row>
    <row r="451" spans="1:20">
      <c r="A451" s="5" t="s">
        <v>1272</v>
      </c>
      <c r="B451" s="5" t="s">
        <v>1273</v>
      </c>
      <c r="C451" s="6">
        <v>44931</v>
      </c>
      <c r="D451" s="8">
        <v>22</v>
      </c>
      <c r="E451" s="5" t="s">
        <v>36</v>
      </c>
      <c r="F451" s="5" t="s">
        <v>88</v>
      </c>
      <c r="G451" s="5" t="s">
        <v>53</v>
      </c>
      <c r="H451" s="7">
        <v>77.599999999999994</v>
      </c>
      <c r="I451" s="3">
        <v>1</v>
      </c>
      <c r="J451" s="3">
        <f t="shared" ref="J451:J514" si="14">H451*I451</f>
        <v>77.599999999999994</v>
      </c>
      <c r="K451" s="4">
        <v>10.69</v>
      </c>
      <c r="L451" s="23">
        <f t="shared" ref="L451:L514" si="15">IF(J451=0,0,K451/J451)</f>
        <v>0.1377577319587629</v>
      </c>
      <c r="M451" s="7">
        <v>66.91</v>
      </c>
      <c r="N451" s="5" t="s">
        <v>1231</v>
      </c>
      <c r="O451" s="5" t="s">
        <v>33</v>
      </c>
      <c r="P451" s="3">
        <v>9</v>
      </c>
      <c r="Q451" s="3">
        <v>10</v>
      </c>
      <c r="R451" s="5" t="b">
        <v>1</v>
      </c>
      <c r="S451" s="3">
        <v>1</v>
      </c>
      <c r="T451" s="3">
        <v>4</v>
      </c>
    </row>
    <row r="452" spans="1:20">
      <c r="A452" s="5" t="s">
        <v>235</v>
      </c>
      <c r="B452" s="5" t="s">
        <v>236</v>
      </c>
      <c r="C452" s="6">
        <v>45161</v>
      </c>
      <c r="D452" s="8">
        <v>34</v>
      </c>
      <c r="E452" s="5" t="s">
        <v>36</v>
      </c>
      <c r="F452" s="5" t="s">
        <v>88</v>
      </c>
      <c r="G452" s="5" t="s">
        <v>56</v>
      </c>
      <c r="H452" s="7">
        <v>172.79</v>
      </c>
      <c r="I452" s="3">
        <v>1</v>
      </c>
      <c r="J452" s="3">
        <f t="shared" si="14"/>
        <v>172.79</v>
      </c>
      <c r="K452" s="4">
        <v>30.83</v>
      </c>
      <c r="L452" s="23">
        <f t="shared" si="15"/>
        <v>0.17842467735401354</v>
      </c>
      <c r="M452" s="7">
        <v>141.96</v>
      </c>
      <c r="N452" s="5" t="s">
        <v>23</v>
      </c>
      <c r="O452" s="5" t="s">
        <v>33</v>
      </c>
      <c r="P452" s="3">
        <v>16</v>
      </c>
      <c r="Q452" s="3">
        <v>9</v>
      </c>
      <c r="R452" s="5" t="b">
        <v>0</v>
      </c>
      <c r="S452" s="3">
        <v>11</v>
      </c>
      <c r="T452" s="3">
        <v>4</v>
      </c>
    </row>
    <row r="453" spans="1:20">
      <c r="A453" s="5" t="s">
        <v>1025</v>
      </c>
      <c r="B453" s="5" t="s">
        <v>1026</v>
      </c>
      <c r="C453" s="6">
        <v>45245</v>
      </c>
      <c r="D453" s="8">
        <v>46</v>
      </c>
      <c r="E453" s="5" t="s">
        <v>36</v>
      </c>
      <c r="F453" s="5" t="s">
        <v>73</v>
      </c>
      <c r="G453" s="5" t="s">
        <v>46</v>
      </c>
      <c r="H453" s="7">
        <v>350.06</v>
      </c>
      <c r="I453" s="3">
        <v>3</v>
      </c>
      <c r="J453" s="3">
        <f t="shared" si="14"/>
        <v>1050.18</v>
      </c>
      <c r="K453" s="4">
        <v>97.43</v>
      </c>
      <c r="L453" s="23">
        <f t="shared" si="15"/>
        <v>9.2774571978137085E-2</v>
      </c>
      <c r="M453" s="7">
        <v>952.75</v>
      </c>
      <c r="N453" s="5" t="s">
        <v>692</v>
      </c>
      <c r="O453" s="5" t="s">
        <v>24</v>
      </c>
      <c r="P453" s="3">
        <v>18</v>
      </c>
      <c r="Q453" s="3">
        <v>10</v>
      </c>
      <c r="R453" s="5" t="b">
        <v>1</v>
      </c>
      <c r="S453" s="3">
        <v>3</v>
      </c>
      <c r="T453" s="3">
        <v>5</v>
      </c>
    </row>
    <row r="454" spans="1:20">
      <c r="A454" s="5" t="s">
        <v>562</v>
      </c>
      <c r="B454" s="5" t="s">
        <v>563</v>
      </c>
      <c r="C454" s="6">
        <v>45215</v>
      </c>
      <c r="D454" s="8">
        <v>23</v>
      </c>
      <c r="E454" s="5" t="s">
        <v>36</v>
      </c>
      <c r="F454" s="5" t="s">
        <v>21</v>
      </c>
      <c r="G454" s="5" t="s">
        <v>115</v>
      </c>
      <c r="H454" s="7">
        <v>50.95</v>
      </c>
      <c r="I454" s="3">
        <v>1</v>
      </c>
      <c r="J454" s="3">
        <f t="shared" si="14"/>
        <v>50.95</v>
      </c>
      <c r="K454" s="4">
        <v>8.3800000000000008</v>
      </c>
      <c r="L454" s="23">
        <f t="shared" si="15"/>
        <v>0.16447497546614329</v>
      </c>
      <c r="M454" s="7">
        <v>42.57</v>
      </c>
      <c r="N454" s="5" t="s">
        <v>327</v>
      </c>
      <c r="O454" s="5" t="s">
        <v>24</v>
      </c>
      <c r="P454" s="3">
        <v>23</v>
      </c>
      <c r="Q454" s="3">
        <v>13</v>
      </c>
      <c r="R454" s="5" t="b">
        <v>0</v>
      </c>
      <c r="S454" s="3">
        <v>13</v>
      </c>
      <c r="T454" s="3">
        <v>5</v>
      </c>
    </row>
    <row r="455" spans="1:20">
      <c r="A455" s="5" t="s">
        <v>1027</v>
      </c>
      <c r="B455" s="5" t="s">
        <v>1028</v>
      </c>
      <c r="C455" s="6">
        <v>44978</v>
      </c>
      <c r="D455" s="8">
        <v>41</v>
      </c>
      <c r="E455" s="5" t="s">
        <v>36</v>
      </c>
      <c r="F455" s="5" t="s">
        <v>49</v>
      </c>
      <c r="G455" s="5" t="s">
        <v>22</v>
      </c>
      <c r="H455" s="7">
        <v>214.36</v>
      </c>
      <c r="I455" s="3">
        <v>1</v>
      </c>
      <c r="J455" s="3">
        <f t="shared" si="14"/>
        <v>214.36</v>
      </c>
      <c r="K455" s="4">
        <v>0</v>
      </c>
      <c r="L455" s="23">
        <f t="shared" si="15"/>
        <v>0</v>
      </c>
      <c r="M455" s="7">
        <v>214.36</v>
      </c>
      <c r="N455" s="5" t="s">
        <v>692</v>
      </c>
      <c r="O455" s="5" t="s">
        <v>33</v>
      </c>
      <c r="P455" s="3">
        <v>8</v>
      </c>
      <c r="Q455" s="3">
        <v>7</v>
      </c>
      <c r="R455" s="5" t="b">
        <v>0</v>
      </c>
      <c r="S455" s="3">
        <v>8</v>
      </c>
      <c r="T455" s="3">
        <v>5</v>
      </c>
    </row>
    <row r="456" spans="1:20">
      <c r="A456" s="5" t="s">
        <v>1029</v>
      </c>
      <c r="B456" s="5" t="s">
        <v>1030</v>
      </c>
      <c r="C456" s="6">
        <v>44964</v>
      </c>
      <c r="D456" s="8">
        <v>28</v>
      </c>
      <c r="E456" s="5" t="s">
        <v>36</v>
      </c>
      <c r="F456" s="5" t="s">
        <v>59</v>
      </c>
      <c r="G456" s="5" t="s">
        <v>56</v>
      </c>
      <c r="H456" s="7">
        <v>293.95</v>
      </c>
      <c r="I456" s="3">
        <v>1</v>
      </c>
      <c r="J456" s="3">
        <f t="shared" si="14"/>
        <v>293.95</v>
      </c>
      <c r="K456" s="4">
        <v>22.04</v>
      </c>
      <c r="L456" s="23">
        <f t="shared" si="15"/>
        <v>7.4978737880591936E-2</v>
      </c>
      <c r="M456" s="7">
        <v>271.91000000000003</v>
      </c>
      <c r="N456" s="5" t="s">
        <v>692</v>
      </c>
      <c r="O456" s="5" t="s">
        <v>29</v>
      </c>
      <c r="P456" s="3">
        <v>10</v>
      </c>
      <c r="Q456" s="3">
        <v>10</v>
      </c>
      <c r="R456" s="5" t="b">
        <v>1</v>
      </c>
      <c r="S456" s="3">
        <v>12</v>
      </c>
      <c r="T456" s="3">
        <v>5</v>
      </c>
    </row>
    <row r="457" spans="1:20">
      <c r="A457" s="5" t="s">
        <v>1031</v>
      </c>
      <c r="B457" s="5" t="s">
        <v>1032</v>
      </c>
      <c r="C457" s="6">
        <v>45202</v>
      </c>
      <c r="D457" s="8">
        <v>25</v>
      </c>
      <c r="E457" s="5" t="s">
        <v>20</v>
      </c>
      <c r="F457" s="5" t="s">
        <v>32</v>
      </c>
      <c r="G457" s="5" t="s">
        <v>28</v>
      </c>
      <c r="H457" s="7">
        <v>182.49</v>
      </c>
      <c r="I457" s="3">
        <v>3</v>
      </c>
      <c r="J457" s="3">
        <f t="shared" si="14"/>
        <v>547.47</v>
      </c>
      <c r="K457" s="4">
        <v>40.229999999999997</v>
      </c>
      <c r="L457" s="23">
        <f t="shared" si="15"/>
        <v>7.3483478546769676E-2</v>
      </c>
      <c r="M457" s="7">
        <v>507.24</v>
      </c>
      <c r="N457" s="5" t="s">
        <v>692</v>
      </c>
      <c r="O457" s="5" t="s">
        <v>33</v>
      </c>
      <c r="P457" s="3">
        <v>25</v>
      </c>
      <c r="Q457" s="3">
        <v>7</v>
      </c>
      <c r="R457" s="5" t="b">
        <v>0</v>
      </c>
      <c r="S457" s="3">
        <v>5</v>
      </c>
      <c r="T457" s="3">
        <v>4</v>
      </c>
    </row>
    <row r="458" spans="1:20">
      <c r="A458" s="5" t="s">
        <v>1033</v>
      </c>
      <c r="B458" s="5" t="s">
        <v>1034</v>
      </c>
      <c r="C458" s="6">
        <v>45036</v>
      </c>
      <c r="D458" s="8">
        <v>33</v>
      </c>
      <c r="E458" s="5" t="s">
        <v>20</v>
      </c>
      <c r="F458" s="5" t="s">
        <v>83</v>
      </c>
      <c r="G458" s="5" t="s">
        <v>37</v>
      </c>
      <c r="H458" s="7">
        <v>122.34</v>
      </c>
      <c r="I458" s="3">
        <v>1</v>
      </c>
      <c r="J458" s="3">
        <f t="shared" si="14"/>
        <v>122.34</v>
      </c>
      <c r="K458" s="4">
        <v>0</v>
      </c>
      <c r="L458" s="23">
        <f t="shared" si="15"/>
        <v>0</v>
      </c>
      <c r="M458" s="7">
        <v>122.34</v>
      </c>
      <c r="N458" s="5" t="s">
        <v>692</v>
      </c>
      <c r="O458" s="5" t="s">
        <v>24</v>
      </c>
      <c r="P458" s="3">
        <v>16</v>
      </c>
      <c r="Q458" s="3">
        <v>8</v>
      </c>
      <c r="R458" s="5" t="b">
        <v>1</v>
      </c>
      <c r="S458" s="3">
        <v>9</v>
      </c>
      <c r="T458" s="3">
        <v>4</v>
      </c>
    </row>
    <row r="459" spans="1:20">
      <c r="A459" s="5" t="s">
        <v>237</v>
      </c>
      <c r="B459" s="5" t="s">
        <v>238</v>
      </c>
      <c r="C459" s="6">
        <v>45186</v>
      </c>
      <c r="D459" s="8">
        <v>22</v>
      </c>
      <c r="E459" s="5" t="s">
        <v>20</v>
      </c>
      <c r="F459" s="5" t="s">
        <v>32</v>
      </c>
      <c r="G459" s="5" t="s">
        <v>64</v>
      </c>
      <c r="H459" s="7">
        <v>665.91</v>
      </c>
      <c r="I459" s="3">
        <v>2</v>
      </c>
      <c r="J459" s="3">
        <f t="shared" si="14"/>
        <v>1331.82</v>
      </c>
      <c r="K459" s="4">
        <v>0</v>
      </c>
      <c r="L459" s="23">
        <f t="shared" si="15"/>
        <v>0</v>
      </c>
      <c r="M459" s="7">
        <v>1331.82</v>
      </c>
      <c r="N459" s="5" t="s">
        <v>23</v>
      </c>
      <c r="O459" s="5" t="s">
        <v>33</v>
      </c>
      <c r="P459" s="3">
        <v>9</v>
      </c>
      <c r="Q459" s="3">
        <v>8</v>
      </c>
      <c r="R459" s="5" t="b">
        <v>0</v>
      </c>
      <c r="S459" s="3">
        <v>6</v>
      </c>
      <c r="T459" s="3">
        <v>4</v>
      </c>
    </row>
    <row r="460" spans="1:20">
      <c r="A460" s="5" t="s">
        <v>1035</v>
      </c>
      <c r="B460" s="5" t="s">
        <v>1036</v>
      </c>
      <c r="C460" s="6">
        <v>45062</v>
      </c>
      <c r="D460" s="8">
        <v>28</v>
      </c>
      <c r="E460" s="5" t="s">
        <v>20</v>
      </c>
      <c r="F460" s="5" t="s">
        <v>21</v>
      </c>
      <c r="G460" s="5" t="s">
        <v>37</v>
      </c>
      <c r="H460" s="7">
        <v>213.77</v>
      </c>
      <c r="I460" s="3">
        <v>4</v>
      </c>
      <c r="J460" s="3">
        <f t="shared" si="14"/>
        <v>855.08</v>
      </c>
      <c r="K460" s="4">
        <v>0</v>
      </c>
      <c r="L460" s="23">
        <f t="shared" si="15"/>
        <v>0</v>
      </c>
      <c r="M460" s="7">
        <v>855.08</v>
      </c>
      <c r="N460" s="5" t="s">
        <v>692</v>
      </c>
      <c r="O460" s="5" t="s">
        <v>24</v>
      </c>
      <c r="P460" s="3">
        <v>22</v>
      </c>
      <c r="Q460" s="3">
        <v>5</v>
      </c>
      <c r="R460" s="5" t="b">
        <v>0</v>
      </c>
      <c r="S460" s="3">
        <v>2</v>
      </c>
      <c r="T460" s="3">
        <v>4</v>
      </c>
    </row>
    <row r="461" spans="1:20">
      <c r="A461" s="5" t="s">
        <v>239</v>
      </c>
      <c r="B461" s="5" t="s">
        <v>240</v>
      </c>
      <c r="C461" s="6">
        <v>44994</v>
      </c>
      <c r="D461" s="8">
        <v>20</v>
      </c>
      <c r="E461" s="5" t="s">
        <v>20</v>
      </c>
      <c r="F461" s="5" t="s">
        <v>88</v>
      </c>
      <c r="G461" s="5" t="s">
        <v>22</v>
      </c>
      <c r="H461" s="7">
        <v>96.23</v>
      </c>
      <c r="I461" s="3">
        <v>2</v>
      </c>
      <c r="J461" s="3">
        <f t="shared" si="14"/>
        <v>192.46</v>
      </c>
      <c r="K461" s="4">
        <v>0</v>
      </c>
      <c r="L461" s="23">
        <f t="shared" si="15"/>
        <v>0</v>
      </c>
      <c r="M461" s="7">
        <v>192.46</v>
      </c>
      <c r="N461" s="5" t="s">
        <v>23</v>
      </c>
      <c r="O461" s="5" t="s">
        <v>24</v>
      </c>
      <c r="P461" s="3">
        <v>26</v>
      </c>
      <c r="Q461" s="3">
        <v>13</v>
      </c>
      <c r="R461" s="5" t="b">
        <v>0</v>
      </c>
      <c r="S461" s="3">
        <v>3</v>
      </c>
      <c r="T461" s="3">
        <v>4</v>
      </c>
    </row>
    <row r="462" spans="1:20">
      <c r="A462" s="5" t="s">
        <v>1037</v>
      </c>
      <c r="B462" s="5" t="s">
        <v>1038</v>
      </c>
      <c r="C462" s="6">
        <v>45105</v>
      </c>
      <c r="D462" s="8">
        <v>58</v>
      </c>
      <c r="E462" s="5" t="s">
        <v>36</v>
      </c>
      <c r="F462" s="5" t="s">
        <v>32</v>
      </c>
      <c r="G462" s="5" t="s">
        <v>115</v>
      </c>
      <c r="H462" s="7">
        <v>36.1</v>
      </c>
      <c r="I462" s="3">
        <v>3</v>
      </c>
      <c r="J462" s="3">
        <f t="shared" si="14"/>
        <v>108.30000000000001</v>
      </c>
      <c r="K462" s="4">
        <v>0</v>
      </c>
      <c r="L462" s="23">
        <f t="shared" si="15"/>
        <v>0</v>
      </c>
      <c r="M462" s="7">
        <v>108.3</v>
      </c>
      <c r="N462" s="5" t="s">
        <v>692</v>
      </c>
      <c r="O462" s="5" t="s">
        <v>33</v>
      </c>
      <c r="P462" s="3">
        <v>14</v>
      </c>
      <c r="Q462" s="3">
        <v>7</v>
      </c>
      <c r="R462" s="5" t="b">
        <v>1</v>
      </c>
      <c r="S462" s="3">
        <v>13</v>
      </c>
      <c r="T462" s="3">
        <v>4</v>
      </c>
    </row>
    <row r="463" spans="1:20">
      <c r="A463" s="5" t="s">
        <v>1039</v>
      </c>
      <c r="B463" s="5" t="s">
        <v>1040</v>
      </c>
      <c r="C463" s="6">
        <v>44962</v>
      </c>
      <c r="D463" s="8">
        <v>35</v>
      </c>
      <c r="E463" s="5" t="s">
        <v>20</v>
      </c>
      <c r="F463" s="5" t="s">
        <v>21</v>
      </c>
      <c r="G463" s="5" t="s">
        <v>56</v>
      </c>
      <c r="H463" s="7">
        <v>205.05</v>
      </c>
      <c r="I463" s="3">
        <v>2</v>
      </c>
      <c r="J463" s="3">
        <f t="shared" si="14"/>
        <v>410.1</v>
      </c>
      <c r="K463" s="4">
        <v>0</v>
      </c>
      <c r="L463" s="23">
        <f t="shared" si="15"/>
        <v>0</v>
      </c>
      <c r="M463" s="7">
        <v>410.1</v>
      </c>
      <c r="N463" s="5" t="s">
        <v>692</v>
      </c>
      <c r="O463" s="5" t="s">
        <v>24</v>
      </c>
      <c r="P463" s="3">
        <v>22</v>
      </c>
      <c r="Q463" s="3">
        <v>6</v>
      </c>
      <c r="R463" s="5" t="b">
        <v>1</v>
      </c>
      <c r="S463" s="3">
        <v>5</v>
      </c>
      <c r="T463" s="3">
        <v>5</v>
      </c>
    </row>
    <row r="464" spans="1:20">
      <c r="A464" s="5" t="s">
        <v>1041</v>
      </c>
      <c r="B464" s="5" t="s">
        <v>1042</v>
      </c>
      <c r="C464" s="6">
        <v>45377</v>
      </c>
      <c r="D464" s="8">
        <v>26</v>
      </c>
      <c r="E464" s="5" t="s">
        <v>20</v>
      </c>
      <c r="F464" s="5" t="s">
        <v>32</v>
      </c>
      <c r="G464" s="5" t="s">
        <v>115</v>
      </c>
      <c r="H464" s="7">
        <v>19.84</v>
      </c>
      <c r="I464" s="3">
        <v>3</v>
      </c>
      <c r="J464" s="3">
        <f t="shared" si="14"/>
        <v>59.519999999999996</v>
      </c>
      <c r="K464" s="4">
        <v>0</v>
      </c>
      <c r="L464" s="23">
        <f t="shared" si="15"/>
        <v>0</v>
      </c>
      <c r="M464" s="7">
        <v>59.52</v>
      </c>
      <c r="N464" s="5" t="s">
        <v>692</v>
      </c>
      <c r="O464" s="5" t="s">
        <v>33</v>
      </c>
      <c r="P464" s="3">
        <v>11</v>
      </c>
      <c r="Q464" s="3">
        <v>10</v>
      </c>
      <c r="R464" s="5" t="b">
        <v>0</v>
      </c>
      <c r="S464" s="3">
        <v>6</v>
      </c>
      <c r="T464" s="3">
        <v>4</v>
      </c>
    </row>
    <row r="465" spans="1:20">
      <c r="A465" s="5" t="s">
        <v>1043</v>
      </c>
      <c r="B465" s="5" t="s">
        <v>1044</v>
      </c>
      <c r="C465" s="6">
        <v>45052</v>
      </c>
      <c r="D465" s="8">
        <v>37</v>
      </c>
      <c r="E465" s="5" t="s">
        <v>36</v>
      </c>
      <c r="F465" s="5" t="s">
        <v>52</v>
      </c>
      <c r="G465" s="5" t="s">
        <v>37</v>
      </c>
      <c r="H465" s="7">
        <v>103.09</v>
      </c>
      <c r="I465" s="3">
        <v>2</v>
      </c>
      <c r="J465" s="3">
        <f t="shared" si="14"/>
        <v>206.18</v>
      </c>
      <c r="K465" s="4">
        <v>0</v>
      </c>
      <c r="L465" s="23">
        <f t="shared" si="15"/>
        <v>0</v>
      </c>
      <c r="M465" s="7">
        <v>206.18</v>
      </c>
      <c r="N465" s="5" t="s">
        <v>692</v>
      </c>
      <c r="O465" s="5" t="s">
        <v>33</v>
      </c>
      <c r="P465" s="3">
        <v>15</v>
      </c>
      <c r="Q465" s="3">
        <v>8</v>
      </c>
      <c r="R465" s="5" t="b">
        <v>0</v>
      </c>
      <c r="S465" s="3">
        <v>5</v>
      </c>
      <c r="T465" s="3">
        <v>3</v>
      </c>
    </row>
    <row r="466" spans="1:20">
      <c r="A466" s="5" t="s">
        <v>1045</v>
      </c>
      <c r="B466" s="5" t="s">
        <v>1046</v>
      </c>
      <c r="C466" s="6">
        <v>45116</v>
      </c>
      <c r="D466" s="8">
        <v>33</v>
      </c>
      <c r="E466" s="5" t="s">
        <v>20</v>
      </c>
      <c r="F466" s="5" t="s">
        <v>32</v>
      </c>
      <c r="G466" s="5" t="s">
        <v>56</v>
      </c>
      <c r="H466" s="7">
        <v>343.43</v>
      </c>
      <c r="I466" s="3">
        <v>5</v>
      </c>
      <c r="J466" s="3">
        <f t="shared" si="14"/>
        <v>1717.15</v>
      </c>
      <c r="K466" s="4">
        <v>0</v>
      </c>
      <c r="L466" s="23">
        <f t="shared" si="15"/>
        <v>0</v>
      </c>
      <c r="M466" s="7">
        <v>1717.15</v>
      </c>
      <c r="N466" s="5" t="s">
        <v>692</v>
      </c>
      <c r="O466" s="5" t="s">
        <v>33</v>
      </c>
      <c r="P466" s="3">
        <v>16</v>
      </c>
      <c r="Q466" s="3">
        <v>9</v>
      </c>
      <c r="R466" s="5" t="b">
        <v>1</v>
      </c>
      <c r="S466" s="3">
        <v>4</v>
      </c>
      <c r="T466" s="3">
        <v>1</v>
      </c>
    </row>
    <row r="467" spans="1:20">
      <c r="A467" s="5" t="s">
        <v>564</v>
      </c>
      <c r="B467" s="5" t="s">
        <v>565</v>
      </c>
      <c r="C467" s="6">
        <v>45072</v>
      </c>
      <c r="D467" s="8">
        <v>32</v>
      </c>
      <c r="E467" s="5" t="s">
        <v>20</v>
      </c>
      <c r="F467" s="5" t="s">
        <v>52</v>
      </c>
      <c r="G467" s="5" t="s">
        <v>37</v>
      </c>
      <c r="H467" s="7">
        <v>163.89</v>
      </c>
      <c r="I467" s="3">
        <v>1</v>
      </c>
      <c r="J467" s="3">
        <f t="shared" si="14"/>
        <v>163.89</v>
      </c>
      <c r="K467" s="4">
        <v>0</v>
      </c>
      <c r="L467" s="23">
        <f t="shared" si="15"/>
        <v>0</v>
      </c>
      <c r="M467" s="7">
        <v>163.89</v>
      </c>
      <c r="N467" s="5" t="s">
        <v>327</v>
      </c>
      <c r="O467" s="5" t="s">
        <v>33</v>
      </c>
      <c r="P467" s="3">
        <v>7</v>
      </c>
      <c r="Q467" s="3">
        <v>9</v>
      </c>
      <c r="R467" s="5" t="b">
        <v>0</v>
      </c>
      <c r="S467" s="3">
        <v>4</v>
      </c>
      <c r="T467" s="3">
        <v>5</v>
      </c>
    </row>
    <row r="468" spans="1:20">
      <c r="A468" s="5" t="s">
        <v>1274</v>
      </c>
      <c r="B468" s="5" t="s">
        <v>1275</v>
      </c>
      <c r="C468" s="6">
        <v>45007</v>
      </c>
      <c r="D468" s="8">
        <v>42</v>
      </c>
      <c r="E468" s="5" t="s">
        <v>20</v>
      </c>
      <c r="F468" s="5" t="s">
        <v>52</v>
      </c>
      <c r="G468" s="5" t="s">
        <v>22</v>
      </c>
      <c r="H468" s="7">
        <v>125.69</v>
      </c>
      <c r="I468" s="3">
        <v>2</v>
      </c>
      <c r="J468" s="3">
        <f t="shared" si="14"/>
        <v>251.38</v>
      </c>
      <c r="K468" s="4">
        <v>36.31</v>
      </c>
      <c r="L468" s="23">
        <f t="shared" si="15"/>
        <v>0.14444267642612779</v>
      </c>
      <c r="M468" s="7">
        <v>215.07</v>
      </c>
      <c r="N468" s="5" t="s">
        <v>1231</v>
      </c>
      <c r="O468" s="5" t="s">
        <v>33</v>
      </c>
      <c r="P468" s="3">
        <v>9</v>
      </c>
      <c r="Q468" s="3">
        <v>11</v>
      </c>
      <c r="R468" s="5" t="b">
        <v>1</v>
      </c>
      <c r="S468" s="3">
        <v>5</v>
      </c>
      <c r="T468" s="3">
        <v>5</v>
      </c>
    </row>
    <row r="469" spans="1:20">
      <c r="A469" s="5" t="s">
        <v>1047</v>
      </c>
      <c r="B469" s="5" t="s">
        <v>1048</v>
      </c>
      <c r="C469" s="6">
        <v>45151</v>
      </c>
      <c r="D469" s="8">
        <v>44</v>
      </c>
      <c r="E469" s="5" t="s">
        <v>20</v>
      </c>
      <c r="F469" s="5" t="s">
        <v>83</v>
      </c>
      <c r="G469" s="5" t="s">
        <v>53</v>
      </c>
      <c r="H469" s="7">
        <v>32.53</v>
      </c>
      <c r="I469" s="3">
        <v>5</v>
      </c>
      <c r="J469" s="3">
        <f t="shared" si="14"/>
        <v>162.65</v>
      </c>
      <c r="K469" s="4">
        <v>3.22</v>
      </c>
      <c r="L469" s="23">
        <f t="shared" si="15"/>
        <v>1.9797110359668E-2</v>
      </c>
      <c r="M469" s="7">
        <v>159.43</v>
      </c>
      <c r="N469" s="5" t="s">
        <v>692</v>
      </c>
      <c r="O469" s="5" t="s">
        <v>24</v>
      </c>
      <c r="P469" s="3">
        <v>16</v>
      </c>
      <c r="Q469" s="3">
        <v>10</v>
      </c>
      <c r="R469" s="5" t="b">
        <v>1</v>
      </c>
      <c r="S469" s="3">
        <v>5</v>
      </c>
      <c r="T469" s="3">
        <v>4</v>
      </c>
    </row>
    <row r="470" spans="1:20">
      <c r="A470" s="5" t="s">
        <v>1049</v>
      </c>
      <c r="B470" s="5" t="s">
        <v>1050</v>
      </c>
      <c r="C470" s="6">
        <v>45353</v>
      </c>
      <c r="D470" s="8">
        <v>28</v>
      </c>
      <c r="E470" s="5" t="s">
        <v>20</v>
      </c>
      <c r="F470" s="5" t="s">
        <v>83</v>
      </c>
      <c r="G470" s="5" t="s">
        <v>115</v>
      </c>
      <c r="H470" s="7">
        <v>97.62</v>
      </c>
      <c r="I470" s="3">
        <v>1</v>
      </c>
      <c r="J470" s="3">
        <f t="shared" si="14"/>
        <v>97.62</v>
      </c>
      <c r="K470" s="4">
        <v>9.61</v>
      </c>
      <c r="L470" s="23">
        <f t="shared" si="15"/>
        <v>9.8442942020077848E-2</v>
      </c>
      <c r="M470" s="7">
        <v>88.01</v>
      </c>
      <c r="N470" s="5" t="s">
        <v>692</v>
      </c>
      <c r="O470" s="5" t="s">
        <v>33</v>
      </c>
      <c r="P470" s="3">
        <v>33</v>
      </c>
      <c r="Q470" s="3">
        <v>5</v>
      </c>
      <c r="R470" s="5" t="b">
        <v>0</v>
      </c>
      <c r="S470" s="3">
        <v>11</v>
      </c>
      <c r="T470" s="3">
        <v>5</v>
      </c>
    </row>
    <row r="471" spans="1:20">
      <c r="A471" s="5" t="s">
        <v>1051</v>
      </c>
      <c r="B471" s="5" t="s">
        <v>1052</v>
      </c>
      <c r="C471" s="6">
        <v>45205</v>
      </c>
      <c r="D471" s="8">
        <v>28</v>
      </c>
      <c r="E471" s="5" t="s">
        <v>36</v>
      </c>
      <c r="F471" s="5" t="s">
        <v>32</v>
      </c>
      <c r="G471" s="5" t="s">
        <v>115</v>
      </c>
      <c r="H471" s="7">
        <v>25.98</v>
      </c>
      <c r="I471" s="3">
        <v>2</v>
      </c>
      <c r="J471" s="3">
        <f t="shared" si="14"/>
        <v>51.96</v>
      </c>
      <c r="K471" s="4">
        <v>0</v>
      </c>
      <c r="L471" s="23">
        <f t="shared" si="15"/>
        <v>0</v>
      </c>
      <c r="M471" s="7">
        <v>51.96</v>
      </c>
      <c r="N471" s="5" t="s">
        <v>692</v>
      </c>
      <c r="O471" s="5" t="s">
        <v>33</v>
      </c>
      <c r="P471" s="3">
        <v>8</v>
      </c>
      <c r="Q471" s="3">
        <v>11</v>
      </c>
      <c r="R471" s="5" t="b">
        <v>0</v>
      </c>
      <c r="S471" s="3">
        <v>4</v>
      </c>
      <c r="T471" s="3">
        <v>5</v>
      </c>
    </row>
    <row r="472" spans="1:20">
      <c r="A472" s="5" t="s">
        <v>1391</v>
      </c>
      <c r="B472" s="5" t="s">
        <v>1392</v>
      </c>
      <c r="C472" s="6">
        <v>45287</v>
      </c>
      <c r="D472" s="8">
        <v>31</v>
      </c>
      <c r="E472" s="5" t="s">
        <v>36</v>
      </c>
      <c r="F472" s="5" t="s">
        <v>27</v>
      </c>
      <c r="G472" s="5" t="s">
        <v>37</v>
      </c>
      <c r="H472" s="7">
        <v>69.81</v>
      </c>
      <c r="I472" s="3">
        <v>1</v>
      </c>
      <c r="J472" s="3">
        <f t="shared" si="14"/>
        <v>69.81</v>
      </c>
      <c r="K472" s="4">
        <v>7.88</v>
      </c>
      <c r="L472" s="23">
        <f t="shared" si="15"/>
        <v>0.11287781120183354</v>
      </c>
      <c r="M472" s="7">
        <v>61.93</v>
      </c>
      <c r="N472" s="5" t="s">
        <v>1298</v>
      </c>
      <c r="O472" s="5" t="s">
        <v>33</v>
      </c>
      <c r="P472" s="3">
        <v>12</v>
      </c>
      <c r="Q472" s="3">
        <v>13</v>
      </c>
      <c r="R472" s="5" t="b">
        <v>0</v>
      </c>
      <c r="S472" s="3">
        <v>12</v>
      </c>
      <c r="T472" s="3">
        <v>5</v>
      </c>
    </row>
    <row r="473" spans="1:20">
      <c r="A473" s="5" t="s">
        <v>241</v>
      </c>
      <c r="B473" s="5" t="s">
        <v>242</v>
      </c>
      <c r="C473" s="6">
        <v>45081</v>
      </c>
      <c r="D473" s="8">
        <v>18</v>
      </c>
      <c r="E473" s="5" t="s">
        <v>20</v>
      </c>
      <c r="F473" s="5" t="s">
        <v>32</v>
      </c>
      <c r="G473" s="5" t="s">
        <v>64</v>
      </c>
      <c r="H473" s="7">
        <v>3463.03</v>
      </c>
      <c r="I473" s="3">
        <v>5</v>
      </c>
      <c r="J473" s="3">
        <f t="shared" si="14"/>
        <v>17315.150000000001</v>
      </c>
      <c r="K473" s="4">
        <v>215.85</v>
      </c>
      <c r="L473" s="23">
        <f t="shared" si="15"/>
        <v>1.2465961888866107E-2</v>
      </c>
      <c r="M473" s="7">
        <v>17099.3</v>
      </c>
      <c r="N473" s="5" t="s">
        <v>23</v>
      </c>
      <c r="O473" s="5" t="s">
        <v>24</v>
      </c>
      <c r="P473" s="3">
        <v>20</v>
      </c>
      <c r="Q473" s="3">
        <v>5</v>
      </c>
      <c r="R473" s="5" t="b">
        <v>1</v>
      </c>
      <c r="S473" s="3">
        <v>4</v>
      </c>
      <c r="T473" s="3">
        <v>4</v>
      </c>
    </row>
    <row r="474" spans="1:20">
      <c r="A474" s="5" t="s">
        <v>243</v>
      </c>
      <c r="B474" s="5" t="s">
        <v>244</v>
      </c>
      <c r="C474" s="6">
        <v>45240</v>
      </c>
      <c r="D474" s="8">
        <v>18</v>
      </c>
      <c r="E474" s="5" t="s">
        <v>20</v>
      </c>
      <c r="F474" s="5" t="s">
        <v>32</v>
      </c>
      <c r="G474" s="5" t="s">
        <v>37</v>
      </c>
      <c r="H474" s="7">
        <v>19.34</v>
      </c>
      <c r="I474" s="3">
        <v>1</v>
      </c>
      <c r="J474" s="3">
        <f t="shared" si="14"/>
        <v>19.34</v>
      </c>
      <c r="K474" s="4">
        <v>0</v>
      </c>
      <c r="L474" s="23">
        <f t="shared" si="15"/>
        <v>0</v>
      </c>
      <c r="M474" s="7">
        <v>19.34</v>
      </c>
      <c r="N474" s="5" t="s">
        <v>23</v>
      </c>
      <c r="O474" s="5" t="s">
        <v>24</v>
      </c>
      <c r="P474" s="3">
        <v>17</v>
      </c>
      <c r="Q474" s="3">
        <v>12</v>
      </c>
      <c r="R474" s="5" t="b">
        <v>1</v>
      </c>
      <c r="S474" s="3">
        <v>5</v>
      </c>
      <c r="T474" s="3">
        <v>4</v>
      </c>
    </row>
    <row r="475" spans="1:20">
      <c r="A475" s="5" t="s">
        <v>1053</v>
      </c>
      <c r="B475" s="5" t="s">
        <v>1054</v>
      </c>
      <c r="C475" s="6">
        <v>45340</v>
      </c>
      <c r="D475" s="8">
        <v>51</v>
      </c>
      <c r="E475" s="5" t="s">
        <v>20</v>
      </c>
      <c r="F475" s="5" t="s">
        <v>32</v>
      </c>
      <c r="G475" s="5" t="s">
        <v>22</v>
      </c>
      <c r="H475" s="7">
        <v>76.66</v>
      </c>
      <c r="I475" s="3">
        <v>1</v>
      </c>
      <c r="J475" s="3">
        <f t="shared" si="14"/>
        <v>76.66</v>
      </c>
      <c r="K475" s="4">
        <v>0</v>
      </c>
      <c r="L475" s="23">
        <f t="shared" si="15"/>
        <v>0</v>
      </c>
      <c r="M475" s="7">
        <v>76.66</v>
      </c>
      <c r="N475" s="5" t="s">
        <v>692</v>
      </c>
      <c r="O475" s="5" t="s">
        <v>33</v>
      </c>
      <c r="P475" s="3">
        <v>9</v>
      </c>
      <c r="Q475" s="3">
        <v>9</v>
      </c>
      <c r="R475" s="5" t="b">
        <v>1</v>
      </c>
      <c r="S475" s="3">
        <v>4</v>
      </c>
      <c r="T475" s="3">
        <v>2</v>
      </c>
    </row>
    <row r="476" spans="1:20">
      <c r="A476" s="5" t="s">
        <v>1055</v>
      </c>
      <c r="B476" s="5" t="s">
        <v>1056</v>
      </c>
      <c r="C476" s="6">
        <v>45261</v>
      </c>
      <c r="D476" s="8">
        <v>54</v>
      </c>
      <c r="E476" s="5" t="s">
        <v>36</v>
      </c>
      <c r="F476" s="5" t="s">
        <v>83</v>
      </c>
      <c r="G476" s="5" t="s">
        <v>37</v>
      </c>
      <c r="H476" s="7">
        <v>235.12</v>
      </c>
      <c r="I476" s="3">
        <v>1</v>
      </c>
      <c r="J476" s="3">
        <f t="shared" si="14"/>
        <v>235.12</v>
      </c>
      <c r="K476" s="4">
        <v>0</v>
      </c>
      <c r="L476" s="23">
        <f t="shared" si="15"/>
        <v>0</v>
      </c>
      <c r="M476" s="7">
        <v>235.12</v>
      </c>
      <c r="N476" s="5" t="s">
        <v>692</v>
      </c>
      <c r="O476" s="5" t="s">
        <v>33</v>
      </c>
      <c r="P476" s="3">
        <v>34</v>
      </c>
      <c r="Q476" s="3">
        <v>13</v>
      </c>
      <c r="R476" s="5" t="b">
        <v>1</v>
      </c>
      <c r="S476" s="3">
        <v>6</v>
      </c>
      <c r="T476" s="3">
        <v>5</v>
      </c>
    </row>
    <row r="477" spans="1:20">
      <c r="A477" s="5" t="s">
        <v>1057</v>
      </c>
      <c r="B477" s="5" t="s">
        <v>1058</v>
      </c>
      <c r="C477" s="6">
        <v>45197</v>
      </c>
      <c r="D477" s="8">
        <v>32</v>
      </c>
      <c r="E477" s="5" t="s">
        <v>20</v>
      </c>
      <c r="F477" s="5" t="s">
        <v>76</v>
      </c>
      <c r="G477" s="5" t="s">
        <v>64</v>
      </c>
      <c r="H477" s="7">
        <v>1939.72</v>
      </c>
      <c r="I477" s="3">
        <v>1</v>
      </c>
      <c r="J477" s="3">
        <f t="shared" si="14"/>
        <v>1939.72</v>
      </c>
      <c r="K477" s="4">
        <v>487.88</v>
      </c>
      <c r="L477" s="23">
        <f t="shared" si="15"/>
        <v>0.2515208380591013</v>
      </c>
      <c r="M477" s="7">
        <v>1451.84</v>
      </c>
      <c r="N477" s="5" t="s">
        <v>692</v>
      </c>
      <c r="O477" s="5" t="s">
        <v>24</v>
      </c>
      <c r="P477" s="3">
        <v>15</v>
      </c>
      <c r="Q477" s="3">
        <v>6</v>
      </c>
      <c r="R477" s="5" t="b">
        <v>1</v>
      </c>
      <c r="S477" s="3">
        <v>5</v>
      </c>
      <c r="T477" s="3">
        <v>5</v>
      </c>
    </row>
    <row r="478" spans="1:20">
      <c r="A478" s="5" t="s">
        <v>1393</v>
      </c>
      <c r="B478" s="5" t="s">
        <v>1394</v>
      </c>
      <c r="C478" s="6">
        <v>44931</v>
      </c>
      <c r="D478" s="8">
        <v>41</v>
      </c>
      <c r="E478" s="5" t="s">
        <v>20</v>
      </c>
      <c r="F478" s="5" t="s">
        <v>32</v>
      </c>
      <c r="G478" s="5" t="s">
        <v>28</v>
      </c>
      <c r="H478" s="7">
        <v>181.88</v>
      </c>
      <c r="I478" s="3">
        <v>1</v>
      </c>
      <c r="J478" s="3">
        <f t="shared" si="14"/>
        <v>181.88</v>
      </c>
      <c r="K478" s="4">
        <v>26.42</v>
      </c>
      <c r="L478" s="23">
        <f t="shared" si="15"/>
        <v>0.14526061139212668</v>
      </c>
      <c r="M478" s="7">
        <v>155.46</v>
      </c>
      <c r="N478" s="5" t="s">
        <v>1298</v>
      </c>
      <c r="O478" s="5" t="s">
        <v>33</v>
      </c>
      <c r="P478" s="3">
        <v>14</v>
      </c>
      <c r="Q478" s="3">
        <v>9</v>
      </c>
      <c r="R478" s="5" t="b">
        <v>1</v>
      </c>
      <c r="S478" s="3">
        <v>9</v>
      </c>
      <c r="T478" s="3">
        <v>5</v>
      </c>
    </row>
    <row r="479" spans="1:20">
      <c r="A479" s="5" t="s">
        <v>1059</v>
      </c>
      <c r="B479" s="5" t="s">
        <v>1060</v>
      </c>
      <c r="C479" s="6">
        <v>45268</v>
      </c>
      <c r="D479" s="8">
        <v>38</v>
      </c>
      <c r="E479" s="5" t="s">
        <v>36</v>
      </c>
      <c r="F479" s="5" t="s">
        <v>32</v>
      </c>
      <c r="G479" s="5" t="s">
        <v>64</v>
      </c>
      <c r="H479" s="7">
        <v>410.32</v>
      </c>
      <c r="I479" s="3">
        <v>1</v>
      </c>
      <c r="J479" s="3">
        <f t="shared" si="14"/>
        <v>410.32</v>
      </c>
      <c r="K479" s="4">
        <v>0</v>
      </c>
      <c r="L479" s="23">
        <f t="shared" si="15"/>
        <v>0</v>
      </c>
      <c r="M479" s="7">
        <v>410.32</v>
      </c>
      <c r="N479" s="5" t="s">
        <v>692</v>
      </c>
      <c r="O479" s="5" t="s">
        <v>33</v>
      </c>
      <c r="P479" s="3">
        <v>15</v>
      </c>
      <c r="Q479" s="3">
        <v>9</v>
      </c>
      <c r="R479" s="5" t="b">
        <v>1</v>
      </c>
      <c r="S479" s="3">
        <v>5</v>
      </c>
      <c r="T479" s="3">
        <v>4</v>
      </c>
    </row>
    <row r="480" spans="1:20">
      <c r="A480" s="5" t="s">
        <v>566</v>
      </c>
      <c r="B480" s="5" t="s">
        <v>567</v>
      </c>
      <c r="C480" s="6">
        <v>45345</v>
      </c>
      <c r="D480" s="8">
        <v>71</v>
      </c>
      <c r="E480" s="5" t="s">
        <v>20</v>
      </c>
      <c r="F480" s="5" t="s">
        <v>32</v>
      </c>
      <c r="G480" s="5" t="s">
        <v>22</v>
      </c>
      <c r="H480" s="7">
        <v>254.01</v>
      </c>
      <c r="I480" s="3">
        <v>2</v>
      </c>
      <c r="J480" s="3">
        <f t="shared" si="14"/>
        <v>508.02</v>
      </c>
      <c r="K480" s="4">
        <v>0</v>
      </c>
      <c r="L480" s="23">
        <f t="shared" si="15"/>
        <v>0</v>
      </c>
      <c r="M480" s="7">
        <v>508.02</v>
      </c>
      <c r="N480" s="5" t="s">
        <v>327</v>
      </c>
      <c r="O480" s="5" t="s">
        <v>33</v>
      </c>
      <c r="P480" s="3">
        <v>11</v>
      </c>
      <c r="Q480" s="3">
        <v>11</v>
      </c>
      <c r="R480" s="5" t="b">
        <v>0</v>
      </c>
      <c r="S480" s="3">
        <v>13</v>
      </c>
      <c r="T480" s="3">
        <v>4</v>
      </c>
    </row>
    <row r="481" spans="1:20">
      <c r="A481" s="5" t="s">
        <v>568</v>
      </c>
      <c r="B481" s="5" t="s">
        <v>569</v>
      </c>
      <c r="C481" s="6">
        <v>45210</v>
      </c>
      <c r="D481" s="8">
        <v>48</v>
      </c>
      <c r="E481" s="5" t="s">
        <v>20</v>
      </c>
      <c r="F481" s="5" t="s">
        <v>21</v>
      </c>
      <c r="G481" s="5" t="s">
        <v>56</v>
      </c>
      <c r="H481" s="7">
        <v>279.39999999999998</v>
      </c>
      <c r="I481" s="3">
        <v>2</v>
      </c>
      <c r="J481" s="3">
        <f t="shared" si="14"/>
        <v>558.79999999999995</v>
      </c>
      <c r="K481" s="4">
        <v>0</v>
      </c>
      <c r="L481" s="23">
        <f t="shared" si="15"/>
        <v>0</v>
      </c>
      <c r="M481" s="7">
        <v>558.79999999999995</v>
      </c>
      <c r="N481" s="5" t="s">
        <v>327</v>
      </c>
      <c r="O481" s="5" t="s">
        <v>33</v>
      </c>
      <c r="P481" s="3">
        <v>34</v>
      </c>
      <c r="Q481" s="3">
        <v>8</v>
      </c>
      <c r="R481" s="5" t="b">
        <v>0</v>
      </c>
      <c r="S481" s="3">
        <v>4</v>
      </c>
      <c r="T481" s="3">
        <v>4</v>
      </c>
    </row>
    <row r="482" spans="1:20">
      <c r="A482" s="5" t="s">
        <v>570</v>
      </c>
      <c r="B482" s="5" t="s">
        <v>571</v>
      </c>
      <c r="C482" s="6">
        <v>45080</v>
      </c>
      <c r="D482" s="8">
        <v>33</v>
      </c>
      <c r="E482" s="5" t="s">
        <v>20</v>
      </c>
      <c r="F482" s="5" t="s">
        <v>73</v>
      </c>
      <c r="G482" s="5" t="s">
        <v>37</v>
      </c>
      <c r="H482" s="7">
        <v>166.69</v>
      </c>
      <c r="I482" s="3">
        <v>1</v>
      </c>
      <c r="J482" s="3">
        <f t="shared" si="14"/>
        <v>166.69</v>
      </c>
      <c r="K482" s="4">
        <v>0</v>
      </c>
      <c r="L482" s="23">
        <f t="shared" si="15"/>
        <v>0</v>
      </c>
      <c r="M482" s="7">
        <v>166.69</v>
      </c>
      <c r="N482" s="5" t="s">
        <v>327</v>
      </c>
      <c r="O482" s="5" t="s">
        <v>33</v>
      </c>
      <c r="P482" s="3">
        <v>4</v>
      </c>
      <c r="Q482" s="3">
        <v>8</v>
      </c>
      <c r="R482" s="5" t="b">
        <v>0</v>
      </c>
      <c r="S482" s="3">
        <v>7</v>
      </c>
      <c r="T482" s="3">
        <v>4</v>
      </c>
    </row>
    <row r="483" spans="1:20">
      <c r="A483" s="5" t="s">
        <v>1061</v>
      </c>
      <c r="B483" s="5" t="s">
        <v>1062</v>
      </c>
      <c r="C483" s="6">
        <v>45266</v>
      </c>
      <c r="D483" s="8">
        <v>23</v>
      </c>
      <c r="E483" s="5" t="s">
        <v>36</v>
      </c>
      <c r="F483" s="5" t="s">
        <v>32</v>
      </c>
      <c r="G483" s="5" t="s">
        <v>53</v>
      </c>
      <c r="H483" s="7">
        <v>86.96</v>
      </c>
      <c r="I483" s="3">
        <v>1</v>
      </c>
      <c r="J483" s="3">
        <f t="shared" si="14"/>
        <v>86.96</v>
      </c>
      <c r="K483" s="4">
        <v>0</v>
      </c>
      <c r="L483" s="23">
        <f t="shared" si="15"/>
        <v>0</v>
      </c>
      <c r="M483" s="7">
        <v>86.96</v>
      </c>
      <c r="N483" s="5" t="s">
        <v>692</v>
      </c>
      <c r="O483" s="5" t="s">
        <v>33</v>
      </c>
      <c r="P483" s="3">
        <v>11</v>
      </c>
      <c r="Q483" s="3">
        <v>7</v>
      </c>
      <c r="R483" s="5" t="b">
        <v>1</v>
      </c>
      <c r="S483" s="3">
        <v>8</v>
      </c>
      <c r="T483" s="3">
        <v>4</v>
      </c>
    </row>
    <row r="484" spans="1:20">
      <c r="A484" s="5" t="s">
        <v>572</v>
      </c>
      <c r="B484" s="5" t="s">
        <v>573</v>
      </c>
      <c r="C484" s="6">
        <v>44980</v>
      </c>
      <c r="D484" s="8">
        <v>18</v>
      </c>
      <c r="E484" s="5" t="s">
        <v>36</v>
      </c>
      <c r="F484" s="5" t="s">
        <v>27</v>
      </c>
      <c r="G484" s="5" t="s">
        <v>64</v>
      </c>
      <c r="H484" s="7">
        <v>911.25</v>
      </c>
      <c r="I484" s="3">
        <v>1</v>
      </c>
      <c r="J484" s="3">
        <f t="shared" si="14"/>
        <v>911.25</v>
      </c>
      <c r="K484" s="4">
        <v>0</v>
      </c>
      <c r="L484" s="23">
        <f t="shared" si="15"/>
        <v>0</v>
      </c>
      <c r="M484" s="7">
        <v>911.25</v>
      </c>
      <c r="N484" s="5" t="s">
        <v>327</v>
      </c>
      <c r="O484" s="5" t="s">
        <v>29</v>
      </c>
      <c r="P484" s="3">
        <v>7</v>
      </c>
      <c r="Q484" s="3">
        <v>11</v>
      </c>
      <c r="R484" s="5" t="b">
        <v>0</v>
      </c>
      <c r="S484" s="3">
        <v>10</v>
      </c>
      <c r="T484" s="3">
        <v>2</v>
      </c>
    </row>
    <row r="485" spans="1:20">
      <c r="A485" s="5" t="s">
        <v>1063</v>
      </c>
      <c r="B485" s="5" t="s">
        <v>1064</v>
      </c>
      <c r="C485" s="6">
        <v>45376</v>
      </c>
      <c r="D485" s="8">
        <v>37</v>
      </c>
      <c r="E485" s="5" t="s">
        <v>36</v>
      </c>
      <c r="F485" s="5" t="s">
        <v>52</v>
      </c>
      <c r="G485" s="5" t="s">
        <v>28</v>
      </c>
      <c r="H485" s="7">
        <v>207.48</v>
      </c>
      <c r="I485" s="3">
        <v>1</v>
      </c>
      <c r="J485" s="3">
        <f t="shared" si="14"/>
        <v>207.48</v>
      </c>
      <c r="K485" s="4">
        <v>0</v>
      </c>
      <c r="L485" s="23">
        <f t="shared" si="15"/>
        <v>0</v>
      </c>
      <c r="M485" s="7">
        <v>207.48</v>
      </c>
      <c r="N485" s="5" t="s">
        <v>692</v>
      </c>
      <c r="O485" s="5" t="s">
        <v>24</v>
      </c>
      <c r="P485" s="3">
        <v>11</v>
      </c>
      <c r="Q485" s="3">
        <v>13</v>
      </c>
      <c r="R485" s="5" t="b">
        <v>1</v>
      </c>
      <c r="S485" s="3">
        <v>4</v>
      </c>
      <c r="T485" s="3">
        <v>5</v>
      </c>
    </row>
    <row r="486" spans="1:20">
      <c r="A486" s="5" t="s">
        <v>1276</v>
      </c>
      <c r="B486" s="5" t="s">
        <v>1277</v>
      </c>
      <c r="C486" s="6">
        <v>44995</v>
      </c>
      <c r="D486" s="8">
        <v>25</v>
      </c>
      <c r="E486" s="5" t="s">
        <v>36</v>
      </c>
      <c r="F486" s="5" t="s">
        <v>76</v>
      </c>
      <c r="G486" s="5" t="s">
        <v>64</v>
      </c>
      <c r="H486" s="7">
        <v>1852.09</v>
      </c>
      <c r="I486" s="3">
        <v>1</v>
      </c>
      <c r="J486" s="3">
        <f t="shared" si="14"/>
        <v>1852.09</v>
      </c>
      <c r="K486" s="4">
        <v>0</v>
      </c>
      <c r="L486" s="23">
        <f t="shared" si="15"/>
        <v>0</v>
      </c>
      <c r="M486" s="7">
        <v>1852.09</v>
      </c>
      <c r="N486" s="5" t="s">
        <v>1231</v>
      </c>
      <c r="O486" s="5" t="s">
        <v>33</v>
      </c>
      <c r="P486" s="3">
        <v>26</v>
      </c>
      <c r="Q486" s="3">
        <v>9</v>
      </c>
      <c r="R486" s="5" t="b">
        <v>1</v>
      </c>
      <c r="S486" s="3">
        <v>10</v>
      </c>
      <c r="T486" s="3">
        <v>4</v>
      </c>
    </row>
    <row r="487" spans="1:20">
      <c r="A487" s="5" t="s">
        <v>1065</v>
      </c>
      <c r="B487" s="5" t="s">
        <v>1066</v>
      </c>
      <c r="C487" s="6">
        <v>45062</v>
      </c>
      <c r="D487" s="8">
        <v>18</v>
      </c>
      <c r="E487" s="5" t="s">
        <v>36</v>
      </c>
      <c r="F487" s="5" t="s">
        <v>49</v>
      </c>
      <c r="G487" s="5" t="s">
        <v>37</v>
      </c>
      <c r="H487" s="7">
        <v>86.95</v>
      </c>
      <c r="I487" s="3">
        <v>2</v>
      </c>
      <c r="J487" s="3">
        <f t="shared" si="14"/>
        <v>173.9</v>
      </c>
      <c r="K487" s="4">
        <v>0</v>
      </c>
      <c r="L487" s="23">
        <f t="shared" si="15"/>
        <v>0</v>
      </c>
      <c r="M487" s="7">
        <v>173.9</v>
      </c>
      <c r="N487" s="5" t="s">
        <v>692</v>
      </c>
      <c r="O487" s="5" t="s">
        <v>24</v>
      </c>
      <c r="P487" s="3">
        <v>36</v>
      </c>
      <c r="Q487" s="3">
        <v>11</v>
      </c>
      <c r="R487" s="5" t="b">
        <v>0</v>
      </c>
      <c r="S487" s="3">
        <v>16</v>
      </c>
      <c r="T487" s="3">
        <v>5</v>
      </c>
    </row>
    <row r="488" spans="1:20">
      <c r="A488" s="5" t="s">
        <v>1067</v>
      </c>
      <c r="B488" s="5" t="s">
        <v>1068</v>
      </c>
      <c r="C488" s="6">
        <v>44986</v>
      </c>
      <c r="D488" s="8">
        <v>27</v>
      </c>
      <c r="E488" s="5" t="s">
        <v>36</v>
      </c>
      <c r="F488" s="5" t="s">
        <v>21</v>
      </c>
      <c r="G488" s="5" t="s">
        <v>56</v>
      </c>
      <c r="H488" s="7">
        <v>287.64</v>
      </c>
      <c r="I488" s="3">
        <v>1</v>
      </c>
      <c r="J488" s="3">
        <f t="shared" si="14"/>
        <v>287.64</v>
      </c>
      <c r="K488" s="4">
        <v>70.08</v>
      </c>
      <c r="L488" s="23">
        <f t="shared" si="15"/>
        <v>0.24363788068418857</v>
      </c>
      <c r="M488" s="7">
        <v>217.56</v>
      </c>
      <c r="N488" s="5" t="s">
        <v>692</v>
      </c>
      <c r="O488" s="5" t="s">
        <v>33</v>
      </c>
      <c r="P488" s="3">
        <v>8</v>
      </c>
      <c r="Q488" s="3">
        <v>7</v>
      </c>
      <c r="R488" s="5" t="b">
        <v>0</v>
      </c>
      <c r="S488" s="3">
        <v>9</v>
      </c>
      <c r="T488" s="3">
        <v>5</v>
      </c>
    </row>
    <row r="489" spans="1:20">
      <c r="A489" s="5" t="s">
        <v>1069</v>
      </c>
      <c r="B489" s="5" t="s">
        <v>1070</v>
      </c>
      <c r="C489" s="6">
        <v>44981</v>
      </c>
      <c r="D489" s="8">
        <v>22</v>
      </c>
      <c r="E489" s="5" t="s">
        <v>36</v>
      </c>
      <c r="F489" s="5" t="s">
        <v>59</v>
      </c>
      <c r="G489" s="5" t="s">
        <v>115</v>
      </c>
      <c r="H489" s="7">
        <v>42.67</v>
      </c>
      <c r="I489" s="3">
        <v>1</v>
      </c>
      <c r="J489" s="3">
        <f t="shared" si="14"/>
        <v>42.67</v>
      </c>
      <c r="K489" s="4">
        <v>0</v>
      </c>
      <c r="L489" s="23">
        <f t="shared" si="15"/>
        <v>0</v>
      </c>
      <c r="M489" s="7">
        <v>42.67</v>
      </c>
      <c r="N489" s="5" t="s">
        <v>692</v>
      </c>
      <c r="O489" s="5" t="s">
        <v>33</v>
      </c>
      <c r="P489" s="3">
        <v>15</v>
      </c>
      <c r="Q489" s="3">
        <v>10</v>
      </c>
      <c r="R489" s="5" t="b">
        <v>0</v>
      </c>
      <c r="S489" s="3">
        <v>3</v>
      </c>
      <c r="T489" s="3">
        <v>4</v>
      </c>
    </row>
    <row r="490" spans="1:20">
      <c r="A490" s="5" t="s">
        <v>245</v>
      </c>
      <c r="B490" s="5" t="s">
        <v>246</v>
      </c>
      <c r="C490" s="6">
        <v>45307</v>
      </c>
      <c r="D490" s="8">
        <v>55</v>
      </c>
      <c r="E490" s="5" t="s">
        <v>20</v>
      </c>
      <c r="F490" s="5" t="s">
        <v>59</v>
      </c>
      <c r="G490" s="5" t="s">
        <v>37</v>
      </c>
      <c r="H490" s="7">
        <v>162.56</v>
      </c>
      <c r="I490" s="3">
        <v>5</v>
      </c>
      <c r="J490" s="3">
        <f t="shared" si="14"/>
        <v>812.8</v>
      </c>
      <c r="K490" s="4">
        <v>0</v>
      </c>
      <c r="L490" s="23">
        <f t="shared" si="15"/>
        <v>0</v>
      </c>
      <c r="M490" s="7">
        <v>812.8</v>
      </c>
      <c r="N490" s="5" t="s">
        <v>23</v>
      </c>
      <c r="O490" s="5" t="s">
        <v>33</v>
      </c>
      <c r="P490" s="3">
        <v>15</v>
      </c>
      <c r="Q490" s="3">
        <v>14</v>
      </c>
      <c r="R490" s="5" t="b">
        <v>1</v>
      </c>
      <c r="S490" s="3">
        <v>5</v>
      </c>
      <c r="T490" s="3">
        <v>3</v>
      </c>
    </row>
    <row r="491" spans="1:20">
      <c r="A491" s="5" t="s">
        <v>1071</v>
      </c>
      <c r="B491" s="5" t="s">
        <v>1072</v>
      </c>
      <c r="C491" s="6">
        <v>45210</v>
      </c>
      <c r="D491" s="8">
        <v>45</v>
      </c>
      <c r="E491" s="5" t="s">
        <v>36</v>
      </c>
      <c r="F491" s="5" t="s">
        <v>52</v>
      </c>
      <c r="G491" s="5" t="s">
        <v>115</v>
      </c>
      <c r="H491" s="7">
        <v>140.83000000000001</v>
      </c>
      <c r="I491" s="3">
        <v>2</v>
      </c>
      <c r="J491" s="3">
        <f t="shared" si="14"/>
        <v>281.66000000000003</v>
      </c>
      <c r="K491" s="4">
        <v>29.09</v>
      </c>
      <c r="L491" s="23">
        <f t="shared" si="15"/>
        <v>0.10328055101895901</v>
      </c>
      <c r="M491" s="7">
        <v>252.57</v>
      </c>
      <c r="N491" s="5" t="s">
        <v>692</v>
      </c>
      <c r="O491" s="5" t="s">
        <v>33</v>
      </c>
      <c r="P491" s="3">
        <v>1</v>
      </c>
      <c r="Q491" s="3">
        <v>9</v>
      </c>
      <c r="R491" s="5" t="b">
        <v>0</v>
      </c>
      <c r="S491" s="3">
        <v>6</v>
      </c>
      <c r="T491" s="3">
        <v>5</v>
      </c>
    </row>
    <row r="492" spans="1:20">
      <c r="A492" s="5" t="s">
        <v>574</v>
      </c>
      <c r="B492" s="5" t="s">
        <v>575</v>
      </c>
      <c r="C492" s="6">
        <v>45006</v>
      </c>
      <c r="D492" s="8">
        <v>34</v>
      </c>
      <c r="E492" s="5" t="s">
        <v>20</v>
      </c>
      <c r="F492" s="5" t="s">
        <v>52</v>
      </c>
      <c r="G492" s="5" t="s">
        <v>28</v>
      </c>
      <c r="H492" s="7">
        <v>111.96</v>
      </c>
      <c r="I492" s="3">
        <v>1</v>
      </c>
      <c r="J492" s="3">
        <f t="shared" si="14"/>
        <v>111.96</v>
      </c>
      <c r="K492" s="4">
        <v>8.74</v>
      </c>
      <c r="L492" s="23">
        <f t="shared" si="15"/>
        <v>7.8063594140764567E-2</v>
      </c>
      <c r="M492" s="7">
        <v>103.22</v>
      </c>
      <c r="N492" s="5" t="s">
        <v>327</v>
      </c>
      <c r="O492" s="5" t="s">
        <v>33</v>
      </c>
      <c r="P492" s="3">
        <v>9</v>
      </c>
      <c r="Q492" s="3">
        <v>8</v>
      </c>
      <c r="R492" s="5" t="b">
        <v>0</v>
      </c>
      <c r="S492" s="3">
        <v>4</v>
      </c>
      <c r="T492" s="3">
        <v>5</v>
      </c>
    </row>
    <row r="493" spans="1:20">
      <c r="A493" s="5" t="s">
        <v>1073</v>
      </c>
      <c r="B493" s="5" t="s">
        <v>1074</v>
      </c>
      <c r="C493" s="6">
        <v>45066</v>
      </c>
      <c r="D493" s="8">
        <v>52</v>
      </c>
      <c r="E493" s="5" t="s">
        <v>20</v>
      </c>
      <c r="F493" s="5" t="s">
        <v>76</v>
      </c>
      <c r="G493" s="5" t="s">
        <v>28</v>
      </c>
      <c r="H493" s="7">
        <v>375.36</v>
      </c>
      <c r="I493" s="3">
        <v>2</v>
      </c>
      <c r="J493" s="3">
        <f t="shared" si="14"/>
        <v>750.72</v>
      </c>
      <c r="K493" s="4">
        <v>0</v>
      </c>
      <c r="L493" s="23">
        <f t="shared" si="15"/>
        <v>0</v>
      </c>
      <c r="M493" s="7">
        <v>750.72</v>
      </c>
      <c r="N493" s="5" t="s">
        <v>692</v>
      </c>
      <c r="O493" s="5" t="s">
        <v>24</v>
      </c>
      <c r="P493" s="3">
        <v>15</v>
      </c>
      <c r="Q493" s="3">
        <v>9</v>
      </c>
      <c r="R493" s="5" t="b">
        <v>0</v>
      </c>
      <c r="S493" s="3">
        <v>11</v>
      </c>
      <c r="T493" s="3">
        <v>3</v>
      </c>
    </row>
    <row r="494" spans="1:20">
      <c r="A494" s="5" t="s">
        <v>1075</v>
      </c>
      <c r="B494" s="5" t="s">
        <v>1076</v>
      </c>
      <c r="C494" s="6">
        <v>45071</v>
      </c>
      <c r="D494" s="8">
        <v>35</v>
      </c>
      <c r="E494" s="5" t="s">
        <v>36</v>
      </c>
      <c r="F494" s="5" t="s">
        <v>32</v>
      </c>
      <c r="G494" s="5" t="s">
        <v>22</v>
      </c>
      <c r="H494" s="7">
        <v>318</v>
      </c>
      <c r="I494" s="3">
        <v>1</v>
      </c>
      <c r="J494" s="3">
        <f t="shared" si="14"/>
        <v>318</v>
      </c>
      <c r="K494" s="4">
        <v>0</v>
      </c>
      <c r="L494" s="23">
        <f t="shared" si="15"/>
        <v>0</v>
      </c>
      <c r="M494" s="7">
        <v>318</v>
      </c>
      <c r="N494" s="5" t="s">
        <v>692</v>
      </c>
      <c r="O494" s="5" t="s">
        <v>33</v>
      </c>
      <c r="P494" s="3">
        <v>32</v>
      </c>
      <c r="Q494" s="3">
        <v>11</v>
      </c>
      <c r="R494" s="5" t="b">
        <v>0</v>
      </c>
      <c r="S494" s="3">
        <v>3</v>
      </c>
      <c r="T494" s="3">
        <v>2</v>
      </c>
    </row>
    <row r="495" spans="1:20">
      <c r="A495" s="5" t="s">
        <v>576</v>
      </c>
      <c r="B495" s="5" t="s">
        <v>577</v>
      </c>
      <c r="C495" s="6">
        <v>45236</v>
      </c>
      <c r="D495" s="8">
        <v>24</v>
      </c>
      <c r="E495" s="5" t="s">
        <v>20</v>
      </c>
      <c r="F495" s="5" t="s">
        <v>32</v>
      </c>
      <c r="G495" s="5" t="s">
        <v>53</v>
      </c>
      <c r="H495" s="7">
        <v>46.29</v>
      </c>
      <c r="I495" s="3">
        <v>1</v>
      </c>
      <c r="J495" s="3">
        <f t="shared" si="14"/>
        <v>46.29</v>
      </c>
      <c r="K495" s="4">
        <v>0</v>
      </c>
      <c r="L495" s="23">
        <f t="shared" si="15"/>
        <v>0</v>
      </c>
      <c r="M495" s="7">
        <v>46.29</v>
      </c>
      <c r="N495" s="5" t="s">
        <v>327</v>
      </c>
      <c r="O495" s="5" t="s">
        <v>33</v>
      </c>
      <c r="P495" s="3">
        <v>5</v>
      </c>
      <c r="Q495" s="3">
        <v>7</v>
      </c>
      <c r="R495" s="5" t="b">
        <v>0</v>
      </c>
      <c r="S495" s="3">
        <v>4</v>
      </c>
      <c r="T495" s="3">
        <v>5</v>
      </c>
    </row>
    <row r="496" spans="1:20">
      <c r="A496" s="5" t="s">
        <v>1077</v>
      </c>
      <c r="B496" s="5" t="s">
        <v>1078</v>
      </c>
      <c r="C496" s="6">
        <v>45034</v>
      </c>
      <c r="D496" s="8">
        <v>53</v>
      </c>
      <c r="E496" s="5" t="s">
        <v>36</v>
      </c>
      <c r="F496" s="5" t="s">
        <v>21</v>
      </c>
      <c r="G496" s="5" t="s">
        <v>37</v>
      </c>
      <c r="H496" s="7">
        <v>82.32</v>
      </c>
      <c r="I496" s="3">
        <v>1</v>
      </c>
      <c r="J496" s="3">
        <f t="shared" si="14"/>
        <v>82.32</v>
      </c>
      <c r="K496" s="4">
        <v>0</v>
      </c>
      <c r="L496" s="23">
        <f t="shared" si="15"/>
        <v>0</v>
      </c>
      <c r="M496" s="7">
        <v>82.32</v>
      </c>
      <c r="N496" s="5" t="s">
        <v>692</v>
      </c>
      <c r="O496" s="5" t="s">
        <v>24</v>
      </c>
      <c r="P496" s="3">
        <v>16</v>
      </c>
      <c r="Q496" s="3">
        <v>10</v>
      </c>
      <c r="R496" s="5" t="b">
        <v>1</v>
      </c>
      <c r="S496" s="3">
        <v>4</v>
      </c>
      <c r="T496" s="3">
        <v>4</v>
      </c>
    </row>
    <row r="497" spans="1:20">
      <c r="A497" s="5" t="s">
        <v>247</v>
      </c>
      <c r="B497" s="5" t="s">
        <v>248</v>
      </c>
      <c r="C497" s="6">
        <v>45294</v>
      </c>
      <c r="D497" s="8">
        <v>41</v>
      </c>
      <c r="E497" s="5" t="s">
        <v>20</v>
      </c>
      <c r="F497" s="5" t="s">
        <v>59</v>
      </c>
      <c r="G497" s="5" t="s">
        <v>64</v>
      </c>
      <c r="H497" s="7">
        <v>734.28</v>
      </c>
      <c r="I497" s="3">
        <v>2</v>
      </c>
      <c r="J497" s="3">
        <f t="shared" si="14"/>
        <v>1468.56</v>
      </c>
      <c r="K497" s="4">
        <v>0</v>
      </c>
      <c r="L497" s="23">
        <f t="shared" si="15"/>
        <v>0</v>
      </c>
      <c r="M497" s="7">
        <v>1468.56</v>
      </c>
      <c r="N497" s="5" t="s">
        <v>23</v>
      </c>
      <c r="O497" s="5" t="s">
        <v>24</v>
      </c>
      <c r="P497" s="3">
        <v>18</v>
      </c>
      <c r="Q497" s="3">
        <v>5</v>
      </c>
      <c r="R497" s="5" t="b">
        <v>1</v>
      </c>
      <c r="S497" s="3">
        <v>9</v>
      </c>
      <c r="T497" s="3">
        <v>3</v>
      </c>
    </row>
    <row r="498" spans="1:20">
      <c r="A498" s="5" t="s">
        <v>249</v>
      </c>
      <c r="B498" s="5" t="s">
        <v>250</v>
      </c>
      <c r="C498" s="6">
        <v>45102</v>
      </c>
      <c r="D498" s="8">
        <v>22</v>
      </c>
      <c r="E498" s="5" t="s">
        <v>36</v>
      </c>
      <c r="F498" s="5" t="s">
        <v>27</v>
      </c>
      <c r="G498" s="5" t="s">
        <v>64</v>
      </c>
      <c r="H498" s="7">
        <v>2148.3200000000002</v>
      </c>
      <c r="I498" s="3">
        <v>2</v>
      </c>
      <c r="J498" s="3">
        <f t="shared" si="14"/>
        <v>4296.6400000000003</v>
      </c>
      <c r="K498" s="4">
        <v>0</v>
      </c>
      <c r="L498" s="23">
        <f t="shared" si="15"/>
        <v>0</v>
      </c>
      <c r="M498" s="7">
        <v>4296.6400000000003</v>
      </c>
      <c r="N498" s="5" t="s">
        <v>23</v>
      </c>
      <c r="O498" s="5" t="s">
        <v>24</v>
      </c>
      <c r="P498" s="3">
        <v>28</v>
      </c>
      <c r="Q498" s="3">
        <v>8</v>
      </c>
      <c r="R498" s="5" t="b">
        <v>1</v>
      </c>
      <c r="S498" s="3">
        <v>6</v>
      </c>
      <c r="T498" s="3">
        <v>5</v>
      </c>
    </row>
    <row r="499" spans="1:20">
      <c r="A499" s="5" t="s">
        <v>1395</v>
      </c>
      <c r="B499" s="5" t="s">
        <v>1396</v>
      </c>
      <c r="C499" s="6">
        <v>45031</v>
      </c>
      <c r="D499" s="8">
        <v>32</v>
      </c>
      <c r="E499" s="5" t="s">
        <v>36</v>
      </c>
      <c r="F499" s="5" t="s">
        <v>76</v>
      </c>
      <c r="G499" s="5" t="s">
        <v>22</v>
      </c>
      <c r="H499" s="7">
        <v>669.82</v>
      </c>
      <c r="I499" s="3">
        <v>1</v>
      </c>
      <c r="J499" s="3">
        <f t="shared" si="14"/>
        <v>669.82</v>
      </c>
      <c r="K499" s="4">
        <v>0</v>
      </c>
      <c r="L499" s="23">
        <f t="shared" si="15"/>
        <v>0</v>
      </c>
      <c r="M499" s="7">
        <v>669.82</v>
      </c>
      <c r="N499" s="5" t="s">
        <v>1298</v>
      </c>
      <c r="O499" s="5" t="s">
        <v>24</v>
      </c>
      <c r="P499" s="3">
        <v>9</v>
      </c>
      <c r="Q499" s="3">
        <v>9</v>
      </c>
      <c r="R499" s="5" t="b">
        <v>1</v>
      </c>
      <c r="S499" s="3">
        <v>8</v>
      </c>
      <c r="T499" s="3">
        <v>5</v>
      </c>
    </row>
    <row r="500" spans="1:20">
      <c r="A500" s="5" t="s">
        <v>1079</v>
      </c>
      <c r="B500" s="5" t="s">
        <v>1080</v>
      </c>
      <c r="C500" s="6">
        <v>45278</v>
      </c>
      <c r="D500" s="8">
        <v>24</v>
      </c>
      <c r="E500" s="5" t="s">
        <v>36</v>
      </c>
      <c r="F500" s="5" t="s">
        <v>73</v>
      </c>
      <c r="G500" s="5" t="s">
        <v>56</v>
      </c>
      <c r="H500" s="7">
        <v>524.52</v>
      </c>
      <c r="I500" s="3">
        <v>1</v>
      </c>
      <c r="J500" s="3">
        <f t="shared" si="14"/>
        <v>524.52</v>
      </c>
      <c r="K500" s="4">
        <v>0</v>
      </c>
      <c r="L500" s="23">
        <f t="shared" si="15"/>
        <v>0</v>
      </c>
      <c r="M500" s="7">
        <v>524.52</v>
      </c>
      <c r="N500" s="5" t="s">
        <v>692</v>
      </c>
      <c r="O500" s="5" t="s">
        <v>24</v>
      </c>
      <c r="P500" s="3">
        <v>6</v>
      </c>
      <c r="Q500" s="3">
        <v>11</v>
      </c>
      <c r="R500" s="5" t="b">
        <v>1</v>
      </c>
      <c r="S500" s="3">
        <v>6</v>
      </c>
      <c r="T500" s="3">
        <v>4</v>
      </c>
    </row>
    <row r="501" spans="1:20">
      <c r="A501" s="5" t="s">
        <v>578</v>
      </c>
      <c r="B501" s="5" t="s">
        <v>579</v>
      </c>
      <c r="C501" s="6">
        <v>45251</v>
      </c>
      <c r="D501" s="8">
        <v>18</v>
      </c>
      <c r="E501" s="5" t="s">
        <v>20</v>
      </c>
      <c r="F501" s="5" t="s">
        <v>32</v>
      </c>
      <c r="G501" s="5" t="s">
        <v>37</v>
      </c>
      <c r="H501" s="7">
        <v>48.17</v>
      </c>
      <c r="I501" s="3">
        <v>2</v>
      </c>
      <c r="J501" s="3">
        <f t="shared" si="14"/>
        <v>96.34</v>
      </c>
      <c r="K501" s="4">
        <v>0</v>
      </c>
      <c r="L501" s="23">
        <f t="shared" si="15"/>
        <v>0</v>
      </c>
      <c r="M501" s="7">
        <v>96.34</v>
      </c>
      <c r="N501" s="5" t="s">
        <v>327</v>
      </c>
      <c r="O501" s="5" t="s">
        <v>29</v>
      </c>
      <c r="P501" s="3">
        <v>9</v>
      </c>
      <c r="Q501" s="3">
        <v>9</v>
      </c>
      <c r="R501" s="5" t="b">
        <v>0</v>
      </c>
      <c r="S501" s="3">
        <v>7</v>
      </c>
      <c r="T501" s="3">
        <v>5</v>
      </c>
    </row>
    <row r="502" spans="1:20">
      <c r="A502" s="5" t="s">
        <v>1397</v>
      </c>
      <c r="B502" s="5" t="s">
        <v>1398</v>
      </c>
      <c r="C502" s="6">
        <v>45363</v>
      </c>
      <c r="D502" s="8">
        <v>46</v>
      </c>
      <c r="E502" s="5" t="s">
        <v>20</v>
      </c>
      <c r="F502" s="5" t="s">
        <v>73</v>
      </c>
      <c r="G502" s="5" t="s">
        <v>46</v>
      </c>
      <c r="H502" s="7">
        <v>725.33</v>
      </c>
      <c r="I502" s="3">
        <v>5</v>
      </c>
      <c r="J502" s="3">
        <f t="shared" si="14"/>
        <v>3626.65</v>
      </c>
      <c r="K502" s="4">
        <v>0</v>
      </c>
      <c r="L502" s="23">
        <f t="shared" si="15"/>
        <v>0</v>
      </c>
      <c r="M502" s="7">
        <v>3626.65</v>
      </c>
      <c r="N502" s="5" t="s">
        <v>1298</v>
      </c>
      <c r="O502" s="5" t="s">
        <v>24</v>
      </c>
      <c r="P502" s="3">
        <v>12</v>
      </c>
      <c r="Q502" s="3">
        <v>7</v>
      </c>
      <c r="R502" s="5" t="b">
        <v>0</v>
      </c>
      <c r="S502" s="3">
        <v>4</v>
      </c>
      <c r="T502" s="3">
        <v>5</v>
      </c>
    </row>
    <row r="503" spans="1:20">
      <c r="A503" s="5" t="s">
        <v>251</v>
      </c>
      <c r="B503" s="5" t="s">
        <v>252</v>
      </c>
      <c r="C503" s="6">
        <v>45062</v>
      </c>
      <c r="D503" s="8">
        <v>57</v>
      </c>
      <c r="E503" s="5" t="s">
        <v>36</v>
      </c>
      <c r="F503" s="5" t="s">
        <v>27</v>
      </c>
      <c r="G503" s="5" t="s">
        <v>56</v>
      </c>
      <c r="H503" s="7">
        <v>423.12</v>
      </c>
      <c r="I503" s="3">
        <v>2</v>
      </c>
      <c r="J503" s="3">
        <f t="shared" si="14"/>
        <v>846.24</v>
      </c>
      <c r="K503" s="4">
        <v>0</v>
      </c>
      <c r="L503" s="23">
        <f t="shared" si="15"/>
        <v>0</v>
      </c>
      <c r="M503" s="7">
        <v>846.24</v>
      </c>
      <c r="N503" s="5" t="s">
        <v>23</v>
      </c>
      <c r="O503" s="5" t="s">
        <v>24</v>
      </c>
      <c r="P503" s="3">
        <v>17</v>
      </c>
      <c r="Q503" s="3">
        <v>12</v>
      </c>
      <c r="R503" s="5" t="b">
        <v>1</v>
      </c>
      <c r="S503" s="3">
        <v>7</v>
      </c>
      <c r="T503" s="3">
        <v>5</v>
      </c>
    </row>
    <row r="504" spans="1:20">
      <c r="A504" s="5" t="s">
        <v>1081</v>
      </c>
      <c r="B504" s="5" t="s">
        <v>1082</v>
      </c>
      <c r="C504" s="6">
        <v>45185</v>
      </c>
      <c r="D504" s="8">
        <v>18</v>
      </c>
      <c r="E504" s="5" t="s">
        <v>20</v>
      </c>
      <c r="F504" s="5" t="s">
        <v>32</v>
      </c>
      <c r="G504" s="5" t="s">
        <v>64</v>
      </c>
      <c r="H504" s="7">
        <v>725.66</v>
      </c>
      <c r="I504" s="3">
        <v>2</v>
      </c>
      <c r="J504" s="3">
        <f t="shared" si="14"/>
        <v>1451.32</v>
      </c>
      <c r="K504" s="4">
        <v>0</v>
      </c>
      <c r="L504" s="23">
        <f t="shared" si="15"/>
        <v>0</v>
      </c>
      <c r="M504" s="7">
        <v>1451.32</v>
      </c>
      <c r="N504" s="5" t="s">
        <v>692</v>
      </c>
      <c r="O504" s="5" t="s">
        <v>29</v>
      </c>
      <c r="P504" s="3">
        <v>25</v>
      </c>
      <c r="Q504" s="3">
        <v>10</v>
      </c>
      <c r="R504" s="5" t="b">
        <v>0</v>
      </c>
      <c r="S504" s="3">
        <v>9</v>
      </c>
      <c r="T504" s="3">
        <v>3</v>
      </c>
    </row>
    <row r="505" spans="1:20">
      <c r="A505" s="5" t="s">
        <v>580</v>
      </c>
      <c r="B505" s="5" t="s">
        <v>581</v>
      </c>
      <c r="C505" s="6">
        <v>45177</v>
      </c>
      <c r="D505" s="8">
        <v>41</v>
      </c>
      <c r="E505" s="5" t="s">
        <v>36</v>
      </c>
      <c r="F505" s="5" t="s">
        <v>32</v>
      </c>
      <c r="G505" s="5" t="s">
        <v>28</v>
      </c>
      <c r="H505" s="7">
        <v>43.88</v>
      </c>
      <c r="I505" s="3">
        <v>1</v>
      </c>
      <c r="J505" s="3">
        <f t="shared" si="14"/>
        <v>43.88</v>
      </c>
      <c r="K505" s="4">
        <v>0</v>
      </c>
      <c r="L505" s="23">
        <f t="shared" si="15"/>
        <v>0</v>
      </c>
      <c r="M505" s="7">
        <v>43.88</v>
      </c>
      <c r="N505" s="5" t="s">
        <v>327</v>
      </c>
      <c r="O505" s="5" t="s">
        <v>33</v>
      </c>
      <c r="P505" s="3">
        <v>18</v>
      </c>
      <c r="Q505" s="3">
        <v>10</v>
      </c>
      <c r="R505" s="5" t="b">
        <v>1</v>
      </c>
      <c r="S505" s="3">
        <v>3</v>
      </c>
      <c r="T505" s="3">
        <v>4</v>
      </c>
    </row>
    <row r="506" spans="1:20">
      <c r="A506" s="5" t="s">
        <v>1399</v>
      </c>
      <c r="B506" s="5" t="s">
        <v>1400</v>
      </c>
      <c r="C506" s="6">
        <v>45055</v>
      </c>
      <c r="D506" s="8">
        <v>27</v>
      </c>
      <c r="E506" s="5" t="s">
        <v>36</v>
      </c>
      <c r="F506" s="5" t="s">
        <v>32</v>
      </c>
      <c r="G506" s="5" t="s">
        <v>37</v>
      </c>
      <c r="H506" s="7">
        <v>133</v>
      </c>
      <c r="I506" s="3">
        <v>2</v>
      </c>
      <c r="J506" s="3">
        <f t="shared" si="14"/>
        <v>266</v>
      </c>
      <c r="K506" s="4">
        <v>0</v>
      </c>
      <c r="L506" s="23">
        <f t="shared" si="15"/>
        <v>0</v>
      </c>
      <c r="M506" s="7">
        <v>266</v>
      </c>
      <c r="N506" s="5" t="s">
        <v>1298</v>
      </c>
      <c r="O506" s="5" t="s">
        <v>24</v>
      </c>
      <c r="P506" s="3">
        <v>8</v>
      </c>
      <c r="Q506" s="3">
        <v>9</v>
      </c>
      <c r="R506" s="5" t="b">
        <v>1</v>
      </c>
      <c r="S506" s="3">
        <v>5</v>
      </c>
      <c r="T506" s="3">
        <v>2</v>
      </c>
    </row>
    <row r="507" spans="1:20">
      <c r="A507" s="5" t="s">
        <v>582</v>
      </c>
      <c r="B507" s="5" t="s">
        <v>583</v>
      </c>
      <c r="C507" s="6">
        <v>45360</v>
      </c>
      <c r="D507" s="8">
        <v>29</v>
      </c>
      <c r="E507" s="5" t="s">
        <v>20</v>
      </c>
      <c r="F507" s="5" t="s">
        <v>73</v>
      </c>
      <c r="G507" s="5" t="s">
        <v>28</v>
      </c>
      <c r="H507" s="7">
        <v>314.54000000000002</v>
      </c>
      <c r="I507" s="3">
        <v>4</v>
      </c>
      <c r="J507" s="3">
        <f t="shared" si="14"/>
        <v>1258.1600000000001</v>
      </c>
      <c r="K507" s="4">
        <v>0</v>
      </c>
      <c r="L507" s="23">
        <f t="shared" si="15"/>
        <v>0</v>
      </c>
      <c r="M507" s="7">
        <v>1258.1600000000001</v>
      </c>
      <c r="N507" s="5" t="s">
        <v>327</v>
      </c>
      <c r="O507" s="5" t="s">
        <v>24</v>
      </c>
      <c r="P507" s="3">
        <v>13</v>
      </c>
      <c r="Q507" s="3">
        <v>8</v>
      </c>
      <c r="R507" s="5" t="b">
        <v>1</v>
      </c>
      <c r="S507" s="3">
        <v>7</v>
      </c>
      <c r="T507" s="3">
        <v>4</v>
      </c>
    </row>
    <row r="508" spans="1:20">
      <c r="A508" s="5" t="s">
        <v>253</v>
      </c>
      <c r="B508" s="5" t="s">
        <v>254</v>
      </c>
      <c r="C508" s="6">
        <v>44953</v>
      </c>
      <c r="D508" s="8">
        <v>27</v>
      </c>
      <c r="E508" s="5" t="s">
        <v>20</v>
      </c>
      <c r="F508" s="5" t="s">
        <v>88</v>
      </c>
      <c r="G508" s="5" t="s">
        <v>64</v>
      </c>
      <c r="H508" s="7">
        <v>503.88</v>
      </c>
      <c r="I508" s="3">
        <v>5</v>
      </c>
      <c r="J508" s="3">
        <f t="shared" si="14"/>
        <v>2519.4</v>
      </c>
      <c r="K508" s="4">
        <v>0</v>
      </c>
      <c r="L508" s="23">
        <f t="shared" si="15"/>
        <v>0</v>
      </c>
      <c r="M508" s="7">
        <v>2519.4</v>
      </c>
      <c r="N508" s="5" t="s">
        <v>23</v>
      </c>
      <c r="O508" s="5" t="s">
        <v>24</v>
      </c>
      <c r="P508" s="3">
        <v>14</v>
      </c>
      <c r="Q508" s="3">
        <v>4</v>
      </c>
      <c r="R508" s="5" t="b">
        <v>1</v>
      </c>
      <c r="S508" s="3">
        <v>7</v>
      </c>
      <c r="T508" s="3">
        <v>5</v>
      </c>
    </row>
    <row r="509" spans="1:20">
      <c r="A509" s="5" t="s">
        <v>584</v>
      </c>
      <c r="B509" s="5" t="s">
        <v>585</v>
      </c>
      <c r="C509" s="6">
        <v>44974</v>
      </c>
      <c r="D509" s="8">
        <v>24</v>
      </c>
      <c r="E509" s="5" t="s">
        <v>20</v>
      </c>
      <c r="F509" s="5" t="s">
        <v>49</v>
      </c>
      <c r="G509" s="5" t="s">
        <v>53</v>
      </c>
      <c r="H509" s="7">
        <v>40.43</v>
      </c>
      <c r="I509" s="3">
        <v>1</v>
      </c>
      <c r="J509" s="3">
        <f t="shared" si="14"/>
        <v>40.43</v>
      </c>
      <c r="K509" s="4">
        <v>0</v>
      </c>
      <c r="L509" s="23">
        <f t="shared" si="15"/>
        <v>0</v>
      </c>
      <c r="M509" s="7">
        <v>40.43</v>
      </c>
      <c r="N509" s="5" t="s">
        <v>327</v>
      </c>
      <c r="O509" s="5" t="s">
        <v>33</v>
      </c>
      <c r="P509" s="3">
        <v>16</v>
      </c>
      <c r="Q509" s="3">
        <v>7</v>
      </c>
      <c r="R509" s="5" t="b">
        <v>1</v>
      </c>
      <c r="S509" s="3">
        <v>3</v>
      </c>
      <c r="T509" s="3">
        <v>5</v>
      </c>
    </row>
    <row r="510" spans="1:20">
      <c r="A510" s="5" t="s">
        <v>1083</v>
      </c>
      <c r="B510" s="5" t="s">
        <v>1084</v>
      </c>
      <c r="C510" s="6">
        <v>45251</v>
      </c>
      <c r="D510" s="8">
        <v>35</v>
      </c>
      <c r="E510" s="5" t="s">
        <v>36</v>
      </c>
      <c r="F510" s="5" t="s">
        <v>83</v>
      </c>
      <c r="G510" s="5" t="s">
        <v>56</v>
      </c>
      <c r="H510" s="7">
        <v>490.05</v>
      </c>
      <c r="I510" s="3">
        <v>1</v>
      </c>
      <c r="J510" s="3">
        <f t="shared" si="14"/>
        <v>490.05</v>
      </c>
      <c r="K510" s="4">
        <v>0</v>
      </c>
      <c r="L510" s="23">
        <f t="shared" si="15"/>
        <v>0</v>
      </c>
      <c r="M510" s="7">
        <v>490.05</v>
      </c>
      <c r="N510" s="5" t="s">
        <v>692</v>
      </c>
      <c r="O510" s="5" t="s">
        <v>33</v>
      </c>
      <c r="P510" s="3">
        <v>12</v>
      </c>
      <c r="Q510" s="3">
        <v>6</v>
      </c>
      <c r="R510" s="5" t="b">
        <v>1</v>
      </c>
      <c r="S510" s="3">
        <v>12</v>
      </c>
      <c r="T510" s="3">
        <v>5</v>
      </c>
    </row>
    <row r="511" spans="1:20">
      <c r="A511" s="5" t="s">
        <v>1085</v>
      </c>
      <c r="B511" s="5" t="s">
        <v>1086</v>
      </c>
      <c r="C511" s="6">
        <v>45143</v>
      </c>
      <c r="D511" s="8">
        <v>25</v>
      </c>
      <c r="E511" s="5" t="s">
        <v>20</v>
      </c>
      <c r="F511" s="5" t="s">
        <v>32</v>
      </c>
      <c r="G511" s="5" t="s">
        <v>46</v>
      </c>
      <c r="H511" s="7">
        <v>239.25</v>
      </c>
      <c r="I511" s="3">
        <v>3</v>
      </c>
      <c r="J511" s="3">
        <f t="shared" si="14"/>
        <v>717.75</v>
      </c>
      <c r="K511" s="4">
        <v>0</v>
      </c>
      <c r="L511" s="23">
        <f t="shared" si="15"/>
        <v>0</v>
      </c>
      <c r="M511" s="7">
        <v>717.75</v>
      </c>
      <c r="N511" s="5" t="s">
        <v>692</v>
      </c>
      <c r="O511" s="5" t="s">
        <v>33</v>
      </c>
      <c r="P511" s="3">
        <v>17</v>
      </c>
      <c r="Q511" s="3">
        <v>8</v>
      </c>
      <c r="R511" s="5" t="b">
        <v>1</v>
      </c>
      <c r="S511" s="3">
        <v>5</v>
      </c>
      <c r="T511" s="3">
        <v>4</v>
      </c>
    </row>
    <row r="512" spans="1:20">
      <c r="A512" s="5" t="s">
        <v>1087</v>
      </c>
      <c r="B512" s="5" t="s">
        <v>1088</v>
      </c>
      <c r="C512" s="6">
        <v>45351</v>
      </c>
      <c r="D512" s="8">
        <v>38</v>
      </c>
      <c r="E512" s="5" t="s">
        <v>20</v>
      </c>
      <c r="F512" s="5" t="s">
        <v>88</v>
      </c>
      <c r="G512" s="5" t="s">
        <v>53</v>
      </c>
      <c r="H512" s="7">
        <v>112.45</v>
      </c>
      <c r="I512" s="3">
        <v>3</v>
      </c>
      <c r="J512" s="3">
        <f t="shared" si="14"/>
        <v>337.35</v>
      </c>
      <c r="K512" s="4">
        <v>0</v>
      </c>
      <c r="L512" s="23">
        <f t="shared" si="15"/>
        <v>0</v>
      </c>
      <c r="M512" s="7">
        <v>337.35</v>
      </c>
      <c r="N512" s="5" t="s">
        <v>692</v>
      </c>
      <c r="O512" s="5" t="s">
        <v>24</v>
      </c>
      <c r="P512" s="3">
        <v>10</v>
      </c>
      <c r="Q512" s="3">
        <v>11</v>
      </c>
      <c r="R512" s="5" t="b">
        <v>1</v>
      </c>
      <c r="S512" s="3">
        <v>5</v>
      </c>
      <c r="T512" s="3">
        <v>5</v>
      </c>
    </row>
    <row r="513" spans="1:20">
      <c r="A513" s="5" t="s">
        <v>1089</v>
      </c>
      <c r="B513" s="5" t="s">
        <v>1090</v>
      </c>
      <c r="C513" s="6">
        <v>45068</v>
      </c>
      <c r="D513" s="8">
        <v>34</v>
      </c>
      <c r="E513" s="5" t="s">
        <v>20</v>
      </c>
      <c r="F513" s="5" t="s">
        <v>59</v>
      </c>
      <c r="G513" s="5" t="s">
        <v>46</v>
      </c>
      <c r="H513" s="7">
        <v>122.1</v>
      </c>
      <c r="I513" s="3">
        <v>1</v>
      </c>
      <c r="J513" s="3">
        <f t="shared" si="14"/>
        <v>122.1</v>
      </c>
      <c r="K513" s="4">
        <v>0</v>
      </c>
      <c r="L513" s="23">
        <f t="shared" si="15"/>
        <v>0</v>
      </c>
      <c r="M513" s="7">
        <v>122.1</v>
      </c>
      <c r="N513" s="5" t="s">
        <v>692</v>
      </c>
      <c r="O513" s="5" t="s">
        <v>33</v>
      </c>
      <c r="P513" s="3">
        <v>28</v>
      </c>
      <c r="Q513" s="3">
        <v>9</v>
      </c>
      <c r="R513" s="5" t="b">
        <v>0</v>
      </c>
      <c r="S513" s="3">
        <v>17</v>
      </c>
      <c r="T513" s="3">
        <v>4</v>
      </c>
    </row>
    <row r="514" spans="1:20">
      <c r="A514" s="5" t="s">
        <v>1401</v>
      </c>
      <c r="B514" s="5" t="s">
        <v>1402</v>
      </c>
      <c r="C514" s="6">
        <v>44949</v>
      </c>
      <c r="D514" s="8">
        <v>32</v>
      </c>
      <c r="E514" s="5" t="s">
        <v>36</v>
      </c>
      <c r="F514" s="5" t="s">
        <v>52</v>
      </c>
      <c r="G514" s="5" t="s">
        <v>53</v>
      </c>
      <c r="H514" s="7">
        <v>63.89</v>
      </c>
      <c r="I514" s="3">
        <v>2</v>
      </c>
      <c r="J514" s="3">
        <f t="shared" si="14"/>
        <v>127.78</v>
      </c>
      <c r="K514" s="4">
        <v>11.91</v>
      </c>
      <c r="L514" s="23">
        <f t="shared" si="15"/>
        <v>9.3207074659571135E-2</v>
      </c>
      <c r="M514" s="7">
        <v>115.87</v>
      </c>
      <c r="N514" s="5" t="s">
        <v>1298</v>
      </c>
      <c r="O514" s="5" t="s">
        <v>29</v>
      </c>
      <c r="P514" s="3">
        <v>21</v>
      </c>
      <c r="Q514" s="3">
        <v>13</v>
      </c>
      <c r="R514" s="5" t="b">
        <v>1</v>
      </c>
      <c r="S514" s="3">
        <v>7</v>
      </c>
      <c r="T514" s="3">
        <v>1</v>
      </c>
    </row>
    <row r="515" spans="1:20">
      <c r="A515" s="5" t="s">
        <v>255</v>
      </c>
      <c r="B515" s="5" t="s">
        <v>256</v>
      </c>
      <c r="C515" s="6">
        <v>44928</v>
      </c>
      <c r="D515" s="8">
        <v>24</v>
      </c>
      <c r="E515" s="5" t="s">
        <v>20</v>
      </c>
      <c r="F515" s="5" t="s">
        <v>83</v>
      </c>
      <c r="G515" s="5" t="s">
        <v>56</v>
      </c>
      <c r="H515" s="7">
        <v>897.02</v>
      </c>
      <c r="I515" s="3">
        <v>5</v>
      </c>
      <c r="J515" s="3">
        <f t="shared" ref="J515:J578" si="16">H515*I515</f>
        <v>4485.1000000000004</v>
      </c>
      <c r="K515" s="4">
        <v>0</v>
      </c>
      <c r="L515" s="23">
        <f t="shared" ref="L515:L578" si="17">IF(J515=0,0,K515/J515)</f>
        <v>0</v>
      </c>
      <c r="M515" s="7">
        <v>4485.1000000000004</v>
      </c>
      <c r="N515" s="5" t="s">
        <v>23</v>
      </c>
      <c r="O515" s="5" t="s">
        <v>24</v>
      </c>
      <c r="P515" s="3">
        <v>17</v>
      </c>
      <c r="Q515" s="3">
        <v>7</v>
      </c>
      <c r="R515" s="5" t="b">
        <v>1</v>
      </c>
      <c r="S515" s="3">
        <v>8</v>
      </c>
      <c r="T515" s="3">
        <v>4</v>
      </c>
    </row>
    <row r="516" spans="1:20">
      <c r="A516" s="5" t="s">
        <v>257</v>
      </c>
      <c r="B516" s="5" t="s">
        <v>258</v>
      </c>
      <c r="C516" s="6">
        <v>45097</v>
      </c>
      <c r="D516" s="8">
        <v>28</v>
      </c>
      <c r="E516" s="5" t="s">
        <v>20</v>
      </c>
      <c r="F516" s="5" t="s">
        <v>52</v>
      </c>
      <c r="G516" s="5" t="s">
        <v>64</v>
      </c>
      <c r="H516" s="7">
        <v>764.24</v>
      </c>
      <c r="I516" s="3">
        <v>2</v>
      </c>
      <c r="J516" s="3">
        <f t="shared" si="16"/>
        <v>1528.48</v>
      </c>
      <c r="K516" s="4">
        <v>0</v>
      </c>
      <c r="L516" s="23">
        <f t="shared" si="17"/>
        <v>0</v>
      </c>
      <c r="M516" s="7">
        <v>1528.48</v>
      </c>
      <c r="N516" s="5" t="s">
        <v>23</v>
      </c>
      <c r="O516" s="5" t="s">
        <v>33</v>
      </c>
      <c r="P516" s="3">
        <v>11</v>
      </c>
      <c r="Q516" s="3">
        <v>2</v>
      </c>
      <c r="R516" s="5" t="b">
        <v>1</v>
      </c>
      <c r="S516" s="3">
        <v>6</v>
      </c>
      <c r="T516" s="3">
        <v>4</v>
      </c>
    </row>
    <row r="517" spans="1:20">
      <c r="A517" s="5" t="s">
        <v>586</v>
      </c>
      <c r="B517" s="5" t="s">
        <v>587</v>
      </c>
      <c r="C517" s="6">
        <v>45321</v>
      </c>
      <c r="D517" s="8">
        <v>44</v>
      </c>
      <c r="E517" s="5" t="s">
        <v>36</v>
      </c>
      <c r="F517" s="5" t="s">
        <v>88</v>
      </c>
      <c r="G517" s="5" t="s">
        <v>46</v>
      </c>
      <c r="H517" s="7">
        <v>193.85</v>
      </c>
      <c r="I517" s="3">
        <v>4</v>
      </c>
      <c r="J517" s="3">
        <f t="shared" si="16"/>
        <v>775.4</v>
      </c>
      <c r="K517" s="4">
        <v>44.4</v>
      </c>
      <c r="L517" s="23">
        <f t="shared" si="17"/>
        <v>5.7260768635542948E-2</v>
      </c>
      <c r="M517" s="7">
        <v>731</v>
      </c>
      <c r="N517" s="5" t="s">
        <v>327</v>
      </c>
      <c r="O517" s="5" t="s">
        <v>24</v>
      </c>
      <c r="P517" s="3">
        <v>14</v>
      </c>
      <c r="Q517" s="3">
        <v>11</v>
      </c>
      <c r="R517" s="5" t="b">
        <v>0</v>
      </c>
      <c r="S517" s="3">
        <v>6</v>
      </c>
      <c r="T517" s="3">
        <v>3</v>
      </c>
    </row>
    <row r="518" spans="1:20">
      <c r="A518" s="5" t="s">
        <v>1091</v>
      </c>
      <c r="B518" s="5" t="s">
        <v>1092</v>
      </c>
      <c r="C518" s="6">
        <v>44993</v>
      </c>
      <c r="D518" s="8">
        <v>41</v>
      </c>
      <c r="E518" s="5" t="s">
        <v>36</v>
      </c>
      <c r="F518" s="5" t="s">
        <v>88</v>
      </c>
      <c r="G518" s="5" t="s">
        <v>115</v>
      </c>
      <c r="H518" s="7">
        <v>37.49</v>
      </c>
      <c r="I518" s="3">
        <v>5</v>
      </c>
      <c r="J518" s="3">
        <f t="shared" si="16"/>
        <v>187.45000000000002</v>
      </c>
      <c r="K518" s="4">
        <v>0</v>
      </c>
      <c r="L518" s="23">
        <f t="shared" si="17"/>
        <v>0</v>
      </c>
      <c r="M518" s="7">
        <v>187.45</v>
      </c>
      <c r="N518" s="5" t="s">
        <v>692</v>
      </c>
      <c r="O518" s="5" t="s">
        <v>24</v>
      </c>
      <c r="P518" s="3">
        <v>9</v>
      </c>
      <c r="Q518" s="3">
        <v>10</v>
      </c>
      <c r="R518" s="5" t="b">
        <v>1</v>
      </c>
      <c r="S518" s="3">
        <v>8</v>
      </c>
      <c r="T518" s="3">
        <v>3</v>
      </c>
    </row>
    <row r="519" spans="1:20">
      <c r="A519" s="5" t="s">
        <v>1093</v>
      </c>
      <c r="B519" s="5" t="s">
        <v>1094</v>
      </c>
      <c r="C519" s="6">
        <v>45253</v>
      </c>
      <c r="D519" s="8">
        <v>23</v>
      </c>
      <c r="E519" s="5" t="s">
        <v>36</v>
      </c>
      <c r="F519" s="5" t="s">
        <v>27</v>
      </c>
      <c r="G519" s="5" t="s">
        <v>56</v>
      </c>
      <c r="H519" s="7">
        <v>114.26</v>
      </c>
      <c r="I519" s="3">
        <v>1</v>
      </c>
      <c r="J519" s="3">
        <f t="shared" si="16"/>
        <v>114.26</v>
      </c>
      <c r="K519" s="4">
        <v>0</v>
      </c>
      <c r="L519" s="23">
        <f t="shared" si="17"/>
        <v>0</v>
      </c>
      <c r="M519" s="7">
        <v>114.26</v>
      </c>
      <c r="N519" s="5" t="s">
        <v>692</v>
      </c>
      <c r="O519" s="5" t="s">
        <v>33</v>
      </c>
      <c r="P519" s="3">
        <v>23</v>
      </c>
      <c r="Q519" s="3">
        <v>6</v>
      </c>
      <c r="R519" s="5" t="b">
        <v>1</v>
      </c>
      <c r="S519" s="3">
        <v>3</v>
      </c>
      <c r="T519" s="3">
        <v>3</v>
      </c>
    </row>
    <row r="520" spans="1:20">
      <c r="A520" s="5" t="s">
        <v>1403</v>
      </c>
      <c r="B520" s="5" t="s">
        <v>1404</v>
      </c>
      <c r="C520" s="6">
        <v>45061</v>
      </c>
      <c r="D520" s="8">
        <v>36</v>
      </c>
      <c r="E520" s="5" t="s">
        <v>20</v>
      </c>
      <c r="F520" s="5" t="s">
        <v>73</v>
      </c>
      <c r="G520" s="5" t="s">
        <v>46</v>
      </c>
      <c r="H520" s="7">
        <v>288.48</v>
      </c>
      <c r="I520" s="3">
        <v>1</v>
      </c>
      <c r="J520" s="3">
        <f t="shared" si="16"/>
        <v>288.48</v>
      </c>
      <c r="K520" s="4">
        <v>0</v>
      </c>
      <c r="L520" s="23">
        <f t="shared" si="17"/>
        <v>0</v>
      </c>
      <c r="M520" s="7">
        <v>288.48</v>
      </c>
      <c r="N520" s="5" t="s">
        <v>1298</v>
      </c>
      <c r="O520" s="5" t="s">
        <v>33</v>
      </c>
      <c r="P520" s="3">
        <v>28</v>
      </c>
      <c r="Q520" s="3">
        <v>11</v>
      </c>
      <c r="R520" s="5" t="b">
        <v>1</v>
      </c>
      <c r="S520" s="3">
        <v>6</v>
      </c>
      <c r="T520" s="3">
        <v>4</v>
      </c>
    </row>
    <row r="521" spans="1:20">
      <c r="A521" s="5" t="s">
        <v>588</v>
      </c>
      <c r="B521" s="5" t="s">
        <v>589</v>
      </c>
      <c r="C521" s="6">
        <v>45009</v>
      </c>
      <c r="D521" s="8">
        <v>44</v>
      </c>
      <c r="E521" s="5" t="s">
        <v>20</v>
      </c>
      <c r="F521" s="5" t="s">
        <v>32</v>
      </c>
      <c r="G521" s="5" t="s">
        <v>115</v>
      </c>
      <c r="H521" s="7">
        <v>43.96</v>
      </c>
      <c r="I521" s="3">
        <v>1</v>
      </c>
      <c r="J521" s="3">
        <f t="shared" si="16"/>
        <v>43.96</v>
      </c>
      <c r="K521" s="4">
        <v>0</v>
      </c>
      <c r="L521" s="23">
        <f t="shared" si="17"/>
        <v>0</v>
      </c>
      <c r="M521" s="7">
        <v>43.96</v>
      </c>
      <c r="N521" s="5" t="s">
        <v>327</v>
      </c>
      <c r="O521" s="5" t="s">
        <v>33</v>
      </c>
      <c r="P521" s="3">
        <v>24</v>
      </c>
      <c r="Q521" s="3">
        <v>5</v>
      </c>
      <c r="R521" s="5" t="b">
        <v>1</v>
      </c>
      <c r="S521" s="3">
        <v>4</v>
      </c>
      <c r="T521" s="3">
        <v>3</v>
      </c>
    </row>
    <row r="522" spans="1:20">
      <c r="A522" s="5" t="s">
        <v>590</v>
      </c>
      <c r="B522" s="5" t="s">
        <v>591</v>
      </c>
      <c r="C522" s="6">
        <v>45306</v>
      </c>
      <c r="D522" s="8">
        <v>18</v>
      </c>
      <c r="E522" s="5" t="s">
        <v>36</v>
      </c>
      <c r="F522" s="5" t="s">
        <v>73</v>
      </c>
      <c r="G522" s="5" t="s">
        <v>56</v>
      </c>
      <c r="H522" s="7">
        <v>1900.45</v>
      </c>
      <c r="I522" s="3">
        <v>2</v>
      </c>
      <c r="J522" s="3">
        <f t="shared" si="16"/>
        <v>3800.9</v>
      </c>
      <c r="K522" s="4">
        <v>0</v>
      </c>
      <c r="L522" s="23">
        <f t="shared" si="17"/>
        <v>0</v>
      </c>
      <c r="M522" s="7">
        <v>3800.9</v>
      </c>
      <c r="N522" s="5" t="s">
        <v>327</v>
      </c>
      <c r="O522" s="5" t="s">
        <v>33</v>
      </c>
      <c r="P522" s="3">
        <v>5</v>
      </c>
      <c r="Q522" s="3">
        <v>9</v>
      </c>
      <c r="R522" s="5" t="b">
        <v>1</v>
      </c>
      <c r="S522" s="3">
        <v>4</v>
      </c>
      <c r="T522" s="3">
        <v>5</v>
      </c>
    </row>
    <row r="523" spans="1:20">
      <c r="A523" s="5" t="s">
        <v>1278</v>
      </c>
      <c r="B523" s="5" t="s">
        <v>1279</v>
      </c>
      <c r="C523" s="6">
        <v>45153</v>
      </c>
      <c r="D523" s="8">
        <v>41</v>
      </c>
      <c r="E523" s="5" t="s">
        <v>20</v>
      </c>
      <c r="F523" s="5" t="s">
        <v>52</v>
      </c>
      <c r="G523" s="5" t="s">
        <v>53</v>
      </c>
      <c r="H523" s="7">
        <v>17.25</v>
      </c>
      <c r="I523" s="3">
        <v>3</v>
      </c>
      <c r="J523" s="3">
        <f t="shared" si="16"/>
        <v>51.75</v>
      </c>
      <c r="K523" s="4">
        <v>1.07</v>
      </c>
      <c r="L523" s="23">
        <f t="shared" si="17"/>
        <v>2.0676328502415461E-2</v>
      </c>
      <c r="M523" s="7">
        <v>50.68</v>
      </c>
      <c r="N523" s="5" t="s">
        <v>1231</v>
      </c>
      <c r="O523" s="5" t="s">
        <v>24</v>
      </c>
      <c r="P523" s="3">
        <v>14</v>
      </c>
      <c r="Q523" s="3">
        <v>17</v>
      </c>
      <c r="R523" s="5" t="b">
        <v>0</v>
      </c>
      <c r="S523" s="3">
        <v>3</v>
      </c>
      <c r="T523" s="3">
        <v>4</v>
      </c>
    </row>
    <row r="524" spans="1:20">
      <c r="A524" s="5" t="s">
        <v>1095</v>
      </c>
      <c r="B524" s="5" t="s">
        <v>1096</v>
      </c>
      <c r="C524" s="6">
        <v>45209</v>
      </c>
      <c r="D524" s="8">
        <v>27</v>
      </c>
      <c r="E524" s="5" t="s">
        <v>36</v>
      </c>
      <c r="F524" s="5" t="s">
        <v>59</v>
      </c>
      <c r="G524" s="5" t="s">
        <v>56</v>
      </c>
      <c r="H524" s="7">
        <v>521.12</v>
      </c>
      <c r="I524" s="3">
        <v>2</v>
      </c>
      <c r="J524" s="3">
        <f t="shared" si="16"/>
        <v>1042.24</v>
      </c>
      <c r="K524" s="4">
        <v>80.91</v>
      </c>
      <c r="L524" s="23">
        <f t="shared" si="17"/>
        <v>7.7630871968068768E-2</v>
      </c>
      <c r="M524" s="7">
        <v>961.33</v>
      </c>
      <c r="N524" s="5" t="s">
        <v>692</v>
      </c>
      <c r="O524" s="5" t="s">
        <v>33</v>
      </c>
      <c r="P524" s="3">
        <v>4</v>
      </c>
      <c r="Q524" s="3">
        <v>9</v>
      </c>
      <c r="R524" s="5" t="b">
        <v>1</v>
      </c>
      <c r="S524" s="3">
        <v>4</v>
      </c>
      <c r="T524" s="3">
        <v>4</v>
      </c>
    </row>
    <row r="525" spans="1:20">
      <c r="A525" s="5" t="s">
        <v>1405</v>
      </c>
      <c r="B525" s="5" t="s">
        <v>1406</v>
      </c>
      <c r="C525" s="6">
        <v>45288</v>
      </c>
      <c r="D525" s="8">
        <v>41</v>
      </c>
      <c r="E525" s="5" t="s">
        <v>36</v>
      </c>
      <c r="F525" s="5" t="s">
        <v>27</v>
      </c>
      <c r="G525" s="5" t="s">
        <v>53</v>
      </c>
      <c r="H525" s="7">
        <v>77.75</v>
      </c>
      <c r="I525" s="3">
        <v>1</v>
      </c>
      <c r="J525" s="3">
        <f t="shared" si="16"/>
        <v>77.75</v>
      </c>
      <c r="K525" s="4">
        <v>0</v>
      </c>
      <c r="L525" s="23">
        <f t="shared" si="17"/>
        <v>0</v>
      </c>
      <c r="M525" s="7">
        <v>77.75</v>
      </c>
      <c r="N525" s="5" t="s">
        <v>1298</v>
      </c>
      <c r="O525" s="5" t="s">
        <v>33</v>
      </c>
      <c r="P525" s="3">
        <v>24</v>
      </c>
      <c r="Q525" s="3">
        <v>14</v>
      </c>
      <c r="R525" s="5" t="b">
        <v>0</v>
      </c>
      <c r="S525" s="3">
        <v>4</v>
      </c>
      <c r="T525" s="3">
        <v>5</v>
      </c>
    </row>
    <row r="526" spans="1:20">
      <c r="A526" s="5" t="s">
        <v>1407</v>
      </c>
      <c r="B526" s="5" t="s">
        <v>1408</v>
      </c>
      <c r="C526" s="6">
        <v>45145</v>
      </c>
      <c r="D526" s="8">
        <v>25</v>
      </c>
      <c r="E526" s="5" t="s">
        <v>20</v>
      </c>
      <c r="F526" s="5" t="s">
        <v>76</v>
      </c>
      <c r="G526" s="5" t="s">
        <v>64</v>
      </c>
      <c r="H526" s="7">
        <v>4257.38</v>
      </c>
      <c r="I526" s="3">
        <v>5</v>
      </c>
      <c r="J526" s="3">
        <f t="shared" si="16"/>
        <v>21286.9</v>
      </c>
      <c r="K526" s="4">
        <v>1075.0899999999999</v>
      </c>
      <c r="L526" s="23">
        <f t="shared" si="17"/>
        <v>5.0504770539627653E-2</v>
      </c>
      <c r="M526" s="7">
        <v>20211.810000000001</v>
      </c>
      <c r="N526" s="5" t="s">
        <v>1298</v>
      </c>
      <c r="O526" s="5" t="s">
        <v>24</v>
      </c>
      <c r="P526" s="3">
        <v>12</v>
      </c>
      <c r="Q526" s="3">
        <v>8</v>
      </c>
      <c r="R526" s="5" t="b">
        <v>0</v>
      </c>
      <c r="S526" s="3">
        <v>2</v>
      </c>
      <c r="T526" s="3">
        <v>4</v>
      </c>
    </row>
    <row r="527" spans="1:20">
      <c r="A527" s="5" t="s">
        <v>1097</v>
      </c>
      <c r="B527" s="5" t="s">
        <v>1098</v>
      </c>
      <c r="C527" s="6">
        <v>45214</v>
      </c>
      <c r="D527" s="8">
        <v>18</v>
      </c>
      <c r="E527" s="5" t="s">
        <v>36</v>
      </c>
      <c r="F527" s="5" t="s">
        <v>32</v>
      </c>
      <c r="G527" s="5" t="s">
        <v>53</v>
      </c>
      <c r="H527" s="7">
        <v>18.3</v>
      </c>
      <c r="I527" s="3">
        <v>1</v>
      </c>
      <c r="J527" s="3">
        <f t="shared" si="16"/>
        <v>18.3</v>
      </c>
      <c r="K527" s="4">
        <v>0</v>
      </c>
      <c r="L527" s="23">
        <f t="shared" si="17"/>
        <v>0</v>
      </c>
      <c r="M527" s="7">
        <v>18.3</v>
      </c>
      <c r="N527" s="5" t="s">
        <v>692</v>
      </c>
      <c r="O527" s="5" t="s">
        <v>29</v>
      </c>
      <c r="P527" s="3">
        <v>3</v>
      </c>
      <c r="Q527" s="3">
        <v>16</v>
      </c>
      <c r="R527" s="5" t="b">
        <v>0</v>
      </c>
      <c r="S527" s="3">
        <v>12</v>
      </c>
      <c r="T527" s="3">
        <v>4</v>
      </c>
    </row>
    <row r="528" spans="1:20">
      <c r="A528" s="5" t="s">
        <v>1099</v>
      </c>
      <c r="B528" s="5" t="s">
        <v>1100</v>
      </c>
      <c r="C528" s="6">
        <v>44931</v>
      </c>
      <c r="D528" s="8">
        <v>18</v>
      </c>
      <c r="E528" s="5" t="s">
        <v>36</v>
      </c>
      <c r="F528" s="5" t="s">
        <v>59</v>
      </c>
      <c r="G528" s="5" t="s">
        <v>22</v>
      </c>
      <c r="H528" s="7">
        <v>746.9</v>
      </c>
      <c r="I528" s="3">
        <v>1</v>
      </c>
      <c r="J528" s="3">
        <f t="shared" si="16"/>
        <v>746.9</v>
      </c>
      <c r="K528" s="4">
        <v>0</v>
      </c>
      <c r="L528" s="23">
        <f t="shared" si="17"/>
        <v>0</v>
      </c>
      <c r="M528" s="7">
        <v>746.9</v>
      </c>
      <c r="N528" s="5" t="s">
        <v>692</v>
      </c>
      <c r="O528" s="5" t="s">
        <v>33</v>
      </c>
      <c r="P528" s="3">
        <v>13</v>
      </c>
      <c r="Q528" s="3">
        <v>6</v>
      </c>
      <c r="R528" s="5" t="b">
        <v>1</v>
      </c>
      <c r="S528" s="3">
        <v>8</v>
      </c>
      <c r="T528" s="3">
        <v>5</v>
      </c>
    </row>
    <row r="529" spans="1:20">
      <c r="A529" s="5" t="s">
        <v>1280</v>
      </c>
      <c r="B529" s="5" t="s">
        <v>1281</v>
      </c>
      <c r="C529" s="6">
        <v>44984</v>
      </c>
      <c r="D529" s="8">
        <v>35</v>
      </c>
      <c r="E529" s="5" t="s">
        <v>20</v>
      </c>
      <c r="F529" s="5" t="s">
        <v>76</v>
      </c>
      <c r="G529" s="5" t="s">
        <v>64</v>
      </c>
      <c r="H529" s="7">
        <v>1122.1199999999999</v>
      </c>
      <c r="I529" s="3">
        <v>2</v>
      </c>
      <c r="J529" s="3">
        <f t="shared" si="16"/>
        <v>2244.2399999999998</v>
      </c>
      <c r="K529" s="4">
        <v>0</v>
      </c>
      <c r="L529" s="23">
        <f t="shared" si="17"/>
        <v>0</v>
      </c>
      <c r="M529" s="7">
        <v>2244.2399999999998</v>
      </c>
      <c r="N529" s="5" t="s">
        <v>1231</v>
      </c>
      <c r="O529" s="5" t="s">
        <v>29</v>
      </c>
      <c r="P529" s="3">
        <v>29</v>
      </c>
      <c r="Q529" s="3">
        <v>8</v>
      </c>
      <c r="R529" s="5" t="b">
        <v>0</v>
      </c>
      <c r="S529" s="3">
        <v>3</v>
      </c>
      <c r="T529" s="3">
        <v>4</v>
      </c>
    </row>
    <row r="530" spans="1:20">
      <c r="A530" s="5" t="s">
        <v>592</v>
      </c>
      <c r="B530" s="5" t="s">
        <v>593</v>
      </c>
      <c r="C530" s="6">
        <v>44965</v>
      </c>
      <c r="D530" s="8">
        <v>38</v>
      </c>
      <c r="E530" s="5" t="s">
        <v>36</v>
      </c>
      <c r="F530" s="5" t="s">
        <v>59</v>
      </c>
      <c r="G530" s="5" t="s">
        <v>28</v>
      </c>
      <c r="H530" s="7">
        <v>116.84</v>
      </c>
      <c r="I530" s="3">
        <v>1</v>
      </c>
      <c r="J530" s="3">
        <f t="shared" si="16"/>
        <v>116.84</v>
      </c>
      <c r="K530" s="4">
        <v>0</v>
      </c>
      <c r="L530" s="23">
        <f t="shared" si="17"/>
        <v>0</v>
      </c>
      <c r="M530" s="7">
        <v>116.84</v>
      </c>
      <c r="N530" s="5" t="s">
        <v>327</v>
      </c>
      <c r="O530" s="5" t="s">
        <v>29</v>
      </c>
      <c r="P530" s="3">
        <v>32</v>
      </c>
      <c r="Q530" s="3">
        <v>6</v>
      </c>
      <c r="R530" s="5" t="b">
        <v>1</v>
      </c>
      <c r="S530" s="3">
        <v>3</v>
      </c>
      <c r="T530" s="3">
        <v>5</v>
      </c>
    </row>
    <row r="531" spans="1:20">
      <c r="A531" s="5" t="s">
        <v>1101</v>
      </c>
      <c r="B531" s="5" t="s">
        <v>1102</v>
      </c>
      <c r="C531" s="6">
        <v>45280</v>
      </c>
      <c r="D531" s="8">
        <v>24</v>
      </c>
      <c r="E531" s="5" t="s">
        <v>20</v>
      </c>
      <c r="F531" s="5" t="s">
        <v>32</v>
      </c>
      <c r="G531" s="5" t="s">
        <v>28</v>
      </c>
      <c r="H531" s="7">
        <v>55.84</v>
      </c>
      <c r="I531" s="3">
        <v>1</v>
      </c>
      <c r="J531" s="3">
        <f t="shared" si="16"/>
        <v>55.84</v>
      </c>
      <c r="K531" s="4">
        <v>0</v>
      </c>
      <c r="L531" s="23">
        <f t="shared" si="17"/>
        <v>0</v>
      </c>
      <c r="M531" s="7">
        <v>55.84</v>
      </c>
      <c r="N531" s="5" t="s">
        <v>692</v>
      </c>
      <c r="O531" s="5" t="s">
        <v>24</v>
      </c>
      <c r="P531" s="3">
        <v>11</v>
      </c>
      <c r="Q531" s="3">
        <v>10</v>
      </c>
      <c r="R531" s="5" t="b">
        <v>0</v>
      </c>
      <c r="S531" s="3">
        <v>3</v>
      </c>
      <c r="T531" s="3">
        <v>4</v>
      </c>
    </row>
    <row r="532" spans="1:20">
      <c r="A532" s="5" t="s">
        <v>594</v>
      </c>
      <c r="B532" s="5" t="s">
        <v>595</v>
      </c>
      <c r="C532" s="6">
        <v>45003</v>
      </c>
      <c r="D532" s="8">
        <v>42</v>
      </c>
      <c r="E532" s="5" t="s">
        <v>20</v>
      </c>
      <c r="F532" s="5" t="s">
        <v>32</v>
      </c>
      <c r="G532" s="5" t="s">
        <v>28</v>
      </c>
      <c r="H532" s="7">
        <v>153.72</v>
      </c>
      <c r="I532" s="3">
        <v>1</v>
      </c>
      <c r="J532" s="3">
        <f t="shared" si="16"/>
        <v>153.72</v>
      </c>
      <c r="K532" s="4">
        <v>45.44</v>
      </c>
      <c r="L532" s="23">
        <f t="shared" si="17"/>
        <v>0.29560239396304971</v>
      </c>
      <c r="M532" s="7">
        <v>108.28</v>
      </c>
      <c r="N532" s="5" t="s">
        <v>327</v>
      </c>
      <c r="O532" s="5" t="s">
        <v>33</v>
      </c>
      <c r="P532" s="3">
        <v>17</v>
      </c>
      <c r="Q532" s="3">
        <v>8</v>
      </c>
      <c r="R532" s="5" t="b">
        <v>0</v>
      </c>
      <c r="S532" s="3">
        <v>5</v>
      </c>
      <c r="T532" s="3">
        <v>3</v>
      </c>
    </row>
    <row r="533" spans="1:20">
      <c r="A533" s="5" t="s">
        <v>596</v>
      </c>
      <c r="B533" s="5" t="s">
        <v>597</v>
      </c>
      <c r="C533" s="6">
        <v>45206</v>
      </c>
      <c r="D533" s="8">
        <v>18</v>
      </c>
      <c r="E533" s="5" t="s">
        <v>20</v>
      </c>
      <c r="F533" s="5" t="s">
        <v>32</v>
      </c>
      <c r="G533" s="5" t="s">
        <v>37</v>
      </c>
      <c r="H533" s="7">
        <v>281.38</v>
      </c>
      <c r="I533" s="3">
        <v>3</v>
      </c>
      <c r="J533" s="3">
        <f t="shared" si="16"/>
        <v>844.14</v>
      </c>
      <c r="K533" s="4">
        <v>0</v>
      </c>
      <c r="L533" s="23">
        <f t="shared" si="17"/>
        <v>0</v>
      </c>
      <c r="M533" s="7">
        <v>844.14</v>
      </c>
      <c r="N533" s="5" t="s">
        <v>327</v>
      </c>
      <c r="O533" s="5" t="s">
        <v>24</v>
      </c>
      <c r="P533" s="3">
        <v>12</v>
      </c>
      <c r="Q533" s="3">
        <v>6</v>
      </c>
      <c r="R533" s="5" t="b">
        <v>1</v>
      </c>
      <c r="S533" s="3">
        <v>4</v>
      </c>
      <c r="T533" s="3">
        <v>4</v>
      </c>
    </row>
    <row r="534" spans="1:20">
      <c r="A534" s="5" t="s">
        <v>259</v>
      </c>
      <c r="B534" s="5" t="s">
        <v>260</v>
      </c>
      <c r="C534" s="6">
        <v>44945</v>
      </c>
      <c r="D534" s="8">
        <v>34</v>
      </c>
      <c r="E534" s="5" t="s">
        <v>36</v>
      </c>
      <c r="F534" s="5" t="s">
        <v>49</v>
      </c>
      <c r="G534" s="5" t="s">
        <v>115</v>
      </c>
      <c r="H534" s="7">
        <v>61.34</v>
      </c>
      <c r="I534" s="3">
        <v>1</v>
      </c>
      <c r="J534" s="3">
        <f t="shared" si="16"/>
        <v>61.34</v>
      </c>
      <c r="K534" s="4">
        <v>13.77</v>
      </c>
      <c r="L534" s="23">
        <f t="shared" si="17"/>
        <v>0.22448646886208018</v>
      </c>
      <c r="M534" s="7">
        <v>47.57</v>
      </c>
      <c r="N534" s="5" t="s">
        <v>23</v>
      </c>
      <c r="O534" s="5" t="s">
        <v>24</v>
      </c>
      <c r="P534" s="3">
        <v>27</v>
      </c>
      <c r="Q534" s="3">
        <v>9</v>
      </c>
      <c r="R534" s="5" t="b">
        <v>0</v>
      </c>
      <c r="S534" s="3">
        <v>16</v>
      </c>
      <c r="T534" s="3">
        <v>4</v>
      </c>
    </row>
    <row r="535" spans="1:20">
      <c r="A535" s="5" t="s">
        <v>1409</v>
      </c>
      <c r="B535" s="5" t="s">
        <v>1410</v>
      </c>
      <c r="C535" s="6">
        <v>45354</v>
      </c>
      <c r="D535" s="8">
        <v>20</v>
      </c>
      <c r="E535" s="5" t="s">
        <v>36</v>
      </c>
      <c r="F535" s="5" t="s">
        <v>49</v>
      </c>
      <c r="G535" s="5" t="s">
        <v>37</v>
      </c>
      <c r="H535" s="7">
        <v>52.53</v>
      </c>
      <c r="I535" s="3">
        <v>1</v>
      </c>
      <c r="J535" s="3">
        <f t="shared" si="16"/>
        <v>52.53</v>
      </c>
      <c r="K535" s="4">
        <v>6.69</v>
      </c>
      <c r="L535" s="23">
        <f t="shared" si="17"/>
        <v>0.12735579668760708</v>
      </c>
      <c r="M535" s="7">
        <v>45.84</v>
      </c>
      <c r="N535" s="5" t="s">
        <v>1298</v>
      </c>
      <c r="O535" s="5" t="s">
        <v>24</v>
      </c>
      <c r="P535" s="3">
        <v>15</v>
      </c>
      <c r="Q535" s="3">
        <v>11</v>
      </c>
      <c r="R535" s="5" t="b">
        <v>1</v>
      </c>
      <c r="S535" s="3">
        <v>4</v>
      </c>
      <c r="T535" s="3">
        <v>3</v>
      </c>
    </row>
    <row r="536" spans="1:20">
      <c r="A536" s="5" t="s">
        <v>1411</v>
      </c>
      <c r="B536" s="5" t="s">
        <v>1412</v>
      </c>
      <c r="C536" s="6">
        <v>45116</v>
      </c>
      <c r="D536" s="8">
        <v>27</v>
      </c>
      <c r="E536" s="5" t="s">
        <v>36</v>
      </c>
      <c r="F536" s="5" t="s">
        <v>83</v>
      </c>
      <c r="G536" s="5" t="s">
        <v>56</v>
      </c>
      <c r="H536" s="7">
        <v>339.98</v>
      </c>
      <c r="I536" s="3">
        <v>1</v>
      </c>
      <c r="J536" s="3">
        <f t="shared" si="16"/>
        <v>339.98</v>
      </c>
      <c r="K536" s="4">
        <v>0</v>
      </c>
      <c r="L536" s="23">
        <f t="shared" si="17"/>
        <v>0</v>
      </c>
      <c r="M536" s="7">
        <v>339.98</v>
      </c>
      <c r="N536" s="5" t="s">
        <v>1298</v>
      </c>
      <c r="O536" s="5" t="s">
        <v>33</v>
      </c>
      <c r="P536" s="3">
        <v>9</v>
      </c>
      <c r="Q536" s="3">
        <v>8</v>
      </c>
      <c r="R536" s="5" t="b">
        <v>0</v>
      </c>
      <c r="S536" s="3">
        <v>7</v>
      </c>
      <c r="T536" s="3">
        <v>2</v>
      </c>
    </row>
    <row r="537" spans="1:20">
      <c r="A537" s="5" t="s">
        <v>1413</v>
      </c>
      <c r="B537" s="5" t="s">
        <v>1414</v>
      </c>
      <c r="C537" s="6">
        <v>45225</v>
      </c>
      <c r="D537" s="8">
        <v>35</v>
      </c>
      <c r="E537" s="5" t="s">
        <v>20</v>
      </c>
      <c r="F537" s="5" t="s">
        <v>52</v>
      </c>
      <c r="G537" s="5" t="s">
        <v>56</v>
      </c>
      <c r="H537" s="7">
        <v>353.29</v>
      </c>
      <c r="I537" s="3">
        <v>4</v>
      </c>
      <c r="J537" s="3">
        <f t="shared" si="16"/>
        <v>1413.16</v>
      </c>
      <c r="K537" s="4">
        <v>0</v>
      </c>
      <c r="L537" s="23">
        <f t="shared" si="17"/>
        <v>0</v>
      </c>
      <c r="M537" s="7">
        <v>1413.16</v>
      </c>
      <c r="N537" s="5" t="s">
        <v>1298</v>
      </c>
      <c r="O537" s="5" t="s">
        <v>24</v>
      </c>
      <c r="P537" s="3">
        <v>18</v>
      </c>
      <c r="Q537" s="3">
        <v>6</v>
      </c>
      <c r="R537" s="5" t="b">
        <v>0</v>
      </c>
      <c r="S537" s="3">
        <v>4</v>
      </c>
      <c r="T537" s="3">
        <v>3</v>
      </c>
    </row>
    <row r="538" spans="1:20">
      <c r="A538" s="5" t="s">
        <v>1103</v>
      </c>
      <c r="B538" s="5" t="s">
        <v>1104</v>
      </c>
      <c r="C538" s="6">
        <v>45209</v>
      </c>
      <c r="D538" s="8">
        <v>24</v>
      </c>
      <c r="E538" s="5" t="s">
        <v>36</v>
      </c>
      <c r="F538" s="5" t="s">
        <v>52</v>
      </c>
      <c r="G538" s="5" t="s">
        <v>115</v>
      </c>
      <c r="H538" s="7">
        <v>155.32</v>
      </c>
      <c r="I538" s="3">
        <v>4</v>
      </c>
      <c r="J538" s="3">
        <f t="shared" si="16"/>
        <v>621.28</v>
      </c>
      <c r="K538" s="4">
        <v>18.670000000000002</v>
      </c>
      <c r="L538" s="23">
        <f t="shared" si="17"/>
        <v>3.0050862734998716E-2</v>
      </c>
      <c r="M538" s="7">
        <v>602.61</v>
      </c>
      <c r="N538" s="5" t="s">
        <v>692</v>
      </c>
      <c r="O538" s="5" t="s">
        <v>24</v>
      </c>
      <c r="P538" s="3">
        <v>18</v>
      </c>
      <c r="Q538" s="3">
        <v>3</v>
      </c>
      <c r="R538" s="5" t="b">
        <v>1</v>
      </c>
      <c r="S538" s="3">
        <v>9</v>
      </c>
      <c r="T538" s="3">
        <v>5</v>
      </c>
    </row>
    <row r="539" spans="1:20">
      <c r="A539" s="5" t="s">
        <v>261</v>
      </c>
      <c r="B539" s="5" t="s">
        <v>262</v>
      </c>
      <c r="C539" s="6">
        <v>45002</v>
      </c>
      <c r="D539" s="8">
        <v>30</v>
      </c>
      <c r="E539" s="5" t="s">
        <v>20</v>
      </c>
      <c r="F539" s="5" t="s">
        <v>49</v>
      </c>
      <c r="G539" s="5" t="s">
        <v>22</v>
      </c>
      <c r="H539" s="7">
        <v>712.9</v>
      </c>
      <c r="I539" s="3">
        <v>1</v>
      </c>
      <c r="J539" s="3">
        <f t="shared" si="16"/>
        <v>712.9</v>
      </c>
      <c r="K539" s="4">
        <v>0</v>
      </c>
      <c r="L539" s="23">
        <f t="shared" si="17"/>
        <v>0</v>
      </c>
      <c r="M539" s="7">
        <v>712.9</v>
      </c>
      <c r="N539" s="5" t="s">
        <v>23</v>
      </c>
      <c r="O539" s="5" t="s">
        <v>24</v>
      </c>
      <c r="P539" s="3">
        <v>13</v>
      </c>
      <c r="Q539" s="3">
        <v>11</v>
      </c>
      <c r="R539" s="5" t="b">
        <v>0</v>
      </c>
      <c r="S539" s="3">
        <v>4</v>
      </c>
      <c r="T539" s="3">
        <v>5</v>
      </c>
    </row>
    <row r="540" spans="1:20">
      <c r="A540" s="5" t="s">
        <v>1105</v>
      </c>
      <c r="B540" s="5" t="s">
        <v>1106</v>
      </c>
      <c r="C540" s="6">
        <v>45147</v>
      </c>
      <c r="D540" s="8">
        <v>47</v>
      </c>
      <c r="E540" s="5" t="s">
        <v>36</v>
      </c>
      <c r="F540" s="5" t="s">
        <v>59</v>
      </c>
      <c r="G540" s="5" t="s">
        <v>56</v>
      </c>
      <c r="H540" s="7">
        <v>159.22</v>
      </c>
      <c r="I540" s="3">
        <v>2</v>
      </c>
      <c r="J540" s="3">
        <f t="shared" si="16"/>
        <v>318.44</v>
      </c>
      <c r="K540" s="4">
        <v>31.31</v>
      </c>
      <c r="L540" s="23">
        <f t="shared" si="17"/>
        <v>9.8323074990579074E-2</v>
      </c>
      <c r="M540" s="7">
        <v>287.13</v>
      </c>
      <c r="N540" s="5" t="s">
        <v>692</v>
      </c>
      <c r="O540" s="5" t="s">
        <v>33</v>
      </c>
      <c r="P540" s="3">
        <v>12</v>
      </c>
      <c r="Q540" s="3">
        <v>7</v>
      </c>
      <c r="R540" s="5" t="b">
        <v>0</v>
      </c>
      <c r="S540" s="3">
        <v>3</v>
      </c>
      <c r="T540" s="3">
        <v>5</v>
      </c>
    </row>
    <row r="541" spans="1:20">
      <c r="A541" s="5" t="s">
        <v>1107</v>
      </c>
      <c r="B541" s="5" t="s">
        <v>1108</v>
      </c>
      <c r="C541" s="6">
        <v>44992</v>
      </c>
      <c r="D541" s="8">
        <v>28</v>
      </c>
      <c r="E541" s="5" t="s">
        <v>20</v>
      </c>
      <c r="F541" s="5" t="s">
        <v>76</v>
      </c>
      <c r="G541" s="5" t="s">
        <v>64</v>
      </c>
      <c r="H541" s="7">
        <v>549.32000000000005</v>
      </c>
      <c r="I541" s="3">
        <v>3</v>
      </c>
      <c r="J541" s="3">
        <f t="shared" si="16"/>
        <v>1647.96</v>
      </c>
      <c r="K541" s="4">
        <v>155.63999999999999</v>
      </c>
      <c r="L541" s="23">
        <f t="shared" si="17"/>
        <v>9.4444039903881158E-2</v>
      </c>
      <c r="M541" s="7">
        <v>1492.32</v>
      </c>
      <c r="N541" s="5" t="s">
        <v>692</v>
      </c>
      <c r="O541" s="5" t="s">
        <v>24</v>
      </c>
      <c r="P541" s="3">
        <v>27</v>
      </c>
      <c r="Q541" s="3">
        <v>9</v>
      </c>
      <c r="R541" s="5" t="b">
        <v>1</v>
      </c>
      <c r="S541" s="3">
        <v>4</v>
      </c>
      <c r="T541" s="3">
        <v>3</v>
      </c>
    </row>
    <row r="542" spans="1:20">
      <c r="A542" s="5" t="s">
        <v>263</v>
      </c>
      <c r="B542" s="5" t="s">
        <v>264</v>
      </c>
      <c r="C542" s="6">
        <v>44948</v>
      </c>
      <c r="D542" s="8">
        <v>45</v>
      </c>
      <c r="E542" s="5" t="s">
        <v>20</v>
      </c>
      <c r="F542" s="5" t="s">
        <v>59</v>
      </c>
      <c r="G542" s="5" t="s">
        <v>64</v>
      </c>
      <c r="H542" s="7">
        <v>609.04</v>
      </c>
      <c r="I542" s="3">
        <v>1</v>
      </c>
      <c r="J542" s="3">
        <f t="shared" si="16"/>
        <v>609.04</v>
      </c>
      <c r="K542" s="4">
        <v>0</v>
      </c>
      <c r="L542" s="23">
        <f t="shared" si="17"/>
        <v>0</v>
      </c>
      <c r="M542" s="7">
        <v>609.04</v>
      </c>
      <c r="N542" s="5" t="s">
        <v>23</v>
      </c>
      <c r="O542" s="5" t="s">
        <v>33</v>
      </c>
      <c r="P542" s="3">
        <v>15</v>
      </c>
      <c r="Q542" s="3">
        <v>14</v>
      </c>
      <c r="R542" s="5" t="b">
        <v>1</v>
      </c>
      <c r="S542" s="3">
        <v>4</v>
      </c>
      <c r="T542" s="3">
        <v>5</v>
      </c>
    </row>
    <row r="543" spans="1:20">
      <c r="A543" s="5" t="s">
        <v>598</v>
      </c>
      <c r="B543" s="5" t="s">
        <v>599</v>
      </c>
      <c r="C543" s="6">
        <v>45084</v>
      </c>
      <c r="D543" s="8">
        <v>21</v>
      </c>
      <c r="E543" s="5" t="s">
        <v>20</v>
      </c>
      <c r="F543" s="5" t="s">
        <v>21</v>
      </c>
      <c r="G543" s="5" t="s">
        <v>28</v>
      </c>
      <c r="H543" s="7">
        <v>94.67</v>
      </c>
      <c r="I543" s="3">
        <v>3</v>
      </c>
      <c r="J543" s="3">
        <f t="shared" si="16"/>
        <v>284.01</v>
      </c>
      <c r="K543" s="4">
        <v>0</v>
      </c>
      <c r="L543" s="23">
        <f t="shared" si="17"/>
        <v>0</v>
      </c>
      <c r="M543" s="7">
        <v>284.01</v>
      </c>
      <c r="N543" s="5" t="s">
        <v>327</v>
      </c>
      <c r="O543" s="5" t="s">
        <v>24</v>
      </c>
      <c r="P543" s="3">
        <v>5</v>
      </c>
      <c r="Q543" s="3">
        <v>9</v>
      </c>
      <c r="R543" s="5" t="b">
        <v>1</v>
      </c>
      <c r="S543" s="3">
        <v>7</v>
      </c>
      <c r="T543" s="3">
        <v>3</v>
      </c>
    </row>
    <row r="544" spans="1:20">
      <c r="A544" s="5" t="s">
        <v>1415</v>
      </c>
      <c r="B544" s="5" t="s">
        <v>1416</v>
      </c>
      <c r="C544" s="6">
        <v>45113</v>
      </c>
      <c r="D544" s="8">
        <v>41</v>
      </c>
      <c r="E544" s="5" t="s">
        <v>36</v>
      </c>
      <c r="F544" s="5" t="s">
        <v>49</v>
      </c>
      <c r="G544" s="5" t="s">
        <v>53</v>
      </c>
      <c r="H544" s="7">
        <v>150.69</v>
      </c>
      <c r="I544" s="3">
        <v>4</v>
      </c>
      <c r="J544" s="3">
        <f t="shared" si="16"/>
        <v>602.76</v>
      </c>
      <c r="K544" s="4">
        <v>0</v>
      </c>
      <c r="L544" s="23">
        <f t="shared" si="17"/>
        <v>0</v>
      </c>
      <c r="M544" s="7">
        <v>602.76</v>
      </c>
      <c r="N544" s="5" t="s">
        <v>1298</v>
      </c>
      <c r="O544" s="5" t="s">
        <v>24</v>
      </c>
      <c r="P544" s="3">
        <v>7</v>
      </c>
      <c r="Q544" s="3">
        <v>9</v>
      </c>
      <c r="R544" s="5" t="b">
        <v>1</v>
      </c>
      <c r="S544" s="3">
        <v>6</v>
      </c>
      <c r="T544" s="3">
        <v>4</v>
      </c>
    </row>
    <row r="545" spans="1:20">
      <c r="A545" s="5" t="s">
        <v>1109</v>
      </c>
      <c r="B545" s="5" t="s">
        <v>1110</v>
      </c>
      <c r="C545" s="6">
        <v>45334</v>
      </c>
      <c r="D545" s="8">
        <v>52</v>
      </c>
      <c r="E545" s="5" t="s">
        <v>20</v>
      </c>
      <c r="F545" s="5" t="s">
        <v>88</v>
      </c>
      <c r="G545" s="5" t="s">
        <v>46</v>
      </c>
      <c r="H545" s="7">
        <v>1385.22</v>
      </c>
      <c r="I545" s="3">
        <v>5</v>
      </c>
      <c r="J545" s="3">
        <f t="shared" si="16"/>
        <v>6926.1</v>
      </c>
      <c r="K545" s="4">
        <v>148.16999999999999</v>
      </c>
      <c r="L545" s="23">
        <f t="shared" si="17"/>
        <v>2.1392991726945896E-2</v>
      </c>
      <c r="M545" s="7">
        <v>6777.93</v>
      </c>
      <c r="N545" s="5" t="s">
        <v>692</v>
      </c>
      <c r="O545" s="5" t="s">
        <v>33</v>
      </c>
      <c r="P545" s="3">
        <v>15</v>
      </c>
      <c r="Q545" s="3">
        <v>8</v>
      </c>
      <c r="R545" s="5" t="b">
        <v>1</v>
      </c>
      <c r="S545" s="3">
        <v>7</v>
      </c>
      <c r="T545" s="3">
        <v>5</v>
      </c>
    </row>
    <row r="546" spans="1:20">
      <c r="A546" s="5" t="s">
        <v>265</v>
      </c>
      <c r="B546" s="5" t="s">
        <v>266</v>
      </c>
      <c r="C546" s="6">
        <v>45367</v>
      </c>
      <c r="D546" s="8">
        <v>18</v>
      </c>
      <c r="E546" s="5" t="s">
        <v>36</v>
      </c>
      <c r="F546" s="5" t="s">
        <v>21</v>
      </c>
      <c r="G546" s="5" t="s">
        <v>56</v>
      </c>
      <c r="H546" s="7">
        <v>574.49</v>
      </c>
      <c r="I546" s="3">
        <v>4</v>
      </c>
      <c r="J546" s="3">
        <f t="shared" si="16"/>
        <v>2297.96</v>
      </c>
      <c r="K546" s="4">
        <v>0</v>
      </c>
      <c r="L546" s="23">
        <f t="shared" si="17"/>
        <v>0</v>
      </c>
      <c r="M546" s="7">
        <v>2297.96</v>
      </c>
      <c r="N546" s="5" t="s">
        <v>23</v>
      </c>
      <c r="O546" s="5" t="s">
        <v>24</v>
      </c>
      <c r="P546" s="3">
        <v>13</v>
      </c>
      <c r="Q546" s="3">
        <v>8</v>
      </c>
      <c r="R546" s="5" t="b">
        <v>1</v>
      </c>
      <c r="S546" s="3">
        <v>9</v>
      </c>
      <c r="T546" s="3">
        <v>1</v>
      </c>
    </row>
    <row r="547" spans="1:20">
      <c r="A547" s="5" t="s">
        <v>1111</v>
      </c>
      <c r="B547" s="5" t="s">
        <v>1112</v>
      </c>
      <c r="C547" s="6">
        <v>44947</v>
      </c>
      <c r="D547" s="8">
        <v>25</v>
      </c>
      <c r="E547" s="5" t="s">
        <v>20</v>
      </c>
      <c r="F547" s="5" t="s">
        <v>32</v>
      </c>
      <c r="G547" s="5" t="s">
        <v>22</v>
      </c>
      <c r="H547" s="7">
        <v>169.49</v>
      </c>
      <c r="I547" s="3">
        <v>1</v>
      </c>
      <c r="J547" s="3">
        <f t="shared" si="16"/>
        <v>169.49</v>
      </c>
      <c r="K547" s="4">
        <v>0</v>
      </c>
      <c r="L547" s="23">
        <f t="shared" si="17"/>
        <v>0</v>
      </c>
      <c r="M547" s="7">
        <v>169.49</v>
      </c>
      <c r="N547" s="5" t="s">
        <v>692</v>
      </c>
      <c r="O547" s="5" t="s">
        <v>24</v>
      </c>
      <c r="P547" s="3">
        <v>12</v>
      </c>
      <c r="Q547" s="3">
        <v>9</v>
      </c>
      <c r="R547" s="5" t="b">
        <v>1</v>
      </c>
      <c r="S547" s="3">
        <v>2</v>
      </c>
      <c r="T547" s="3">
        <v>5</v>
      </c>
    </row>
    <row r="548" spans="1:20">
      <c r="A548" s="5" t="s">
        <v>1113</v>
      </c>
      <c r="B548" s="5" t="s">
        <v>1114</v>
      </c>
      <c r="C548" s="6">
        <v>45110</v>
      </c>
      <c r="D548" s="8">
        <v>41</v>
      </c>
      <c r="E548" s="5" t="s">
        <v>20</v>
      </c>
      <c r="F548" s="5" t="s">
        <v>32</v>
      </c>
      <c r="G548" s="5" t="s">
        <v>28</v>
      </c>
      <c r="H548" s="7">
        <v>25.17</v>
      </c>
      <c r="I548" s="3">
        <v>4</v>
      </c>
      <c r="J548" s="3">
        <f t="shared" si="16"/>
        <v>100.68</v>
      </c>
      <c r="K548" s="4">
        <v>0</v>
      </c>
      <c r="L548" s="23">
        <f t="shared" si="17"/>
        <v>0</v>
      </c>
      <c r="M548" s="7">
        <v>100.68</v>
      </c>
      <c r="N548" s="5" t="s">
        <v>692</v>
      </c>
      <c r="O548" s="5" t="s">
        <v>33</v>
      </c>
      <c r="P548" s="3">
        <v>6</v>
      </c>
      <c r="Q548" s="3">
        <v>11</v>
      </c>
      <c r="R548" s="5" t="b">
        <v>1</v>
      </c>
      <c r="S548" s="3">
        <v>5</v>
      </c>
      <c r="T548" s="3">
        <v>5</v>
      </c>
    </row>
    <row r="549" spans="1:20">
      <c r="A549" s="5" t="s">
        <v>600</v>
      </c>
      <c r="B549" s="5" t="s">
        <v>601</v>
      </c>
      <c r="C549" s="6">
        <v>45034</v>
      </c>
      <c r="D549" s="8">
        <v>32</v>
      </c>
      <c r="E549" s="5" t="s">
        <v>20</v>
      </c>
      <c r="F549" s="5" t="s">
        <v>32</v>
      </c>
      <c r="G549" s="5" t="s">
        <v>115</v>
      </c>
      <c r="H549" s="7">
        <v>68.3</v>
      </c>
      <c r="I549" s="3">
        <v>1</v>
      </c>
      <c r="J549" s="3">
        <f t="shared" si="16"/>
        <v>68.3</v>
      </c>
      <c r="K549" s="4">
        <v>0</v>
      </c>
      <c r="L549" s="23">
        <f t="shared" si="17"/>
        <v>0</v>
      </c>
      <c r="M549" s="7">
        <v>68.3</v>
      </c>
      <c r="N549" s="5" t="s">
        <v>327</v>
      </c>
      <c r="O549" s="5" t="s">
        <v>33</v>
      </c>
      <c r="P549" s="3">
        <v>19</v>
      </c>
      <c r="Q549" s="3">
        <v>11</v>
      </c>
      <c r="R549" s="5" t="b">
        <v>1</v>
      </c>
      <c r="S549" s="3">
        <v>4</v>
      </c>
      <c r="T549" s="3">
        <v>5</v>
      </c>
    </row>
    <row r="550" spans="1:20">
      <c r="A550" s="5" t="s">
        <v>1115</v>
      </c>
      <c r="B550" s="5" t="s">
        <v>1116</v>
      </c>
      <c r="C550" s="6">
        <v>45276</v>
      </c>
      <c r="D550" s="8">
        <v>39</v>
      </c>
      <c r="E550" s="5" t="s">
        <v>36</v>
      </c>
      <c r="F550" s="5" t="s">
        <v>27</v>
      </c>
      <c r="G550" s="5" t="s">
        <v>37</v>
      </c>
      <c r="H550" s="7">
        <v>99.77</v>
      </c>
      <c r="I550" s="3">
        <v>2</v>
      </c>
      <c r="J550" s="3">
        <f t="shared" si="16"/>
        <v>199.54</v>
      </c>
      <c r="K550" s="4">
        <v>0</v>
      </c>
      <c r="L550" s="23">
        <f t="shared" si="17"/>
        <v>0</v>
      </c>
      <c r="M550" s="7">
        <v>199.54</v>
      </c>
      <c r="N550" s="5" t="s">
        <v>692</v>
      </c>
      <c r="O550" s="5" t="s">
        <v>33</v>
      </c>
      <c r="P550" s="3">
        <v>16</v>
      </c>
      <c r="Q550" s="3">
        <v>9</v>
      </c>
      <c r="R550" s="5" t="b">
        <v>1</v>
      </c>
      <c r="S550" s="3">
        <v>7</v>
      </c>
      <c r="T550" s="3">
        <v>5</v>
      </c>
    </row>
    <row r="551" spans="1:20">
      <c r="A551" s="5" t="s">
        <v>602</v>
      </c>
      <c r="B551" s="5" t="s">
        <v>603</v>
      </c>
      <c r="C551" s="6">
        <v>45054</v>
      </c>
      <c r="D551" s="8">
        <v>27</v>
      </c>
      <c r="E551" s="5" t="s">
        <v>36</v>
      </c>
      <c r="F551" s="5" t="s">
        <v>32</v>
      </c>
      <c r="G551" s="5" t="s">
        <v>115</v>
      </c>
      <c r="H551" s="7">
        <v>22.56</v>
      </c>
      <c r="I551" s="3">
        <v>1</v>
      </c>
      <c r="J551" s="3">
        <f t="shared" si="16"/>
        <v>22.56</v>
      </c>
      <c r="K551" s="4">
        <v>0</v>
      </c>
      <c r="L551" s="23">
        <f t="shared" si="17"/>
        <v>0</v>
      </c>
      <c r="M551" s="7">
        <v>22.56</v>
      </c>
      <c r="N551" s="5" t="s">
        <v>327</v>
      </c>
      <c r="O551" s="5" t="s">
        <v>33</v>
      </c>
      <c r="P551" s="3">
        <v>14</v>
      </c>
      <c r="Q551" s="3">
        <v>5</v>
      </c>
      <c r="R551" s="5" t="b">
        <v>0</v>
      </c>
      <c r="S551" s="3">
        <v>7</v>
      </c>
      <c r="T551" s="3">
        <v>5</v>
      </c>
    </row>
    <row r="552" spans="1:20">
      <c r="A552" s="5" t="s">
        <v>1417</v>
      </c>
      <c r="B552" s="5" t="s">
        <v>1418</v>
      </c>
      <c r="C552" s="6">
        <v>45268</v>
      </c>
      <c r="D552" s="8">
        <v>36</v>
      </c>
      <c r="E552" s="5" t="s">
        <v>20</v>
      </c>
      <c r="F552" s="5" t="s">
        <v>32</v>
      </c>
      <c r="G552" s="5" t="s">
        <v>64</v>
      </c>
      <c r="H552" s="7">
        <v>1911.31</v>
      </c>
      <c r="I552" s="3">
        <v>3</v>
      </c>
      <c r="J552" s="3">
        <f t="shared" si="16"/>
        <v>5733.93</v>
      </c>
      <c r="K552" s="4">
        <v>0</v>
      </c>
      <c r="L552" s="23">
        <f t="shared" si="17"/>
        <v>0</v>
      </c>
      <c r="M552" s="7">
        <v>5733.93</v>
      </c>
      <c r="N552" s="5" t="s">
        <v>1298</v>
      </c>
      <c r="O552" s="5" t="s">
        <v>33</v>
      </c>
      <c r="P552" s="3">
        <v>5</v>
      </c>
      <c r="Q552" s="3">
        <v>8</v>
      </c>
      <c r="R552" s="5" t="b">
        <v>0</v>
      </c>
      <c r="S552" s="3">
        <v>2</v>
      </c>
      <c r="T552" s="3">
        <v>5</v>
      </c>
    </row>
    <row r="553" spans="1:20">
      <c r="A553" s="5" t="s">
        <v>267</v>
      </c>
      <c r="B553" s="5" t="s">
        <v>268</v>
      </c>
      <c r="C553" s="6">
        <v>44979</v>
      </c>
      <c r="D553" s="8">
        <v>33</v>
      </c>
      <c r="E553" s="5" t="s">
        <v>20</v>
      </c>
      <c r="F553" s="5" t="s">
        <v>52</v>
      </c>
      <c r="G553" s="5" t="s">
        <v>64</v>
      </c>
      <c r="H553" s="7">
        <v>2717.55</v>
      </c>
      <c r="I553" s="3">
        <v>4</v>
      </c>
      <c r="J553" s="3">
        <f t="shared" si="16"/>
        <v>10870.2</v>
      </c>
      <c r="K553" s="4">
        <v>0</v>
      </c>
      <c r="L553" s="23">
        <f t="shared" si="17"/>
        <v>0</v>
      </c>
      <c r="M553" s="7">
        <v>10870.2</v>
      </c>
      <c r="N553" s="5" t="s">
        <v>23</v>
      </c>
      <c r="O553" s="5" t="s">
        <v>33</v>
      </c>
      <c r="P553" s="3">
        <v>8</v>
      </c>
      <c r="Q553" s="3">
        <v>7</v>
      </c>
      <c r="R553" s="5" t="b">
        <v>1</v>
      </c>
      <c r="S553" s="3">
        <v>7</v>
      </c>
      <c r="T553" s="3">
        <v>5</v>
      </c>
    </row>
    <row r="554" spans="1:20">
      <c r="A554" s="5" t="s">
        <v>1117</v>
      </c>
      <c r="B554" s="5" t="s">
        <v>1118</v>
      </c>
      <c r="C554" s="6">
        <v>45108</v>
      </c>
      <c r="D554" s="8">
        <v>49</v>
      </c>
      <c r="E554" s="5" t="s">
        <v>20</v>
      </c>
      <c r="F554" s="5" t="s">
        <v>73</v>
      </c>
      <c r="G554" s="5" t="s">
        <v>64</v>
      </c>
      <c r="H554" s="7">
        <v>489.75</v>
      </c>
      <c r="I554" s="3">
        <v>2</v>
      </c>
      <c r="J554" s="3">
        <f t="shared" si="16"/>
        <v>979.5</v>
      </c>
      <c r="K554" s="4">
        <v>0</v>
      </c>
      <c r="L554" s="23">
        <f t="shared" si="17"/>
        <v>0</v>
      </c>
      <c r="M554" s="7">
        <v>979.5</v>
      </c>
      <c r="N554" s="5" t="s">
        <v>692</v>
      </c>
      <c r="O554" s="5" t="s">
        <v>24</v>
      </c>
      <c r="P554" s="3">
        <v>5</v>
      </c>
      <c r="Q554" s="3">
        <v>11</v>
      </c>
      <c r="R554" s="5" t="b">
        <v>0</v>
      </c>
      <c r="S554" s="3">
        <v>4</v>
      </c>
      <c r="T554" s="3">
        <v>4</v>
      </c>
    </row>
    <row r="555" spans="1:20">
      <c r="A555" s="5" t="s">
        <v>1119</v>
      </c>
      <c r="B555" s="5" t="s">
        <v>1120</v>
      </c>
      <c r="C555" s="6">
        <v>45326</v>
      </c>
      <c r="D555" s="8">
        <v>38</v>
      </c>
      <c r="E555" s="5" t="s">
        <v>36</v>
      </c>
      <c r="F555" s="5" t="s">
        <v>52</v>
      </c>
      <c r="G555" s="5" t="s">
        <v>46</v>
      </c>
      <c r="H555" s="7">
        <v>292.22000000000003</v>
      </c>
      <c r="I555" s="3">
        <v>1</v>
      </c>
      <c r="J555" s="3">
        <f t="shared" si="16"/>
        <v>292.22000000000003</v>
      </c>
      <c r="K555" s="4">
        <v>0</v>
      </c>
      <c r="L555" s="23">
        <f t="shared" si="17"/>
        <v>0</v>
      </c>
      <c r="M555" s="7">
        <v>292.22000000000003</v>
      </c>
      <c r="N555" s="5" t="s">
        <v>692</v>
      </c>
      <c r="O555" s="5" t="s">
        <v>24</v>
      </c>
      <c r="P555" s="3">
        <v>6</v>
      </c>
      <c r="Q555" s="3">
        <v>10</v>
      </c>
      <c r="R555" s="5" t="b">
        <v>1</v>
      </c>
      <c r="S555" s="3">
        <v>11</v>
      </c>
      <c r="T555" s="3">
        <v>4</v>
      </c>
    </row>
    <row r="556" spans="1:20">
      <c r="A556" s="5" t="s">
        <v>604</v>
      </c>
      <c r="B556" s="5" t="s">
        <v>605</v>
      </c>
      <c r="C556" s="6">
        <v>45213</v>
      </c>
      <c r="D556" s="8">
        <v>39</v>
      </c>
      <c r="E556" s="5" t="s">
        <v>20</v>
      </c>
      <c r="F556" s="5" t="s">
        <v>49</v>
      </c>
      <c r="G556" s="5" t="s">
        <v>46</v>
      </c>
      <c r="H556" s="7">
        <v>791.79</v>
      </c>
      <c r="I556" s="3">
        <v>4</v>
      </c>
      <c r="J556" s="3">
        <f t="shared" si="16"/>
        <v>3167.16</v>
      </c>
      <c r="K556" s="4">
        <v>0</v>
      </c>
      <c r="L556" s="23">
        <f t="shared" si="17"/>
        <v>0</v>
      </c>
      <c r="M556" s="7">
        <v>3167.16</v>
      </c>
      <c r="N556" s="5" t="s">
        <v>327</v>
      </c>
      <c r="O556" s="5" t="s">
        <v>24</v>
      </c>
      <c r="P556" s="3">
        <v>7</v>
      </c>
      <c r="Q556" s="3">
        <v>7</v>
      </c>
      <c r="R556" s="5" t="b">
        <v>1</v>
      </c>
      <c r="S556" s="3">
        <v>5</v>
      </c>
      <c r="T556" s="3">
        <v>4</v>
      </c>
    </row>
    <row r="557" spans="1:20">
      <c r="A557" s="5" t="s">
        <v>606</v>
      </c>
      <c r="B557" s="5" t="s">
        <v>607</v>
      </c>
      <c r="C557" s="6">
        <v>45374</v>
      </c>
      <c r="D557" s="8">
        <v>30</v>
      </c>
      <c r="E557" s="5" t="s">
        <v>36</v>
      </c>
      <c r="F557" s="5" t="s">
        <v>32</v>
      </c>
      <c r="G557" s="5" t="s">
        <v>56</v>
      </c>
      <c r="H557" s="7">
        <v>325.14</v>
      </c>
      <c r="I557" s="3">
        <v>3</v>
      </c>
      <c r="J557" s="3">
        <f t="shared" si="16"/>
        <v>975.42</v>
      </c>
      <c r="K557" s="4">
        <v>0</v>
      </c>
      <c r="L557" s="23">
        <f t="shared" si="17"/>
        <v>0</v>
      </c>
      <c r="M557" s="7">
        <v>975.42</v>
      </c>
      <c r="N557" s="5" t="s">
        <v>327</v>
      </c>
      <c r="O557" s="5" t="s">
        <v>33</v>
      </c>
      <c r="P557" s="3">
        <v>6</v>
      </c>
      <c r="Q557" s="3">
        <v>7</v>
      </c>
      <c r="R557" s="5" t="b">
        <v>0</v>
      </c>
      <c r="S557" s="3">
        <v>4</v>
      </c>
      <c r="T557" s="3">
        <v>5</v>
      </c>
    </row>
    <row r="558" spans="1:20">
      <c r="A558" s="5" t="s">
        <v>608</v>
      </c>
      <c r="B558" s="5" t="s">
        <v>609</v>
      </c>
      <c r="C558" s="6">
        <v>45135</v>
      </c>
      <c r="D558" s="8">
        <v>29</v>
      </c>
      <c r="E558" s="5" t="s">
        <v>36</v>
      </c>
      <c r="F558" s="5" t="s">
        <v>32</v>
      </c>
      <c r="G558" s="5" t="s">
        <v>37</v>
      </c>
      <c r="H558" s="7">
        <v>64.760000000000005</v>
      </c>
      <c r="I558" s="3">
        <v>4</v>
      </c>
      <c r="J558" s="3">
        <f t="shared" si="16"/>
        <v>259.04000000000002</v>
      </c>
      <c r="K558" s="4">
        <v>0</v>
      </c>
      <c r="L558" s="23">
        <f t="shared" si="17"/>
        <v>0</v>
      </c>
      <c r="M558" s="7">
        <v>259.04000000000002</v>
      </c>
      <c r="N558" s="5" t="s">
        <v>327</v>
      </c>
      <c r="O558" s="5" t="s">
        <v>33</v>
      </c>
      <c r="P558" s="3">
        <v>8</v>
      </c>
      <c r="Q558" s="3">
        <v>3</v>
      </c>
      <c r="R558" s="5" t="b">
        <v>0</v>
      </c>
      <c r="S558" s="3">
        <v>11</v>
      </c>
      <c r="T558" s="3">
        <v>5</v>
      </c>
    </row>
    <row r="559" spans="1:20">
      <c r="A559" s="5" t="s">
        <v>1121</v>
      </c>
      <c r="B559" s="5" t="s">
        <v>1122</v>
      </c>
      <c r="C559" s="6">
        <v>45244</v>
      </c>
      <c r="D559" s="8">
        <v>29</v>
      </c>
      <c r="E559" s="5" t="s">
        <v>20</v>
      </c>
      <c r="F559" s="5" t="s">
        <v>21</v>
      </c>
      <c r="G559" s="5" t="s">
        <v>22</v>
      </c>
      <c r="H559" s="7">
        <v>164.08</v>
      </c>
      <c r="I559" s="3">
        <v>3</v>
      </c>
      <c r="J559" s="3">
        <f t="shared" si="16"/>
        <v>492.24</v>
      </c>
      <c r="K559" s="4">
        <v>0</v>
      </c>
      <c r="L559" s="23">
        <f t="shared" si="17"/>
        <v>0</v>
      </c>
      <c r="M559" s="7">
        <v>492.24</v>
      </c>
      <c r="N559" s="5" t="s">
        <v>692</v>
      </c>
      <c r="O559" s="5" t="s">
        <v>33</v>
      </c>
      <c r="P559" s="3">
        <v>34</v>
      </c>
      <c r="Q559" s="3">
        <v>9</v>
      </c>
      <c r="R559" s="5" t="b">
        <v>0</v>
      </c>
      <c r="S559" s="3">
        <v>3</v>
      </c>
      <c r="T559" s="3">
        <v>4</v>
      </c>
    </row>
    <row r="560" spans="1:20">
      <c r="A560" s="5" t="s">
        <v>269</v>
      </c>
      <c r="B560" s="5" t="s">
        <v>270</v>
      </c>
      <c r="C560" s="6">
        <v>45310</v>
      </c>
      <c r="D560" s="8">
        <v>39</v>
      </c>
      <c r="E560" s="5" t="s">
        <v>36</v>
      </c>
      <c r="F560" s="5" t="s">
        <v>52</v>
      </c>
      <c r="G560" s="5" t="s">
        <v>46</v>
      </c>
      <c r="H560" s="7">
        <v>598.76</v>
      </c>
      <c r="I560" s="3">
        <v>1</v>
      </c>
      <c r="J560" s="3">
        <f t="shared" si="16"/>
        <v>598.76</v>
      </c>
      <c r="K560" s="4">
        <v>0</v>
      </c>
      <c r="L560" s="23">
        <f t="shared" si="17"/>
        <v>0</v>
      </c>
      <c r="M560" s="7">
        <v>598.76</v>
      </c>
      <c r="N560" s="5" t="s">
        <v>23</v>
      </c>
      <c r="O560" s="5" t="s">
        <v>33</v>
      </c>
      <c r="P560" s="3">
        <v>14</v>
      </c>
      <c r="Q560" s="3">
        <v>7</v>
      </c>
      <c r="R560" s="5" t="b">
        <v>0</v>
      </c>
      <c r="S560" s="3">
        <v>9</v>
      </c>
      <c r="T560" s="3">
        <v>5</v>
      </c>
    </row>
    <row r="561" spans="1:20">
      <c r="A561" s="5" t="s">
        <v>1123</v>
      </c>
      <c r="B561" s="5" t="s">
        <v>1124</v>
      </c>
      <c r="C561" s="6">
        <v>45006</v>
      </c>
      <c r="D561" s="8">
        <v>29</v>
      </c>
      <c r="E561" s="5" t="s">
        <v>36</v>
      </c>
      <c r="F561" s="5" t="s">
        <v>52</v>
      </c>
      <c r="G561" s="5" t="s">
        <v>115</v>
      </c>
      <c r="H561" s="7">
        <v>120.51</v>
      </c>
      <c r="I561" s="3">
        <v>1</v>
      </c>
      <c r="J561" s="3">
        <f t="shared" si="16"/>
        <v>120.51</v>
      </c>
      <c r="K561" s="4">
        <v>0</v>
      </c>
      <c r="L561" s="23">
        <f t="shared" si="17"/>
        <v>0</v>
      </c>
      <c r="M561" s="7">
        <v>120.51</v>
      </c>
      <c r="N561" s="5" t="s">
        <v>692</v>
      </c>
      <c r="O561" s="5" t="s">
        <v>24</v>
      </c>
      <c r="P561" s="3">
        <v>11</v>
      </c>
      <c r="Q561" s="3">
        <v>13</v>
      </c>
      <c r="R561" s="5" t="b">
        <v>0</v>
      </c>
      <c r="S561" s="3">
        <v>8</v>
      </c>
      <c r="T561" s="3">
        <v>5</v>
      </c>
    </row>
    <row r="562" spans="1:20">
      <c r="A562" s="5" t="s">
        <v>610</v>
      </c>
      <c r="B562" s="5" t="s">
        <v>611</v>
      </c>
      <c r="C562" s="6">
        <v>45048</v>
      </c>
      <c r="D562" s="8">
        <v>38</v>
      </c>
      <c r="E562" s="5" t="s">
        <v>36</v>
      </c>
      <c r="F562" s="5" t="s">
        <v>32</v>
      </c>
      <c r="G562" s="5" t="s">
        <v>53</v>
      </c>
      <c r="H562" s="7">
        <v>124.09</v>
      </c>
      <c r="I562" s="3">
        <v>5</v>
      </c>
      <c r="J562" s="3">
        <f t="shared" si="16"/>
        <v>620.45000000000005</v>
      </c>
      <c r="K562" s="4">
        <v>13.36</v>
      </c>
      <c r="L562" s="23">
        <f t="shared" si="17"/>
        <v>2.1532758481747117E-2</v>
      </c>
      <c r="M562" s="7">
        <v>607.09</v>
      </c>
      <c r="N562" s="5" t="s">
        <v>327</v>
      </c>
      <c r="O562" s="5" t="s">
        <v>33</v>
      </c>
      <c r="P562" s="3">
        <v>18</v>
      </c>
      <c r="Q562" s="3">
        <v>7</v>
      </c>
      <c r="R562" s="5" t="b">
        <v>0</v>
      </c>
      <c r="S562" s="3">
        <v>11</v>
      </c>
      <c r="T562" s="3">
        <v>3</v>
      </c>
    </row>
    <row r="563" spans="1:20">
      <c r="A563" s="5" t="s">
        <v>612</v>
      </c>
      <c r="B563" s="5" t="s">
        <v>613</v>
      </c>
      <c r="C563" s="6">
        <v>45369</v>
      </c>
      <c r="D563" s="8">
        <v>59</v>
      </c>
      <c r="E563" s="5" t="s">
        <v>20</v>
      </c>
      <c r="F563" s="5" t="s">
        <v>88</v>
      </c>
      <c r="G563" s="5" t="s">
        <v>46</v>
      </c>
      <c r="H563" s="7">
        <v>854.83</v>
      </c>
      <c r="I563" s="3">
        <v>3</v>
      </c>
      <c r="J563" s="3">
        <f t="shared" si="16"/>
        <v>2564.4900000000002</v>
      </c>
      <c r="K563" s="4">
        <v>0</v>
      </c>
      <c r="L563" s="23">
        <f t="shared" si="17"/>
        <v>0</v>
      </c>
      <c r="M563" s="7">
        <v>2564.4899999999998</v>
      </c>
      <c r="N563" s="5" t="s">
        <v>327</v>
      </c>
      <c r="O563" s="5" t="s">
        <v>33</v>
      </c>
      <c r="P563" s="3">
        <v>3</v>
      </c>
      <c r="Q563" s="3">
        <v>8</v>
      </c>
      <c r="R563" s="5" t="b">
        <v>1</v>
      </c>
      <c r="S563" s="3">
        <v>8</v>
      </c>
      <c r="T563" s="3">
        <v>4</v>
      </c>
    </row>
    <row r="564" spans="1:20">
      <c r="A564" s="5" t="s">
        <v>1125</v>
      </c>
      <c r="B564" s="5" t="s">
        <v>1126</v>
      </c>
      <c r="C564" s="6">
        <v>45010</v>
      </c>
      <c r="D564" s="8">
        <v>45</v>
      </c>
      <c r="E564" s="5" t="s">
        <v>20</v>
      </c>
      <c r="F564" s="5" t="s">
        <v>49</v>
      </c>
      <c r="G564" s="5" t="s">
        <v>64</v>
      </c>
      <c r="H564" s="7">
        <v>1407.18</v>
      </c>
      <c r="I564" s="3">
        <v>1</v>
      </c>
      <c r="J564" s="3">
        <f t="shared" si="16"/>
        <v>1407.18</v>
      </c>
      <c r="K564" s="4">
        <v>0</v>
      </c>
      <c r="L564" s="23">
        <f t="shared" si="17"/>
        <v>0</v>
      </c>
      <c r="M564" s="7">
        <v>1407.18</v>
      </c>
      <c r="N564" s="5" t="s">
        <v>692</v>
      </c>
      <c r="O564" s="5" t="s">
        <v>33</v>
      </c>
      <c r="P564" s="3">
        <v>13</v>
      </c>
      <c r="Q564" s="3">
        <v>7</v>
      </c>
      <c r="R564" s="5" t="b">
        <v>1</v>
      </c>
      <c r="S564" s="3">
        <v>10</v>
      </c>
      <c r="T564" s="3">
        <v>4</v>
      </c>
    </row>
    <row r="565" spans="1:20">
      <c r="A565" s="5" t="s">
        <v>271</v>
      </c>
      <c r="B565" s="5" t="s">
        <v>272</v>
      </c>
      <c r="C565" s="6">
        <v>45336</v>
      </c>
      <c r="D565" s="8">
        <v>31</v>
      </c>
      <c r="E565" s="5" t="s">
        <v>20</v>
      </c>
      <c r="F565" s="5" t="s">
        <v>32</v>
      </c>
      <c r="G565" s="5" t="s">
        <v>115</v>
      </c>
      <c r="H565" s="7">
        <v>90.82</v>
      </c>
      <c r="I565" s="3">
        <v>1</v>
      </c>
      <c r="J565" s="3">
        <f t="shared" si="16"/>
        <v>90.82</v>
      </c>
      <c r="K565" s="4">
        <v>0</v>
      </c>
      <c r="L565" s="23">
        <f t="shared" si="17"/>
        <v>0</v>
      </c>
      <c r="M565" s="7">
        <v>90.82</v>
      </c>
      <c r="N565" s="5" t="s">
        <v>23</v>
      </c>
      <c r="O565" s="5" t="s">
        <v>33</v>
      </c>
      <c r="P565" s="3">
        <v>19</v>
      </c>
      <c r="Q565" s="3">
        <v>8</v>
      </c>
      <c r="R565" s="5" t="b">
        <v>1</v>
      </c>
      <c r="S565" s="3">
        <v>6</v>
      </c>
      <c r="T565" s="3">
        <v>5</v>
      </c>
    </row>
    <row r="566" spans="1:20">
      <c r="A566" s="5" t="s">
        <v>614</v>
      </c>
      <c r="B566" s="5" t="s">
        <v>615</v>
      </c>
      <c r="C566" s="6">
        <v>45342</v>
      </c>
      <c r="D566" s="8">
        <v>49</v>
      </c>
      <c r="E566" s="5" t="s">
        <v>20</v>
      </c>
      <c r="F566" s="5" t="s">
        <v>32</v>
      </c>
      <c r="G566" s="5" t="s">
        <v>22</v>
      </c>
      <c r="H566" s="7">
        <v>84.47</v>
      </c>
      <c r="I566" s="3">
        <v>1</v>
      </c>
      <c r="J566" s="3">
        <f t="shared" si="16"/>
        <v>84.47</v>
      </c>
      <c r="K566" s="4">
        <v>15.05</v>
      </c>
      <c r="L566" s="23">
        <f t="shared" si="17"/>
        <v>0.17816976441340121</v>
      </c>
      <c r="M566" s="7">
        <v>69.42</v>
      </c>
      <c r="N566" s="5" t="s">
        <v>327</v>
      </c>
      <c r="O566" s="5" t="s">
        <v>33</v>
      </c>
      <c r="P566" s="3">
        <v>32</v>
      </c>
      <c r="Q566" s="3">
        <v>7</v>
      </c>
      <c r="R566" s="5" t="b">
        <v>0</v>
      </c>
      <c r="S566" s="3">
        <v>13</v>
      </c>
      <c r="T566" s="3">
        <v>4</v>
      </c>
    </row>
    <row r="567" spans="1:20">
      <c r="A567" s="5" t="s">
        <v>616</v>
      </c>
      <c r="B567" s="5" t="s">
        <v>617</v>
      </c>
      <c r="C567" s="6">
        <v>45017</v>
      </c>
      <c r="D567" s="8">
        <v>30</v>
      </c>
      <c r="E567" s="5" t="s">
        <v>20</v>
      </c>
      <c r="F567" s="5" t="s">
        <v>83</v>
      </c>
      <c r="G567" s="5" t="s">
        <v>56</v>
      </c>
      <c r="H567" s="7">
        <v>2182.37</v>
      </c>
      <c r="I567" s="3">
        <v>2</v>
      </c>
      <c r="J567" s="3">
        <f t="shared" si="16"/>
        <v>4364.74</v>
      </c>
      <c r="K567" s="4">
        <v>0</v>
      </c>
      <c r="L567" s="23">
        <f t="shared" si="17"/>
        <v>0</v>
      </c>
      <c r="M567" s="7">
        <v>4364.74</v>
      </c>
      <c r="N567" s="5" t="s">
        <v>327</v>
      </c>
      <c r="O567" s="5" t="s">
        <v>29</v>
      </c>
      <c r="P567" s="3">
        <v>13</v>
      </c>
      <c r="Q567" s="3">
        <v>9</v>
      </c>
      <c r="R567" s="5" t="b">
        <v>1</v>
      </c>
      <c r="S567" s="3">
        <v>5</v>
      </c>
      <c r="T567" s="3">
        <v>5</v>
      </c>
    </row>
    <row r="568" spans="1:20">
      <c r="A568" s="5" t="s">
        <v>618</v>
      </c>
      <c r="B568" s="5" t="s">
        <v>619</v>
      </c>
      <c r="C568" s="6">
        <v>45138</v>
      </c>
      <c r="D568" s="8">
        <v>18</v>
      </c>
      <c r="E568" s="5" t="s">
        <v>20</v>
      </c>
      <c r="F568" s="5" t="s">
        <v>49</v>
      </c>
      <c r="G568" s="5" t="s">
        <v>46</v>
      </c>
      <c r="H568" s="7">
        <v>227.16</v>
      </c>
      <c r="I568" s="3">
        <v>1</v>
      </c>
      <c r="J568" s="3">
        <f t="shared" si="16"/>
        <v>227.16</v>
      </c>
      <c r="K568" s="4">
        <v>0</v>
      </c>
      <c r="L568" s="23">
        <f t="shared" si="17"/>
        <v>0</v>
      </c>
      <c r="M568" s="7">
        <v>227.16</v>
      </c>
      <c r="N568" s="5" t="s">
        <v>327</v>
      </c>
      <c r="O568" s="5" t="s">
        <v>33</v>
      </c>
      <c r="P568" s="3">
        <v>9</v>
      </c>
      <c r="Q568" s="3">
        <v>6</v>
      </c>
      <c r="R568" s="5" t="b">
        <v>0</v>
      </c>
      <c r="S568" s="3">
        <v>3</v>
      </c>
      <c r="T568" s="3">
        <v>4</v>
      </c>
    </row>
    <row r="569" spans="1:20">
      <c r="A569" s="5" t="s">
        <v>1419</v>
      </c>
      <c r="B569" s="5" t="s">
        <v>1420</v>
      </c>
      <c r="C569" s="6">
        <v>44939</v>
      </c>
      <c r="D569" s="8">
        <v>22</v>
      </c>
      <c r="E569" s="5" t="s">
        <v>36</v>
      </c>
      <c r="F569" s="5" t="s">
        <v>21</v>
      </c>
      <c r="G569" s="5" t="s">
        <v>64</v>
      </c>
      <c r="H569" s="7">
        <v>2111.5700000000002</v>
      </c>
      <c r="I569" s="3">
        <v>3</v>
      </c>
      <c r="J569" s="3">
        <f t="shared" si="16"/>
        <v>6334.7100000000009</v>
      </c>
      <c r="K569" s="4">
        <v>0</v>
      </c>
      <c r="L569" s="23">
        <f t="shared" si="17"/>
        <v>0</v>
      </c>
      <c r="M569" s="7">
        <v>6334.71</v>
      </c>
      <c r="N569" s="5" t="s">
        <v>1298</v>
      </c>
      <c r="O569" s="5" t="s">
        <v>29</v>
      </c>
      <c r="P569" s="3">
        <v>6</v>
      </c>
      <c r="Q569" s="3">
        <v>7</v>
      </c>
      <c r="R569" s="5" t="b">
        <v>0</v>
      </c>
      <c r="S569" s="3">
        <v>3</v>
      </c>
      <c r="T569" s="3">
        <v>2</v>
      </c>
    </row>
    <row r="570" spans="1:20">
      <c r="A570" s="5" t="s">
        <v>273</v>
      </c>
      <c r="B570" s="5" t="s">
        <v>274</v>
      </c>
      <c r="C570" s="6">
        <v>45018</v>
      </c>
      <c r="D570" s="8">
        <v>18</v>
      </c>
      <c r="E570" s="5" t="s">
        <v>20</v>
      </c>
      <c r="F570" s="5" t="s">
        <v>27</v>
      </c>
      <c r="G570" s="5" t="s">
        <v>28</v>
      </c>
      <c r="H570" s="7">
        <v>161.71</v>
      </c>
      <c r="I570" s="3">
        <v>4</v>
      </c>
      <c r="J570" s="3">
        <f t="shared" si="16"/>
        <v>646.84</v>
      </c>
      <c r="K570" s="4">
        <v>0</v>
      </c>
      <c r="L570" s="23">
        <f t="shared" si="17"/>
        <v>0</v>
      </c>
      <c r="M570" s="7">
        <v>646.84</v>
      </c>
      <c r="N570" s="5" t="s">
        <v>23</v>
      </c>
      <c r="O570" s="5" t="s">
        <v>33</v>
      </c>
      <c r="P570" s="3">
        <v>13</v>
      </c>
      <c r="Q570" s="3">
        <v>8</v>
      </c>
      <c r="R570" s="5" t="b">
        <v>0</v>
      </c>
      <c r="S570" s="3">
        <v>2</v>
      </c>
      <c r="T570" s="3">
        <v>2</v>
      </c>
    </row>
    <row r="571" spans="1:20">
      <c r="A571" s="5" t="s">
        <v>1127</v>
      </c>
      <c r="B571" s="5" t="s">
        <v>1128</v>
      </c>
      <c r="C571" s="6">
        <v>45304</v>
      </c>
      <c r="D571" s="8">
        <v>30</v>
      </c>
      <c r="E571" s="5" t="s">
        <v>20</v>
      </c>
      <c r="F571" s="5" t="s">
        <v>27</v>
      </c>
      <c r="G571" s="5" t="s">
        <v>53</v>
      </c>
      <c r="H571" s="7">
        <v>20.37</v>
      </c>
      <c r="I571" s="3">
        <v>2</v>
      </c>
      <c r="J571" s="3">
        <f t="shared" si="16"/>
        <v>40.74</v>
      </c>
      <c r="K571" s="4">
        <v>3.95</v>
      </c>
      <c r="L571" s="23">
        <f t="shared" si="17"/>
        <v>9.6956308296514485E-2</v>
      </c>
      <c r="M571" s="7">
        <v>36.79</v>
      </c>
      <c r="N571" s="5" t="s">
        <v>692</v>
      </c>
      <c r="O571" s="5" t="s">
        <v>24</v>
      </c>
      <c r="P571" s="3">
        <v>9</v>
      </c>
      <c r="Q571" s="3">
        <v>10</v>
      </c>
      <c r="R571" s="5" t="b">
        <v>1</v>
      </c>
      <c r="S571" s="3">
        <v>14</v>
      </c>
      <c r="T571" s="3">
        <v>2</v>
      </c>
    </row>
    <row r="572" spans="1:20">
      <c r="A572" s="5" t="s">
        <v>1129</v>
      </c>
      <c r="B572" s="5" t="s">
        <v>1130</v>
      </c>
      <c r="C572" s="6">
        <v>45097</v>
      </c>
      <c r="D572" s="8">
        <v>35</v>
      </c>
      <c r="E572" s="5" t="s">
        <v>20</v>
      </c>
      <c r="F572" s="5" t="s">
        <v>27</v>
      </c>
      <c r="G572" s="5" t="s">
        <v>53</v>
      </c>
      <c r="H572" s="7">
        <v>29.29</v>
      </c>
      <c r="I572" s="3">
        <v>2</v>
      </c>
      <c r="J572" s="3">
        <f t="shared" si="16"/>
        <v>58.58</v>
      </c>
      <c r="K572" s="4">
        <v>0</v>
      </c>
      <c r="L572" s="23">
        <f t="shared" si="17"/>
        <v>0</v>
      </c>
      <c r="M572" s="7">
        <v>58.58</v>
      </c>
      <c r="N572" s="5" t="s">
        <v>692</v>
      </c>
      <c r="O572" s="5" t="s">
        <v>33</v>
      </c>
      <c r="P572" s="3">
        <v>10</v>
      </c>
      <c r="Q572" s="3">
        <v>10</v>
      </c>
      <c r="R572" s="5" t="b">
        <v>0</v>
      </c>
      <c r="S572" s="3">
        <v>6</v>
      </c>
      <c r="T572" s="3">
        <v>1</v>
      </c>
    </row>
    <row r="573" spans="1:20">
      <c r="A573" s="5" t="s">
        <v>1131</v>
      </c>
      <c r="B573" s="5" t="s">
        <v>1132</v>
      </c>
      <c r="C573" s="6">
        <v>45327</v>
      </c>
      <c r="D573" s="8">
        <v>55</v>
      </c>
      <c r="E573" s="5" t="s">
        <v>36</v>
      </c>
      <c r="F573" s="5" t="s">
        <v>21</v>
      </c>
      <c r="G573" s="5" t="s">
        <v>28</v>
      </c>
      <c r="H573" s="7">
        <v>313.64</v>
      </c>
      <c r="I573" s="3">
        <v>1</v>
      </c>
      <c r="J573" s="3">
        <f t="shared" si="16"/>
        <v>313.64</v>
      </c>
      <c r="K573" s="4">
        <v>89.14</v>
      </c>
      <c r="L573" s="23">
        <f t="shared" si="17"/>
        <v>0.28421119755133273</v>
      </c>
      <c r="M573" s="7">
        <v>224.5</v>
      </c>
      <c r="N573" s="5" t="s">
        <v>692</v>
      </c>
      <c r="O573" s="5" t="s">
        <v>33</v>
      </c>
      <c r="P573" s="3">
        <v>14</v>
      </c>
      <c r="Q573" s="3">
        <v>10</v>
      </c>
      <c r="R573" s="5" t="b">
        <v>1</v>
      </c>
      <c r="S573" s="3">
        <v>2</v>
      </c>
      <c r="T573" s="3">
        <v>4</v>
      </c>
    </row>
    <row r="574" spans="1:20">
      <c r="A574" s="5" t="s">
        <v>1133</v>
      </c>
      <c r="B574" s="5" t="s">
        <v>1134</v>
      </c>
      <c r="C574" s="6">
        <v>45137</v>
      </c>
      <c r="D574" s="8">
        <v>38</v>
      </c>
      <c r="E574" s="5" t="s">
        <v>36</v>
      </c>
      <c r="F574" s="5" t="s">
        <v>21</v>
      </c>
      <c r="G574" s="5" t="s">
        <v>56</v>
      </c>
      <c r="H574" s="7">
        <v>516.20000000000005</v>
      </c>
      <c r="I574" s="3">
        <v>5</v>
      </c>
      <c r="J574" s="3">
        <f t="shared" si="16"/>
        <v>2581</v>
      </c>
      <c r="K574" s="4">
        <v>0</v>
      </c>
      <c r="L574" s="23">
        <f t="shared" si="17"/>
        <v>0</v>
      </c>
      <c r="M574" s="7">
        <v>2581</v>
      </c>
      <c r="N574" s="5" t="s">
        <v>692</v>
      </c>
      <c r="O574" s="5" t="s">
        <v>33</v>
      </c>
      <c r="P574" s="3">
        <v>9</v>
      </c>
      <c r="Q574" s="3">
        <v>9</v>
      </c>
      <c r="R574" s="5" t="b">
        <v>1</v>
      </c>
      <c r="S574" s="3">
        <v>8</v>
      </c>
      <c r="T574" s="3">
        <v>5</v>
      </c>
    </row>
    <row r="575" spans="1:20">
      <c r="A575" s="5" t="s">
        <v>1282</v>
      </c>
      <c r="B575" s="5" t="s">
        <v>1283</v>
      </c>
      <c r="C575" s="6">
        <v>45337</v>
      </c>
      <c r="D575" s="8">
        <v>32</v>
      </c>
      <c r="E575" s="5" t="s">
        <v>36</v>
      </c>
      <c r="F575" s="5" t="s">
        <v>32</v>
      </c>
      <c r="G575" s="5" t="s">
        <v>56</v>
      </c>
      <c r="H575" s="7">
        <v>261</v>
      </c>
      <c r="I575" s="3">
        <v>4</v>
      </c>
      <c r="J575" s="3">
        <f t="shared" si="16"/>
        <v>1044</v>
      </c>
      <c r="K575" s="4">
        <v>0</v>
      </c>
      <c r="L575" s="23">
        <f t="shared" si="17"/>
        <v>0</v>
      </c>
      <c r="M575" s="7">
        <v>1044</v>
      </c>
      <c r="N575" s="5" t="s">
        <v>1231</v>
      </c>
      <c r="O575" s="5" t="s">
        <v>33</v>
      </c>
      <c r="P575" s="3">
        <v>5</v>
      </c>
      <c r="Q575" s="3">
        <v>9</v>
      </c>
      <c r="R575" s="5" t="b">
        <v>0</v>
      </c>
      <c r="S575" s="3">
        <v>5</v>
      </c>
      <c r="T575" s="3">
        <v>2</v>
      </c>
    </row>
    <row r="576" spans="1:20">
      <c r="A576" s="5" t="s">
        <v>620</v>
      </c>
      <c r="B576" s="5" t="s">
        <v>621</v>
      </c>
      <c r="C576" s="6">
        <v>45269</v>
      </c>
      <c r="D576" s="8">
        <v>44</v>
      </c>
      <c r="E576" s="5" t="s">
        <v>20</v>
      </c>
      <c r="F576" s="5" t="s">
        <v>76</v>
      </c>
      <c r="G576" s="5" t="s">
        <v>46</v>
      </c>
      <c r="H576" s="7">
        <v>345.82</v>
      </c>
      <c r="I576" s="3">
        <v>2</v>
      </c>
      <c r="J576" s="3">
        <f t="shared" si="16"/>
        <v>691.64</v>
      </c>
      <c r="K576" s="4">
        <v>0</v>
      </c>
      <c r="L576" s="23">
        <f t="shared" si="17"/>
        <v>0</v>
      </c>
      <c r="M576" s="7">
        <v>691.64</v>
      </c>
      <c r="N576" s="5" t="s">
        <v>327</v>
      </c>
      <c r="O576" s="5" t="s">
        <v>33</v>
      </c>
      <c r="P576" s="3">
        <v>15</v>
      </c>
      <c r="Q576" s="3">
        <v>5</v>
      </c>
      <c r="R576" s="5" t="b">
        <v>1</v>
      </c>
      <c r="S576" s="3">
        <v>11</v>
      </c>
      <c r="T576" s="3">
        <v>4</v>
      </c>
    </row>
    <row r="577" spans="1:20">
      <c r="A577" s="5" t="s">
        <v>1421</v>
      </c>
      <c r="B577" s="5" t="s">
        <v>1422</v>
      </c>
      <c r="C577" s="6">
        <v>45369</v>
      </c>
      <c r="D577" s="8">
        <v>18</v>
      </c>
      <c r="E577" s="5" t="s">
        <v>36</v>
      </c>
      <c r="F577" s="5" t="s">
        <v>73</v>
      </c>
      <c r="G577" s="5" t="s">
        <v>56</v>
      </c>
      <c r="H577" s="7">
        <v>260.91000000000003</v>
      </c>
      <c r="I577" s="3">
        <v>1</v>
      </c>
      <c r="J577" s="3">
        <f t="shared" si="16"/>
        <v>260.91000000000003</v>
      </c>
      <c r="K577" s="4">
        <v>0</v>
      </c>
      <c r="L577" s="23">
        <f t="shared" si="17"/>
        <v>0</v>
      </c>
      <c r="M577" s="7">
        <v>260.91000000000003</v>
      </c>
      <c r="N577" s="5" t="s">
        <v>1298</v>
      </c>
      <c r="O577" s="5" t="s">
        <v>24</v>
      </c>
      <c r="P577" s="3">
        <v>8</v>
      </c>
      <c r="Q577" s="3">
        <v>12</v>
      </c>
      <c r="R577" s="5" t="b">
        <v>1</v>
      </c>
      <c r="S577" s="3">
        <v>8</v>
      </c>
      <c r="T577" s="3">
        <v>4</v>
      </c>
    </row>
    <row r="578" spans="1:20">
      <c r="A578" s="5" t="s">
        <v>1135</v>
      </c>
      <c r="B578" s="5" t="s">
        <v>1136</v>
      </c>
      <c r="C578" s="6">
        <v>45303</v>
      </c>
      <c r="D578" s="8">
        <v>37</v>
      </c>
      <c r="E578" s="5" t="s">
        <v>20</v>
      </c>
      <c r="F578" s="5" t="s">
        <v>32</v>
      </c>
      <c r="G578" s="5" t="s">
        <v>115</v>
      </c>
      <c r="H578" s="7">
        <v>38.729999999999997</v>
      </c>
      <c r="I578" s="3">
        <v>4</v>
      </c>
      <c r="J578" s="3">
        <f t="shared" si="16"/>
        <v>154.91999999999999</v>
      </c>
      <c r="K578" s="4">
        <v>0</v>
      </c>
      <c r="L578" s="23">
        <f t="shared" si="17"/>
        <v>0</v>
      </c>
      <c r="M578" s="7">
        <v>154.91999999999999</v>
      </c>
      <c r="N578" s="5" t="s">
        <v>692</v>
      </c>
      <c r="O578" s="5" t="s">
        <v>33</v>
      </c>
      <c r="P578" s="3">
        <v>20</v>
      </c>
      <c r="Q578" s="3">
        <v>11</v>
      </c>
      <c r="R578" s="5" t="b">
        <v>0</v>
      </c>
      <c r="S578" s="3">
        <v>7</v>
      </c>
      <c r="T578" s="3">
        <v>3</v>
      </c>
    </row>
    <row r="579" spans="1:20">
      <c r="A579" s="5" t="s">
        <v>622</v>
      </c>
      <c r="B579" s="5" t="s">
        <v>623</v>
      </c>
      <c r="C579" s="6">
        <v>45342</v>
      </c>
      <c r="D579" s="8">
        <v>44</v>
      </c>
      <c r="E579" s="5" t="s">
        <v>20</v>
      </c>
      <c r="F579" s="5" t="s">
        <v>76</v>
      </c>
      <c r="G579" s="5" t="s">
        <v>37</v>
      </c>
      <c r="H579" s="7">
        <v>31.21</v>
      </c>
      <c r="I579" s="3">
        <v>4</v>
      </c>
      <c r="J579" s="3">
        <f t="shared" ref="J579:J642" si="18">H579*I579</f>
        <v>124.84</v>
      </c>
      <c r="K579" s="4">
        <v>0</v>
      </c>
      <c r="L579" s="23">
        <f t="shared" ref="L579:L642" si="19">IF(J579=0,0,K579/J579)</f>
        <v>0</v>
      </c>
      <c r="M579" s="7">
        <v>124.84</v>
      </c>
      <c r="N579" s="5" t="s">
        <v>327</v>
      </c>
      <c r="O579" s="5" t="s">
        <v>33</v>
      </c>
      <c r="P579" s="3">
        <v>7</v>
      </c>
      <c r="Q579" s="3">
        <v>13</v>
      </c>
      <c r="R579" s="5" t="b">
        <v>1</v>
      </c>
      <c r="S579" s="3">
        <v>4</v>
      </c>
      <c r="T579" s="3">
        <v>4</v>
      </c>
    </row>
    <row r="580" spans="1:20">
      <c r="A580" s="5" t="s">
        <v>1284</v>
      </c>
      <c r="B580" s="5" t="s">
        <v>1285</v>
      </c>
      <c r="C580" s="6">
        <v>45054</v>
      </c>
      <c r="D580" s="8">
        <v>18</v>
      </c>
      <c r="E580" s="5" t="s">
        <v>20</v>
      </c>
      <c r="F580" s="5" t="s">
        <v>76</v>
      </c>
      <c r="G580" s="5" t="s">
        <v>37</v>
      </c>
      <c r="H580" s="7">
        <v>93.11</v>
      </c>
      <c r="I580" s="3">
        <v>3</v>
      </c>
      <c r="J580" s="3">
        <f t="shared" si="18"/>
        <v>279.33</v>
      </c>
      <c r="K580" s="4">
        <v>12.18</v>
      </c>
      <c r="L580" s="23">
        <f t="shared" si="19"/>
        <v>4.3604338953925466E-2</v>
      </c>
      <c r="M580" s="7">
        <v>267.14999999999998</v>
      </c>
      <c r="N580" s="5" t="s">
        <v>1231</v>
      </c>
      <c r="O580" s="5" t="s">
        <v>24</v>
      </c>
      <c r="P580" s="3">
        <v>24</v>
      </c>
      <c r="Q580" s="3">
        <v>7</v>
      </c>
      <c r="R580" s="5" t="b">
        <v>0</v>
      </c>
      <c r="S580" s="3">
        <v>15</v>
      </c>
      <c r="T580" s="3">
        <v>5</v>
      </c>
    </row>
    <row r="581" spans="1:20">
      <c r="A581" s="5" t="s">
        <v>1137</v>
      </c>
      <c r="B581" s="5" t="s">
        <v>1138</v>
      </c>
      <c r="C581" s="6">
        <v>45063</v>
      </c>
      <c r="D581" s="8">
        <v>48</v>
      </c>
      <c r="E581" s="5" t="s">
        <v>20</v>
      </c>
      <c r="F581" s="5" t="s">
        <v>83</v>
      </c>
      <c r="G581" s="5" t="s">
        <v>64</v>
      </c>
      <c r="H581" s="7">
        <v>1571.22</v>
      </c>
      <c r="I581" s="3">
        <v>3</v>
      </c>
      <c r="J581" s="3">
        <f t="shared" si="18"/>
        <v>4713.66</v>
      </c>
      <c r="K581" s="4">
        <v>0</v>
      </c>
      <c r="L581" s="23">
        <f t="shared" si="19"/>
        <v>0</v>
      </c>
      <c r="M581" s="7">
        <v>4713.66</v>
      </c>
      <c r="N581" s="5" t="s">
        <v>692</v>
      </c>
      <c r="O581" s="5" t="s">
        <v>33</v>
      </c>
      <c r="P581" s="3">
        <v>9</v>
      </c>
      <c r="Q581" s="3">
        <v>14</v>
      </c>
      <c r="R581" s="5" t="b">
        <v>0</v>
      </c>
      <c r="S581" s="3">
        <v>6</v>
      </c>
      <c r="T581" s="3">
        <v>1</v>
      </c>
    </row>
    <row r="582" spans="1:20">
      <c r="A582" s="5" t="s">
        <v>624</v>
      </c>
      <c r="B582" s="5" t="s">
        <v>625</v>
      </c>
      <c r="C582" s="6">
        <v>45008</v>
      </c>
      <c r="D582" s="8">
        <v>39</v>
      </c>
      <c r="E582" s="5" t="s">
        <v>20</v>
      </c>
      <c r="F582" s="5" t="s">
        <v>88</v>
      </c>
      <c r="G582" s="5" t="s">
        <v>64</v>
      </c>
      <c r="H582" s="7">
        <v>918.11</v>
      </c>
      <c r="I582" s="3">
        <v>4</v>
      </c>
      <c r="J582" s="3">
        <f t="shared" si="18"/>
        <v>3672.44</v>
      </c>
      <c r="K582" s="4">
        <v>144.07</v>
      </c>
      <c r="L582" s="23">
        <f t="shared" si="19"/>
        <v>3.9230048686976507E-2</v>
      </c>
      <c r="M582" s="7">
        <v>3528.37</v>
      </c>
      <c r="N582" s="5" t="s">
        <v>327</v>
      </c>
      <c r="O582" s="5" t="s">
        <v>33</v>
      </c>
      <c r="P582" s="3">
        <v>30</v>
      </c>
      <c r="Q582" s="3">
        <v>9</v>
      </c>
      <c r="R582" s="5" t="b">
        <v>1</v>
      </c>
      <c r="S582" s="3">
        <v>8</v>
      </c>
      <c r="T582" s="3">
        <v>3</v>
      </c>
    </row>
    <row r="583" spans="1:20">
      <c r="A583" s="5" t="s">
        <v>1423</v>
      </c>
      <c r="B583" s="5" t="s">
        <v>1424</v>
      </c>
      <c r="C583" s="6">
        <v>45330</v>
      </c>
      <c r="D583" s="8">
        <v>30</v>
      </c>
      <c r="E583" s="5" t="s">
        <v>36</v>
      </c>
      <c r="F583" s="5" t="s">
        <v>83</v>
      </c>
      <c r="G583" s="5" t="s">
        <v>115</v>
      </c>
      <c r="H583" s="7">
        <v>125.42</v>
      </c>
      <c r="I583" s="3">
        <v>1</v>
      </c>
      <c r="J583" s="3">
        <f t="shared" si="18"/>
        <v>125.42</v>
      </c>
      <c r="K583" s="4">
        <v>17.46</v>
      </c>
      <c r="L583" s="23">
        <f t="shared" si="19"/>
        <v>0.13921224685058206</v>
      </c>
      <c r="M583" s="7">
        <v>107.96</v>
      </c>
      <c r="N583" s="5" t="s">
        <v>1298</v>
      </c>
      <c r="O583" s="5" t="s">
        <v>33</v>
      </c>
      <c r="P583" s="3">
        <v>5</v>
      </c>
      <c r="Q583" s="3">
        <v>5</v>
      </c>
      <c r="R583" s="5" t="b">
        <v>1</v>
      </c>
      <c r="S583" s="3">
        <v>4</v>
      </c>
      <c r="T583" s="3">
        <v>5</v>
      </c>
    </row>
    <row r="584" spans="1:20">
      <c r="A584" s="5" t="s">
        <v>1425</v>
      </c>
      <c r="B584" s="5" t="s">
        <v>1426</v>
      </c>
      <c r="C584" s="6">
        <v>45286</v>
      </c>
      <c r="D584" s="8">
        <v>42</v>
      </c>
      <c r="E584" s="5" t="s">
        <v>36</v>
      </c>
      <c r="F584" s="5" t="s">
        <v>32</v>
      </c>
      <c r="G584" s="5" t="s">
        <v>64</v>
      </c>
      <c r="H584" s="7">
        <v>962.37</v>
      </c>
      <c r="I584" s="3">
        <v>1</v>
      </c>
      <c r="J584" s="3">
        <f t="shared" si="18"/>
        <v>962.37</v>
      </c>
      <c r="K584" s="4">
        <v>0</v>
      </c>
      <c r="L584" s="23">
        <f t="shared" si="19"/>
        <v>0</v>
      </c>
      <c r="M584" s="7">
        <v>962.37</v>
      </c>
      <c r="N584" s="5" t="s">
        <v>1298</v>
      </c>
      <c r="O584" s="5" t="s">
        <v>33</v>
      </c>
      <c r="P584" s="3">
        <v>23</v>
      </c>
      <c r="Q584" s="3">
        <v>5</v>
      </c>
      <c r="R584" s="5" t="b">
        <v>0</v>
      </c>
      <c r="S584" s="3">
        <v>5</v>
      </c>
      <c r="T584" s="3">
        <v>5</v>
      </c>
    </row>
    <row r="585" spans="1:20">
      <c r="A585" s="5" t="s">
        <v>275</v>
      </c>
      <c r="B585" s="5" t="s">
        <v>276</v>
      </c>
      <c r="C585" s="6">
        <v>44982</v>
      </c>
      <c r="D585" s="8">
        <v>62</v>
      </c>
      <c r="E585" s="5" t="s">
        <v>20</v>
      </c>
      <c r="F585" s="5" t="s">
        <v>59</v>
      </c>
      <c r="G585" s="5" t="s">
        <v>37</v>
      </c>
      <c r="H585" s="7">
        <v>85.3</v>
      </c>
      <c r="I585" s="3">
        <v>1</v>
      </c>
      <c r="J585" s="3">
        <f t="shared" si="18"/>
        <v>85.3</v>
      </c>
      <c r="K585" s="4">
        <v>0</v>
      </c>
      <c r="L585" s="23">
        <f t="shared" si="19"/>
        <v>0</v>
      </c>
      <c r="M585" s="7">
        <v>85.3</v>
      </c>
      <c r="N585" s="5" t="s">
        <v>23</v>
      </c>
      <c r="O585" s="5" t="s">
        <v>33</v>
      </c>
      <c r="P585" s="3">
        <v>8</v>
      </c>
      <c r="Q585" s="3">
        <v>9</v>
      </c>
      <c r="R585" s="5" t="b">
        <v>0</v>
      </c>
      <c r="S585" s="3">
        <v>2</v>
      </c>
      <c r="T585" s="3">
        <v>4</v>
      </c>
    </row>
    <row r="586" spans="1:20">
      <c r="A586" s="5" t="s">
        <v>1427</v>
      </c>
      <c r="B586" s="5" t="s">
        <v>1428</v>
      </c>
      <c r="C586" s="6">
        <v>45122</v>
      </c>
      <c r="D586" s="8">
        <v>37</v>
      </c>
      <c r="E586" s="5" t="s">
        <v>36</v>
      </c>
      <c r="F586" s="5" t="s">
        <v>59</v>
      </c>
      <c r="G586" s="5" t="s">
        <v>46</v>
      </c>
      <c r="H586" s="7">
        <v>270.27999999999997</v>
      </c>
      <c r="I586" s="3">
        <v>2</v>
      </c>
      <c r="J586" s="3">
        <f t="shared" si="18"/>
        <v>540.55999999999995</v>
      </c>
      <c r="K586" s="4">
        <v>0</v>
      </c>
      <c r="L586" s="23">
        <f t="shared" si="19"/>
        <v>0</v>
      </c>
      <c r="M586" s="7">
        <v>540.55999999999995</v>
      </c>
      <c r="N586" s="5" t="s">
        <v>1298</v>
      </c>
      <c r="O586" s="5" t="s">
        <v>33</v>
      </c>
      <c r="P586" s="3">
        <v>4</v>
      </c>
      <c r="Q586" s="3">
        <v>9</v>
      </c>
      <c r="R586" s="5" t="b">
        <v>1</v>
      </c>
      <c r="S586" s="3">
        <v>5</v>
      </c>
      <c r="T586" s="3">
        <v>4</v>
      </c>
    </row>
    <row r="587" spans="1:20">
      <c r="A587" s="5" t="s">
        <v>277</v>
      </c>
      <c r="B587" s="5" t="s">
        <v>278</v>
      </c>
      <c r="C587" s="6">
        <v>45373</v>
      </c>
      <c r="D587" s="8">
        <v>37</v>
      </c>
      <c r="E587" s="5" t="s">
        <v>20</v>
      </c>
      <c r="F587" s="5" t="s">
        <v>32</v>
      </c>
      <c r="G587" s="5" t="s">
        <v>46</v>
      </c>
      <c r="H587" s="7">
        <v>319.39999999999998</v>
      </c>
      <c r="I587" s="3">
        <v>5</v>
      </c>
      <c r="J587" s="3">
        <f t="shared" si="18"/>
        <v>1597</v>
      </c>
      <c r="K587" s="4">
        <v>0</v>
      </c>
      <c r="L587" s="23">
        <f t="shared" si="19"/>
        <v>0</v>
      </c>
      <c r="M587" s="7">
        <v>1597</v>
      </c>
      <c r="N587" s="5" t="s">
        <v>23</v>
      </c>
      <c r="O587" s="5" t="s">
        <v>33</v>
      </c>
      <c r="P587" s="3">
        <v>7</v>
      </c>
      <c r="Q587" s="3">
        <v>12</v>
      </c>
      <c r="R587" s="5" t="b">
        <v>1</v>
      </c>
      <c r="S587" s="3">
        <v>7</v>
      </c>
      <c r="T587" s="3">
        <v>5</v>
      </c>
    </row>
    <row r="588" spans="1:20">
      <c r="A588" s="5" t="s">
        <v>1139</v>
      </c>
      <c r="B588" s="5" t="s">
        <v>1140</v>
      </c>
      <c r="C588" s="6">
        <v>44946</v>
      </c>
      <c r="D588" s="8">
        <v>29</v>
      </c>
      <c r="E588" s="5" t="s">
        <v>20</v>
      </c>
      <c r="F588" s="5" t="s">
        <v>32</v>
      </c>
      <c r="G588" s="5" t="s">
        <v>56</v>
      </c>
      <c r="H588" s="7">
        <v>923.93</v>
      </c>
      <c r="I588" s="3">
        <v>1</v>
      </c>
      <c r="J588" s="3">
        <f t="shared" si="18"/>
        <v>923.93</v>
      </c>
      <c r="K588" s="4">
        <v>0</v>
      </c>
      <c r="L588" s="23">
        <f t="shared" si="19"/>
        <v>0</v>
      </c>
      <c r="M588" s="7">
        <v>923.93</v>
      </c>
      <c r="N588" s="5" t="s">
        <v>692</v>
      </c>
      <c r="O588" s="5" t="s">
        <v>33</v>
      </c>
      <c r="P588" s="3">
        <v>30</v>
      </c>
      <c r="Q588" s="3">
        <v>11</v>
      </c>
      <c r="R588" s="5" t="b">
        <v>0</v>
      </c>
      <c r="S588" s="3">
        <v>2</v>
      </c>
      <c r="T588" s="3">
        <v>5</v>
      </c>
    </row>
    <row r="589" spans="1:20">
      <c r="A589" s="5" t="s">
        <v>279</v>
      </c>
      <c r="B589" s="5" t="s">
        <v>280</v>
      </c>
      <c r="C589" s="6">
        <v>45366</v>
      </c>
      <c r="D589" s="8">
        <v>24</v>
      </c>
      <c r="E589" s="5" t="s">
        <v>36</v>
      </c>
      <c r="F589" s="5" t="s">
        <v>83</v>
      </c>
      <c r="G589" s="5" t="s">
        <v>46</v>
      </c>
      <c r="H589" s="7">
        <v>150.93</v>
      </c>
      <c r="I589" s="3">
        <v>2</v>
      </c>
      <c r="J589" s="3">
        <f t="shared" si="18"/>
        <v>301.86</v>
      </c>
      <c r="K589" s="4">
        <v>0</v>
      </c>
      <c r="L589" s="23">
        <f t="shared" si="19"/>
        <v>0</v>
      </c>
      <c r="M589" s="7">
        <v>301.86</v>
      </c>
      <c r="N589" s="5" t="s">
        <v>23</v>
      </c>
      <c r="O589" s="5" t="s">
        <v>24</v>
      </c>
      <c r="P589" s="3">
        <v>10</v>
      </c>
      <c r="Q589" s="3">
        <v>12</v>
      </c>
      <c r="R589" s="5" t="b">
        <v>1</v>
      </c>
      <c r="S589" s="3">
        <v>3</v>
      </c>
      <c r="T589" s="3">
        <v>4</v>
      </c>
    </row>
    <row r="590" spans="1:20">
      <c r="A590" s="5" t="s">
        <v>1286</v>
      </c>
      <c r="B590" s="5" t="s">
        <v>1287</v>
      </c>
      <c r="C590" s="6">
        <v>45167</v>
      </c>
      <c r="D590" s="8">
        <v>44</v>
      </c>
      <c r="E590" s="5" t="s">
        <v>36</v>
      </c>
      <c r="F590" s="5" t="s">
        <v>52</v>
      </c>
      <c r="G590" s="5" t="s">
        <v>64</v>
      </c>
      <c r="H590" s="7">
        <v>1897.92</v>
      </c>
      <c r="I590" s="3">
        <v>5</v>
      </c>
      <c r="J590" s="3">
        <f t="shared" si="18"/>
        <v>9489.6</v>
      </c>
      <c r="K590" s="4">
        <v>443.01</v>
      </c>
      <c r="L590" s="23">
        <f t="shared" si="19"/>
        <v>4.6683737986848758E-2</v>
      </c>
      <c r="M590" s="7">
        <v>9046.59</v>
      </c>
      <c r="N590" s="5" t="s">
        <v>1231</v>
      </c>
      <c r="O590" s="5" t="s">
        <v>33</v>
      </c>
      <c r="P590" s="3">
        <v>16</v>
      </c>
      <c r="Q590" s="3">
        <v>13</v>
      </c>
      <c r="R590" s="5" t="b">
        <v>0</v>
      </c>
      <c r="S590" s="3">
        <v>4</v>
      </c>
      <c r="T590" s="3">
        <v>4</v>
      </c>
    </row>
    <row r="591" spans="1:20">
      <c r="A591" s="5" t="s">
        <v>626</v>
      </c>
      <c r="B591" s="5" t="s">
        <v>627</v>
      </c>
      <c r="C591" s="6">
        <v>45040</v>
      </c>
      <c r="D591" s="8">
        <v>24</v>
      </c>
      <c r="E591" s="5" t="s">
        <v>20</v>
      </c>
      <c r="F591" s="5" t="s">
        <v>88</v>
      </c>
      <c r="G591" s="5" t="s">
        <v>22</v>
      </c>
      <c r="H591" s="7">
        <v>136.07</v>
      </c>
      <c r="I591" s="3">
        <v>5</v>
      </c>
      <c r="J591" s="3">
        <f t="shared" si="18"/>
        <v>680.34999999999991</v>
      </c>
      <c r="K591" s="4">
        <v>0</v>
      </c>
      <c r="L591" s="23">
        <f t="shared" si="19"/>
        <v>0</v>
      </c>
      <c r="M591" s="7">
        <v>680.35</v>
      </c>
      <c r="N591" s="5" t="s">
        <v>327</v>
      </c>
      <c r="O591" s="5" t="s">
        <v>33</v>
      </c>
      <c r="P591" s="3">
        <v>10</v>
      </c>
      <c r="Q591" s="3">
        <v>9</v>
      </c>
      <c r="R591" s="5" t="b">
        <v>0</v>
      </c>
      <c r="S591" s="3">
        <v>3</v>
      </c>
      <c r="T591" s="3">
        <v>5</v>
      </c>
    </row>
    <row r="592" spans="1:20">
      <c r="A592" s="5" t="s">
        <v>1141</v>
      </c>
      <c r="B592" s="5" t="s">
        <v>1142</v>
      </c>
      <c r="C592" s="6">
        <v>45029</v>
      </c>
      <c r="D592" s="8">
        <v>35</v>
      </c>
      <c r="E592" s="5" t="s">
        <v>20</v>
      </c>
      <c r="F592" s="5" t="s">
        <v>32</v>
      </c>
      <c r="G592" s="5" t="s">
        <v>64</v>
      </c>
      <c r="H592" s="7">
        <v>491.74</v>
      </c>
      <c r="I592" s="3">
        <v>2</v>
      </c>
      <c r="J592" s="3">
        <f t="shared" si="18"/>
        <v>983.48</v>
      </c>
      <c r="K592" s="4">
        <v>68.33</v>
      </c>
      <c r="L592" s="23">
        <f t="shared" si="19"/>
        <v>6.9477772806767799E-2</v>
      </c>
      <c r="M592" s="7">
        <v>915.15</v>
      </c>
      <c r="N592" s="5" t="s">
        <v>692</v>
      </c>
      <c r="O592" s="5" t="s">
        <v>33</v>
      </c>
      <c r="P592" s="3">
        <v>13</v>
      </c>
      <c r="Q592" s="3">
        <v>13</v>
      </c>
      <c r="R592" s="5" t="b">
        <v>1</v>
      </c>
      <c r="S592" s="3">
        <v>3</v>
      </c>
      <c r="T592" s="3">
        <v>2</v>
      </c>
    </row>
    <row r="593" spans="1:20">
      <c r="A593" s="5" t="s">
        <v>628</v>
      </c>
      <c r="B593" s="5" t="s">
        <v>629</v>
      </c>
      <c r="C593" s="6">
        <v>45345</v>
      </c>
      <c r="D593" s="8">
        <v>29</v>
      </c>
      <c r="E593" s="5" t="s">
        <v>36</v>
      </c>
      <c r="F593" s="5" t="s">
        <v>32</v>
      </c>
      <c r="G593" s="5" t="s">
        <v>37</v>
      </c>
      <c r="H593" s="7">
        <v>73.459999999999994</v>
      </c>
      <c r="I593" s="3">
        <v>2</v>
      </c>
      <c r="J593" s="3">
        <f t="shared" si="18"/>
        <v>146.91999999999999</v>
      </c>
      <c r="K593" s="4">
        <v>0</v>
      </c>
      <c r="L593" s="23">
        <f t="shared" si="19"/>
        <v>0</v>
      </c>
      <c r="M593" s="7">
        <v>146.91999999999999</v>
      </c>
      <c r="N593" s="5" t="s">
        <v>327</v>
      </c>
      <c r="O593" s="5" t="s">
        <v>29</v>
      </c>
      <c r="P593" s="3">
        <v>10</v>
      </c>
      <c r="Q593" s="3">
        <v>9</v>
      </c>
      <c r="R593" s="5" t="b">
        <v>1</v>
      </c>
      <c r="S593" s="3">
        <v>4</v>
      </c>
      <c r="T593" s="3">
        <v>5</v>
      </c>
    </row>
    <row r="594" spans="1:20">
      <c r="A594" s="5" t="s">
        <v>281</v>
      </c>
      <c r="B594" s="5" t="s">
        <v>282</v>
      </c>
      <c r="C594" s="6">
        <v>45162</v>
      </c>
      <c r="D594" s="8">
        <v>40</v>
      </c>
      <c r="E594" s="5" t="s">
        <v>36</v>
      </c>
      <c r="F594" s="5" t="s">
        <v>21</v>
      </c>
      <c r="G594" s="5" t="s">
        <v>28</v>
      </c>
      <c r="H594" s="7">
        <v>212.57</v>
      </c>
      <c r="I594" s="3">
        <v>1</v>
      </c>
      <c r="J594" s="3">
        <f t="shared" si="18"/>
        <v>212.57</v>
      </c>
      <c r="K594" s="4">
        <v>0</v>
      </c>
      <c r="L594" s="23">
        <f t="shared" si="19"/>
        <v>0</v>
      </c>
      <c r="M594" s="7">
        <v>212.57</v>
      </c>
      <c r="N594" s="5" t="s">
        <v>23</v>
      </c>
      <c r="O594" s="5" t="s">
        <v>24</v>
      </c>
      <c r="P594" s="3">
        <v>8</v>
      </c>
      <c r="Q594" s="3">
        <v>8</v>
      </c>
      <c r="R594" s="5" t="b">
        <v>1</v>
      </c>
      <c r="S594" s="3">
        <v>7</v>
      </c>
      <c r="T594" s="3">
        <v>4</v>
      </c>
    </row>
    <row r="595" spans="1:20">
      <c r="A595" s="5" t="s">
        <v>1143</v>
      </c>
      <c r="B595" s="5" t="s">
        <v>1144</v>
      </c>
      <c r="C595" s="6">
        <v>45106</v>
      </c>
      <c r="D595" s="8">
        <v>39</v>
      </c>
      <c r="E595" s="5" t="s">
        <v>36</v>
      </c>
      <c r="F595" s="5" t="s">
        <v>32</v>
      </c>
      <c r="G595" s="5" t="s">
        <v>22</v>
      </c>
      <c r="H595" s="7">
        <v>177.03</v>
      </c>
      <c r="I595" s="3">
        <v>2</v>
      </c>
      <c r="J595" s="3">
        <f t="shared" si="18"/>
        <v>354.06</v>
      </c>
      <c r="K595" s="4">
        <v>0</v>
      </c>
      <c r="L595" s="23">
        <f t="shared" si="19"/>
        <v>0</v>
      </c>
      <c r="M595" s="7">
        <v>354.06</v>
      </c>
      <c r="N595" s="5" t="s">
        <v>692</v>
      </c>
      <c r="O595" s="5" t="s">
        <v>24</v>
      </c>
      <c r="P595" s="3">
        <v>17</v>
      </c>
      <c r="Q595" s="3">
        <v>10</v>
      </c>
      <c r="R595" s="5" t="b">
        <v>1</v>
      </c>
      <c r="S595" s="3">
        <v>2</v>
      </c>
      <c r="T595" s="3">
        <v>4</v>
      </c>
    </row>
    <row r="596" spans="1:20">
      <c r="A596" s="5" t="s">
        <v>283</v>
      </c>
      <c r="B596" s="5" t="s">
        <v>284</v>
      </c>
      <c r="C596" s="6">
        <v>45083</v>
      </c>
      <c r="D596" s="8">
        <v>47</v>
      </c>
      <c r="E596" s="5" t="s">
        <v>20</v>
      </c>
      <c r="F596" s="5" t="s">
        <v>49</v>
      </c>
      <c r="G596" s="5" t="s">
        <v>56</v>
      </c>
      <c r="H596" s="7">
        <v>269.47000000000003</v>
      </c>
      <c r="I596" s="3">
        <v>1</v>
      </c>
      <c r="J596" s="3">
        <f t="shared" si="18"/>
        <v>269.47000000000003</v>
      </c>
      <c r="K596" s="4">
        <v>0</v>
      </c>
      <c r="L596" s="23">
        <f t="shared" si="19"/>
        <v>0</v>
      </c>
      <c r="M596" s="7">
        <v>269.47000000000003</v>
      </c>
      <c r="N596" s="5" t="s">
        <v>23</v>
      </c>
      <c r="O596" s="5" t="s">
        <v>24</v>
      </c>
      <c r="P596" s="3">
        <v>4</v>
      </c>
      <c r="Q596" s="3">
        <v>9</v>
      </c>
      <c r="R596" s="5" t="b">
        <v>1</v>
      </c>
      <c r="S596" s="3">
        <v>3</v>
      </c>
      <c r="T596" s="3">
        <v>5</v>
      </c>
    </row>
    <row r="597" spans="1:20">
      <c r="A597" s="5" t="s">
        <v>630</v>
      </c>
      <c r="B597" s="5" t="s">
        <v>631</v>
      </c>
      <c r="C597" s="6">
        <v>45347</v>
      </c>
      <c r="D597" s="8">
        <v>28</v>
      </c>
      <c r="E597" s="5" t="s">
        <v>20</v>
      </c>
      <c r="F597" s="5" t="s">
        <v>73</v>
      </c>
      <c r="G597" s="5" t="s">
        <v>53</v>
      </c>
      <c r="H597" s="7">
        <v>136.05000000000001</v>
      </c>
      <c r="I597" s="3">
        <v>2</v>
      </c>
      <c r="J597" s="3">
        <f t="shared" si="18"/>
        <v>272.10000000000002</v>
      </c>
      <c r="K597" s="4">
        <v>0</v>
      </c>
      <c r="L597" s="23">
        <f t="shared" si="19"/>
        <v>0</v>
      </c>
      <c r="M597" s="7">
        <v>272.10000000000002</v>
      </c>
      <c r="N597" s="5" t="s">
        <v>327</v>
      </c>
      <c r="O597" s="5" t="s">
        <v>24</v>
      </c>
      <c r="P597" s="3">
        <v>6</v>
      </c>
      <c r="Q597" s="3">
        <v>16</v>
      </c>
      <c r="R597" s="5" t="b">
        <v>1</v>
      </c>
      <c r="S597" s="3">
        <v>6</v>
      </c>
      <c r="T597" s="3">
        <v>2</v>
      </c>
    </row>
    <row r="598" spans="1:20">
      <c r="A598" s="5" t="s">
        <v>632</v>
      </c>
      <c r="B598" s="5" t="s">
        <v>633</v>
      </c>
      <c r="C598" s="6">
        <v>45334</v>
      </c>
      <c r="D598" s="8">
        <v>31</v>
      </c>
      <c r="E598" s="5" t="s">
        <v>20</v>
      </c>
      <c r="F598" s="5" t="s">
        <v>32</v>
      </c>
      <c r="G598" s="5" t="s">
        <v>28</v>
      </c>
      <c r="H598" s="7">
        <v>175.34</v>
      </c>
      <c r="I598" s="3">
        <v>1</v>
      </c>
      <c r="J598" s="3">
        <f t="shared" si="18"/>
        <v>175.34</v>
      </c>
      <c r="K598" s="4">
        <v>27.85</v>
      </c>
      <c r="L598" s="23">
        <f t="shared" si="19"/>
        <v>0.15883426485684957</v>
      </c>
      <c r="M598" s="7">
        <v>147.49</v>
      </c>
      <c r="N598" s="5" t="s">
        <v>327</v>
      </c>
      <c r="O598" s="5" t="s">
        <v>33</v>
      </c>
      <c r="P598" s="3">
        <v>18</v>
      </c>
      <c r="Q598" s="3">
        <v>15</v>
      </c>
      <c r="R598" s="5" t="b">
        <v>0</v>
      </c>
      <c r="S598" s="3">
        <v>10</v>
      </c>
      <c r="T598" s="3">
        <v>1</v>
      </c>
    </row>
    <row r="599" spans="1:20">
      <c r="A599" s="5" t="s">
        <v>1145</v>
      </c>
      <c r="B599" s="5" t="s">
        <v>1146</v>
      </c>
      <c r="C599" s="6">
        <v>45373</v>
      </c>
      <c r="D599" s="8">
        <v>23</v>
      </c>
      <c r="E599" s="5" t="s">
        <v>20</v>
      </c>
      <c r="F599" s="5" t="s">
        <v>32</v>
      </c>
      <c r="G599" s="5" t="s">
        <v>46</v>
      </c>
      <c r="H599" s="7">
        <v>440.72</v>
      </c>
      <c r="I599" s="3">
        <v>2</v>
      </c>
      <c r="J599" s="3">
        <f t="shared" si="18"/>
        <v>881.44</v>
      </c>
      <c r="K599" s="4">
        <v>0</v>
      </c>
      <c r="L599" s="23">
        <f t="shared" si="19"/>
        <v>0</v>
      </c>
      <c r="M599" s="7">
        <v>881.44</v>
      </c>
      <c r="N599" s="5" t="s">
        <v>692</v>
      </c>
      <c r="O599" s="5" t="s">
        <v>24</v>
      </c>
      <c r="P599" s="3">
        <v>12</v>
      </c>
      <c r="Q599" s="3">
        <v>8</v>
      </c>
      <c r="R599" s="5" t="b">
        <v>0</v>
      </c>
      <c r="S599" s="3">
        <v>14</v>
      </c>
      <c r="T599" s="3">
        <v>5</v>
      </c>
    </row>
    <row r="600" spans="1:20">
      <c r="A600" s="5" t="s">
        <v>1147</v>
      </c>
      <c r="B600" s="5" t="s">
        <v>1148</v>
      </c>
      <c r="C600" s="6">
        <v>45043</v>
      </c>
      <c r="D600" s="8">
        <v>29</v>
      </c>
      <c r="E600" s="5" t="s">
        <v>36</v>
      </c>
      <c r="F600" s="5" t="s">
        <v>52</v>
      </c>
      <c r="G600" s="5" t="s">
        <v>46</v>
      </c>
      <c r="H600" s="7">
        <v>621.79</v>
      </c>
      <c r="I600" s="3">
        <v>3</v>
      </c>
      <c r="J600" s="3">
        <f t="shared" si="18"/>
        <v>1865.37</v>
      </c>
      <c r="K600" s="4">
        <v>87.78</v>
      </c>
      <c r="L600" s="23">
        <f t="shared" si="19"/>
        <v>4.7057688287042251E-2</v>
      </c>
      <c r="M600" s="7">
        <v>1777.59</v>
      </c>
      <c r="N600" s="5" t="s">
        <v>692</v>
      </c>
      <c r="O600" s="5" t="s">
        <v>29</v>
      </c>
      <c r="P600" s="3">
        <v>21</v>
      </c>
      <c r="Q600" s="3">
        <v>8</v>
      </c>
      <c r="R600" s="5" t="b">
        <v>0</v>
      </c>
      <c r="S600" s="3">
        <v>3</v>
      </c>
      <c r="T600" s="3">
        <v>4</v>
      </c>
    </row>
    <row r="601" spans="1:20">
      <c r="A601" s="5" t="s">
        <v>634</v>
      </c>
      <c r="B601" s="5" t="s">
        <v>635</v>
      </c>
      <c r="C601" s="6">
        <v>45041</v>
      </c>
      <c r="D601" s="8">
        <v>39</v>
      </c>
      <c r="E601" s="5" t="s">
        <v>20</v>
      </c>
      <c r="F601" s="5" t="s">
        <v>32</v>
      </c>
      <c r="G601" s="5" t="s">
        <v>37</v>
      </c>
      <c r="H601" s="7">
        <v>139.36000000000001</v>
      </c>
      <c r="I601" s="3">
        <v>1</v>
      </c>
      <c r="J601" s="3">
        <f t="shared" si="18"/>
        <v>139.36000000000001</v>
      </c>
      <c r="K601" s="4">
        <v>0</v>
      </c>
      <c r="L601" s="23">
        <f t="shared" si="19"/>
        <v>0</v>
      </c>
      <c r="M601" s="7">
        <v>139.36000000000001</v>
      </c>
      <c r="N601" s="5" t="s">
        <v>327</v>
      </c>
      <c r="O601" s="5" t="s">
        <v>33</v>
      </c>
      <c r="P601" s="3">
        <v>4</v>
      </c>
      <c r="Q601" s="3">
        <v>14</v>
      </c>
      <c r="R601" s="5" t="b">
        <v>1</v>
      </c>
      <c r="S601" s="3">
        <v>3</v>
      </c>
      <c r="T601" s="3">
        <v>5</v>
      </c>
    </row>
    <row r="602" spans="1:20">
      <c r="A602" s="5" t="s">
        <v>636</v>
      </c>
      <c r="B602" s="5" t="s">
        <v>637</v>
      </c>
      <c r="C602" s="6">
        <v>44939</v>
      </c>
      <c r="D602" s="8">
        <v>44</v>
      </c>
      <c r="E602" s="5" t="s">
        <v>20</v>
      </c>
      <c r="F602" s="5" t="s">
        <v>59</v>
      </c>
      <c r="G602" s="5" t="s">
        <v>64</v>
      </c>
      <c r="H602" s="7">
        <v>952.19</v>
      </c>
      <c r="I602" s="3">
        <v>1</v>
      </c>
      <c r="J602" s="3">
        <f t="shared" si="18"/>
        <v>952.19</v>
      </c>
      <c r="K602" s="4">
        <v>0</v>
      </c>
      <c r="L602" s="23">
        <f t="shared" si="19"/>
        <v>0</v>
      </c>
      <c r="M602" s="7">
        <v>952.19</v>
      </c>
      <c r="N602" s="5" t="s">
        <v>327</v>
      </c>
      <c r="O602" s="5" t="s">
        <v>33</v>
      </c>
      <c r="P602" s="3">
        <v>33</v>
      </c>
      <c r="Q602" s="3">
        <v>8</v>
      </c>
      <c r="R602" s="5" t="b">
        <v>1</v>
      </c>
      <c r="S602" s="3">
        <v>3</v>
      </c>
      <c r="T602" s="3">
        <v>2</v>
      </c>
    </row>
    <row r="603" spans="1:20">
      <c r="A603" s="5" t="s">
        <v>1149</v>
      </c>
      <c r="B603" s="5" t="s">
        <v>1150</v>
      </c>
      <c r="C603" s="6">
        <v>45264</v>
      </c>
      <c r="D603" s="8">
        <v>23</v>
      </c>
      <c r="E603" s="5" t="s">
        <v>36</v>
      </c>
      <c r="F603" s="5" t="s">
        <v>21</v>
      </c>
      <c r="G603" s="5" t="s">
        <v>64</v>
      </c>
      <c r="H603" s="7">
        <v>2518.4299999999998</v>
      </c>
      <c r="I603" s="3">
        <v>5</v>
      </c>
      <c r="J603" s="3">
        <f t="shared" si="18"/>
        <v>12592.15</v>
      </c>
      <c r="K603" s="4">
        <v>0</v>
      </c>
      <c r="L603" s="23">
        <f t="shared" si="19"/>
        <v>0</v>
      </c>
      <c r="M603" s="7">
        <v>12592.15</v>
      </c>
      <c r="N603" s="5" t="s">
        <v>692</v>
      </c>
      <c r="O603" s="5" t="s">
        <v>33</v>
      </c>
      <c r="P603" s="3">
        <v>18</v>
      </c>
      <c r="Q603" s="3">
        <v>16</v>
      </c>
      <c r="R603" s="5" t="b">
        <v>1</v>
      </c>
      <c r="S603" s="3">
        <v>19</v>
      </c>
      <c r="T603" s="3">
        <v>4</v>
      </c>
    </row>
    <row r="604" spans="1:20">
      <c r="A604" s="5" t="s">
        <v>1151</v>
      </c>
      <c r="B604" s="5" t="s">
        <v>1152</v>
      </c>
      <c r="C604" s="6">
        <v>45025</v>
      </c>
      <c r="D604" s="8">
        <v>45</v>
      </c>
      <c r="E604" s="5" t="s">
        <v>36</v>
      </c>
      <c r="F604" s="5" t="s">
        <v>32</v>
      </c>
      <c r="G604" s="5" t="s">
        <v>22</v>
      </c>
      <c r="H604" s="7">
        <v>75.25</v>
      </c>
      <c r="I604" s="3">
        <v>4</v>
      </c>
      <c r="J604" s="3">
        <f t="shared" si="18"/>
        <v>301</v>
      </c>
      <c r="K604" s="4">
        <v>0</v>
      </c>
      <c r="L604" s="23">
        <f t="shared" si="19"/>
        <v>0</v>
      </c>
      <c r="M604" s="7">
        <v>301</v>
      </c>
      <c r="N604" s="5" t="s">
        <v>692</v>
      </c>
      <c r="O604" s="5" t="s">
        <v>33</v>
      </c>
      <c r="P604" s="3">
        <v>33</v>
      </c>
      <c r="Q604" s="3">
        <v>8</v>
      </c>
      <c r="R604" s="5" t="b">
        <v>1</v>
      </c>
      <c r="S604" s="3">
        <v>4</v>
      </c>
      <c r="T604" s="3">
        <v>3</v>
      </c>
    </row>
    <row r="605" spans="1:20">
      <c r="A605" s="5" t="s">
        <v>1153</v>
      </c>
      <c r="B605" s="5" t="s">
        <v>1154</v>
      </c>
      <c r="C605" s="6">
        <v>45131</v>
      </c>
      <c r="D605" s="8">
        <v>51</v>
      </c>
      <c r="E605" s="5" t="s">
        <v>20</v>
      </c>
      <c r="F605" s="5" t="s">
        <v>21</v>
      </c>
      <c r="G605" s="5" t="s">
        <v>46</v>
      </c>
      <c r="H605" s="7">
        <v>648.30999999999995</v>
      </c>
      <c r="I605" s="3">
        <v>1</v>
      </c>
      <c r="J605" s="3">
        <f t="shared" si="18"/>
        <v>648.30999999999995</v>
      </c>
      <c r="K605" s="4">
        <v>0</v>
      </c>
      <c r="L605" s="23">
        <f t="shared" si="19"/>
        <v>0</v>
      </c>
      <c r="M605" s="7">
        <v>648.30999999999995</v>
      </c>
      <c r="N605" s="5" t="s">
        <v>692</v>
      </c>
      <c r="O605" s="5" t="s">
        <v>24</v>
      </c>
      <c r="P605" s="3">
        <v>22</v>
      </c>
      <c r="Q605" s="3">
        <v>11</v>
      </c>
      <c r="R605" s="5" t="b">
        <v>1</v>
      </c>
      <c r="S605" s="3">
        <v>17</v>
      </c>
      <c r="T605" s="3">
        <v>5</v>
      </c>
    </row>
    <row r="606" spans="1:20">
      <c r="A606" s="5" t="s">
        <v>638</v>
      </c>
      <c r="B606" s="5" t="s">
        <v>639</v>
      </c>
      <c r="C606" s="6">
        <v>45095</v>
      </c>
      <c r="D606" s="8">
        <v>39</v>
      </c>
      <c r="E606" s="5" t="s">
        <v>36</v>
      </c>
      <c r="F606" s="5" t="s">
        <v>32</v>
      </c>
      <c r="G606" s="5" t="s">
        <v>28</v>
      </c>
      <c r="H606" s="7">
        <v>104.19</v>
      </c>
      <c r="I606" s="3">
        <v>4</v>
      </c>
      <c r="J606" s="3">
        <f t="shared" si="18"/>
        <v>416.76</v>
      </c>
      <c r="K606" s="4">
        <v>0</v>
      </c>
      <c r="L606" s="23">
        <f t="shared" si="19"/>
        <v>0</v>
      </c>
      <c r="M606" s="7">
        <v>416.76</v>
      </c>
      <c r="N606" s="5" t="s">
        <v>327</v>
      </c>
      <c r="O606" s="5" t="s">
        <v>24</v>
      </c>
      <c r="P606" s="3">
        <v>10</v>
      </c>
      <c r="Q606" s="3">
        <v>11</v>
      </c>
      <c r="R606" s="5" t="b">
        <v>0</v>
      </c>
      <c r="S606" s="3">
        <v>7</v>
      </c>
      <c r="T606" s="3">
        <v>3</v>
      </c>
    </row>
    <row r="607" spans="1:20">
      <c r="A607" s="5" t="s">
        <v>1288</v>
      </c>
      <c r="B607" s="5" t="s">
        <v>1289</v>
      </c>
      <c r="C607" s="6">
        <v>45069</v>
      </c>
      <c r="D607" s="8">
        <v>57</v>
      </c>
      <c r="E607" s="5" t="s">
        <v>36</v>
      </c>
      <c r="F607" s="5" t="s">
        <v>32</v>
      </c>
      <c r="G607" s="5" t="s">
        <v>37</v>
      </c>
      <c r="H607" s="7">
        <v>194.88</v>
      </c>
      <c r="I607" s="3">
        <v>4</v>
      </c>
      <c r="J607" s="3">
        <f t="shared" si="18"/>
        <v>779.52</v>
      </c>
      <c r="K607" s="4">
        <v>11.1</v>
      </c>
      <c r="L607" s="23">
        <f t="shared" si="19"/>
        <v>1.4239532019704433E-2</v>
      </c>
      <c r="M607" s="7">
        <v>768.42</v>
      </c>
      <c r="N607" s="5" t="s">
        <v>1231</v>
      </c>
      <c r="O607" s="5" t="s">
        <v>24</v>
      </c>
      <c r="P607" s="3">
        <v>20</v>
      </c>
      <c r="Q607" s="3">
        <v>10</v>
      </c>
      <c r="R607" s="5" t="b">
        <v>1</v>
      </c>
      <c r="S607" s="3">
        <v>10</v>
      </c>
      <c r="T607" s="3">
        <v>4</v>
      </c>
    </row>
    <row r="608" spans="1:20">
      <c r="A608" s="5" t="s">
        <v>285</v>
      </c>
      <c r="B608" s="5" t="s">
        <v>286</v>
      </c>
      <c r="C608" s="6">
        <v>45369</v>
      </c>
      <c r="D608" s="8">
        <v>25</v>
      </c>
      <c r="E608" s="5" t="s">
        <v>36</v>
      </c>
      <c r="F608" s="5" t="s">
        <v>32</v>
      </c>
      <c r="G608" s="5" t="s">
        <v>28</v>
      </c>
      <c r="H608" s="7">
        <v>98.78</v>
      </c>
      <c r="I608" s="3">
        <v>2</v>
      </c>
      <c r="J608" s="3">
        <f t="shared" si="18"/>
        <v>197.56</v>
      </c>
      <c r="K608" s="4">
        <v>0</v>
      </c>
      <c r="L608" s="23">
        <f t="shared" si="19"/>
        <v>0</v>
      </c>
      <c r="M608" s="7">
        <v>197.56</v>
      </c>
      <c r="N608" s="5" t="s">
        <v>23</v>
      </c>
      <c r="O608" s="5" t="s">
        <v>33</v>
      </c>
      <c r="P608" s="3">
        <v>29</v>
      </c>
      <c r="Q608" s="3">
        <v>6</v>
      </c>
      <c r="R608" s="5" t="b">
        <v>1</v>
      </c>
      <c r="S608" s="3">
        <v>7</v>
      </c>
      <c r="T608" s="3">
        <v>5</v>
      </c>
    </row>
    <row r="609" spans="1:20">
      <c r="A609" s="5" t="s">
        <v>1429</v>
      </c>
      <c r="B609" s="5" t="s">
        <v>1430</v>
      </c>
      <c r="C609" s="6">
        <v>44962</v>
      </c>
      <c r="D609" s="8">
        <v>20</v>
      </c>
      <c r="E609" s="5" t="s">
        <v>20</v>
      </c>
      <c r="F609" s="5" t="s">
        <v>88</v>
      </c>
      <c r="G609" s="5" t="s">
        <v>56</v>
      </c>
      <c r="H609" s="7">
        <v>1119.96</v>
      </c>
      <c r="I609" s="3">
        <v>1</v>
      </c>
      <c r="J609" s="3">
        <f t="shared" si="18"/>
        <v>1119.96</v>
      </c>
      <c r="K609" s="4">
        <v>0</v>
      </c>
      <c r="L609" s="23">
        <f t="shared" si="19"/>
        <v>0</v>
      </c>
      <c r="M609" s="7">
        <v>1119.96</v>
      </c>
      <c r="N609" s="5" t="s">
        <v>1298</v>
      </c>
      <c r="O609" s="5" t="s">
        <v>24</v>
      </c>
      <c r="P609" s="3">
        <v>16</v>
      </c>
      <c r="Q609" s="3">
        <v>12</v>
      </c>
      <c r="R609" s="5" t="b">
        <v>0</v>
      </c>
      <c r="S609" s="3">
        <v>5</v>
      </c>
      <c r="T609" s="3">
        <v>5</v>
      </c>
    </row>
    <row r="610" spans="1:20">
      <c r="A610" s="5" t="s">
        <v>640</v>
      </c>
      <c r="B610" s="5" t="s">
        <v>641</v>
      </c>
      <c r="C610" s="6">
        <v>45322</v>
      </c>
      <c r="D610" s="8">
        <v>18</v>
      </c>
      <c r="E610" s="5" t="s">
        <v>36</v>
      </c>
      <c r="F610" s="5" t="s">
        <v>76</v>
      </c>
      <c r="G610" s="5" t="s">
        <v>64</v>
      </c>
      <c r="H610" s="7">
        <v>1760.08</v>
      </c>
      <c r="I610" s="3">
        <v>1</v>
      </c>
      <c r="J610" s="3">
        <f t="shared" si="18"/>
        <v>1760.08</v>
      </c>
      <c r="K610" s="4">
        <v>0</v>
      </c>
      <c r="L610" s="23">
        <f t="shared" si="19"/>
        <v>0</v>
      </c>
      <c r="M610" s="7">
        <v>1760.08</v>
      </c>
      <c r="N610" s="5" t="s">
        <v>327</v>
      </c>
      <c r="O610" s="5" t="s">
        <v>33</v>
      </c>
      <c r="P610" s="3">
        <v>18</v>
      </c>
      <c r="Q610" s="3">
        <v>5</v>
      </c>
      <c r="R610" s="5" t="b">
        <v>0</v>
      </c>
      <c r="S610" s="3">
        <v>5</v>
      </c>
      <c r="T610" s="3">
        <v>5</v>
      </c>
    </row>
    <row r="611" spans="1:20">
      <c r="A611" s="5" t="s">
        <v>642</v>
      </c>
      <c r="B611" s="5" t="s">
        <v>643</v>
      </c>
      <c r="C611" s="6">
        <v>45069</v>
      </c>
      <c r="D611" s="8">
        <v>52</v>
      </c>
      <c r="E611" s="5" t="s">
        <v>36</v>
      </c>
      <c r="F611" s="5" t="s">
        <v>59</v>
      </c>
      <c r="G611" s="5" t="s">
        <v>115</v>
      </c>
      <c r="H611" s="7">
        <v>99.44</v>
      </c>
      <c r="I611" s="3">
        <v>1</v>
      </c>
      <c r="J611" s="3">
        <f t="shared" si="18"/>
        <v>99.44</v>
      </c>
      <c r="K611" s="4">
        <v>0</v>
      </c>
      <c r="L611" s="23">
        <f t="shared" si="19"/>
        <v>0</v>
      </c>
      <c r="M611" s="7">
        <v>99.44</v>
      </c>
      <c r="N611" s="5" t="s">
        <v>327</v>
      </c>
      <c r="O611" s="5" t="s">
        <v>24</v>
      </c>
      <c r="P611" s="3">
        <v>7</v>
      </c>
      <c r="Q611" s="3">
        <v>10</v>
      </c>
      <c r="R611" s="5" t="b">
        <v>0</v>
      </c>
      <c r="S611" s="3">
        <v>2</v>
      </c>
      <c r="T611" s="3">
        <v>4</v>
      </c>
    </row>
    <row r="612" spans="1:20">
      <c r="A612" s="5" t="s">
        <v>1155</v>
      </c>
      <c r="B612" s="5" t="s">
        <v>1156</v>
      </c>
      <c r="C612" s="6">
        <v>45106</v>
      </c>
      <c r="D612" s="8">
        <v>42</v>
      </c>
      <c r="E612" s="5" t="s">
        <v>20</v>
      </c>
      <c r="F612" s="5" t="s">
        <v>52</v>
      </c>
      <c r="G612" s="5" t="s">
        <v>28</v>
      </c>
      <c r="H612" s="7">
        <v>150.49</v>
      </c>
      <c r="I612" s="3">
        <v>1</v>
      </c>
      <c r="J612" s="3">
        <f t="shared" si="18"/>
        <v>150.49</v>
      </c>
      <c r="K612" s="4">
        <v>0</v>
      </c>
      <c r="L612" s="23">
        <f t="shared" si="19"/>
        <v>0</v>
      </c>
      <c r="M612" s="7">
        <v>150.49</v>
      </c>
      <c r="N612" s="5" t="s">
        <v>692</v>
      </c>
      <c r="O612" s="5" t="s">
        <v>24</v>
      </c>
      <c r="P612" s="3">
        <v>18</v>
      </c>
      <c r="Q612" s="3">
        <v>8</v>
      </c>
      <c r="R612" s="5" t="b">
        <v>0</v>
      </c>
      <c r="S612" s="3">
        <v>8</v>
      </c>
      <c r="T612" s="3">
        <v>4</v>
      </c>
    </row>
    <row r="613" spans="1:20">
      <c r="A613" s="5" t="s">
        <v>287</v>
      </c>
      <c r="B613" s="5" t="s">
        <v>288</v>
      </c>
      <c r="C613" s="6">
        <v>45255</v>
      </c>
      <c r="D613" s="8">
        <v>34</v>
      </c>
      <c r="E613" s="5" t="s">
        <v>20</v>
      </c>
      <c r="F613" s="5" t="s">
        <v>52</v>
      </c>
      <c r="G613" s="5" t="s">
        <v>46</v>
      </c>
      <c r="H613" s="7">
        <v>96.64</v>
      </c>
      <c r="I613" s="3">
        <v>1</v>
      </c>
      <c r="J613" s="3">
        <f t="shared" si="18"/>
        <v>96.64</v>
      </c>
      <c r="K613" s="4">
        <v>0</v>
      </c>
      <c r="L613" s="23">
        <f t="shared" si="19"/>
        <v>0</v>
      </c>
      <c r="M613" s="7">
        <v>96.64</v>
      </c>
      <c r="N613" s="5" t="s">
        <v>23</v>
      </c>
      <c r="O613" s="5" t="s">
        <v>24</v>
      </c>
      <c r="P613" s="3">
        <v>13</v>
      </c>
      <c r="Q613" s="3">
        <v>3</v>
      </c>
      <c r="R613" s="5" t="b">
        <v>0</v>
      </c>
      <c r="S613" s="3">
        <v>11</v>
      </c>
      <c r="T613" s="3">
        <v>5</v>
      </c>
    </row>
    <row r="614" spans="1:20">
      <c r="A614" s="5" t="s">
        <v>644</v>
      </c>
      <c r="B614" s="5" t="s">
        <v>645</v>
      </c>
      <c r="C614" s="6">
        <v>45187</v>
      </c>
      <c r="D614" s="8">
        <v>38</v>
      </c>
      <c r="E614" s="5" t="s">
        <v>36</v>
      </c>
      <c r="F614" s="5" t="s">
        <v>73</v>
      </c>
      <c r="G614" s="5" t="s">
        <v>53</v>
      </c>
      <c r="H614" s="7">
        <v>93.94</v>
      </c>
      <c r="I614" s="3">
        <v>5</v>
      </c>
      <c r="J614" s="3">
        <f t="shared" si="18"/>
        <v>469.7</v>
      </c>
      <c r="K614" s="4">
        <v>0</v>
      </c>
      <c r="L614" s="23">
        <f t="shared" si="19"/>
        <v>0</v>
      </c>
      <c r="M614" s="7">
        <v>469.7</v>
      </c>
      <c r="N614" s="5" t="s">
        <v>327</v>
      </c>
      <c r="O614" s="5" t="s">
        <v>33</v>
      </c>
      <c r="P614" s="3">
        <v>10</v>
      </c>
      <c r="Q614" s="3">
        <v>10</v>
      </c>
      <c r="R614" s="5" t="b">
        <v>0</v>
      </c>
      <c r="S614" s="3">
        <v>2</v>
      </c>
      <c r="T614" s="3">
        <v>5</v>
      </c>
    </row>
    <row r="615" spans="1:20">
      <c r="A615" s="5" t="s">
        <v>289</v>
      </c>
      <c r="B615" s="5" t="s">
        <v>290</v>
      </c>
      <c r="C615" s="6">
        <v>45131</v>
      </c>
      <c r="D615" s="8">
        <v>21</v>
      </c>
      <c r="E615" s="5" t="s">
        <v>20</v>
      </c>
      <c r="F615" s="5" t="s">
        <v>27</v>
      </c>
      <c r="G615" s="5" t="s">
        <v>37</v>
      </c>
      <c r="H615" s="7">
        <v>193.69</v>
      </c>
      <c r="I615" s="3">
        <v>1</v>
      </c>
      <c r="J615" s="3">
        <f t="shared" si="18"/>
        <v>193.69</v>
      </c>
      <c r="K615" s="4">
        <v>0</v>
      </c>
      <c r="L615" s="23">
        <f t="shared" si="19"/>
        <v>0</v>
      </c>
      <c r="M615" s="7">
        <v>193.69</v>
      </c>
      <c r="N615" s="5" t="s">
        <v>23</v>
      </c>
      <c r="O615" s="5" t="s">
        <v>33</v>
      </c>
      <c r="P615" s="3">
        <v>24</v>
      </c>
      <c r="Q615" s="3">
        <v>13</v>
      </c>
      <c r="R615" s="5" t="b">
        <v>1</v>
      </c>
      <c r="S615" s="3">
        <v>4</v>
      </c>
      <c r="T615" s="3">
        <v>5</v>
      </c>
    </row>
    <row r="616" spans="1:20">
      <c r="A616" s="5" t="s">
        <v>646</v>
      </c>
      <c r="B616" s="5" t="s">
        <v>647</v>
      </c>
      <c r="C616" s="6">
        <v>45274</v>
      </c>
      <c r="D616" s="8">
        <v>64</v>
      </c>
      <c r="E616" s="5" t="s">
        <v>36</v>
      </c>
      <c r="F616" s="5" t="s">
        <v>83</v>
      </c>
      <c r="G616" s="5" t="s">
        <v>22</v>
      </c>
      <c r="H616" s="7">
        <v>182.17</v>
      </c>
      <c r="I616" s="3">
        <v>2</v>
      </c>
      <c r="J616" s="3">
        <f t="shared" si="18"/>
        <v>364.34</v>
      </c>
      <c r="K616" s="4">
        <v>0</v>
      </c>
      <c r="L616" s="23">
        <f t="shared" si="19"/>
        <v>0</v>
      </c>
      <c r="M616" s="7">
        <v>364.34</v>
      </c>
      <c r="N616" s="5" t="s">
        <v>327</v>
      </c>
      <c r="O616" s="5" t="s">
        <v>33</v>
      </c>
      <c r="P616" s="3">
        <v>4</v>
      </c>
      <c r="Q616" s="3">
        <v>5</v>
      </c>
      <c r="R616" s="5" t="b">
        <v>1</v>
      </c>
      <c r="S616" s="3">
        <v>3</v>
      </c>
      <c r="T616" s="3">
        <v>5</v>
      </c>
    </row>
    <row r="617" spans="1:20">
      <c r="A617" s="5" t="s">
        <v>1157</v>
      </c>
      <c r="B617" s="5" t="s">
        <v>1158</v>
      </c>
      <c r="C617" s="6">
        <v>45358</v>
      </c>
      <c r="D617" s="8">
        <v>36</v>
      </c>
      <c r="E617" s="5" t="s">
        <v>20</v>
      </c>
      <c r="F617" s="5" t="s">
        <v>32</v>
      </c>
      <c r="G617" s="5" t="s">
        <v>64</v>
      </c>
      <c r="H617" s="7">
        <v>810.6</v>
      </c>
      <c r="I617" s="3">
        <v>2</v>
      </c>
      <c r="J617" s="3">
        <f t="shared" si="18"/>
        <v>1621.2</v>
      </c>
      <c r="K617" s="4">
        <v>0</v>
      </c>
      <c r="L617" s="23">
        <f t="shared" si="19"/>
        <v>0</v>
      </c>
      <c r="M617" s="7">
        <v>1621.2</v>
      </c>
      <c r="N617" s="5" t="s">
        <v>692</v>
      </c>
      <c r="O617" s="5" t="s">
        <v>24</v>
      </c>
      <c r="P617" s="3">
        <v>17</v>
      </c>
      <c r="Q617" s="3">
        <v>5</v>
      </c>
      <c r="R617" s="5" t="b">
        <v>0</v>
      </c>
      <c r="S617" s="3">
        <v>10</v>
      </c>
      <c r="T617" s="3">
        <v>5</v>
      </c>
    </row>
    <row r="618" spans="1:20">
      <c r="A618" s="5" t="s">
        <v>1159</v>
      </c>
      <c r="B618" s="5" t="s">
        <v>1160</v>
      </c>
      <c r="C618" s="6">
        <v>45201</v>
      </c>
      <c r="D618" s="8">
        <v>36</v>
      </c>
      <c r="E618" s="5" t="s">
        <v>20</v>
      </c>
      <c r="F618" s="5" t="s">
        <v>32</v>
      </c>
      <c r="G618" s="5" t="s">
        <v>64</v>
      </c>
      <c r="H618" s="7">
        <v>2590.17</v>
      </c>
      <c r="I618" s="3">
        <v>1</v>
      </c>
      <c r="J618" s="3">
        <f t="shared" si="18"/>
        <v>2590.17</v>
      </c>
      <c r="K618" s="4">
        <v>480.47</v>
      </c>
      <c r="L618" s="23">
        <f t="shared" si="19"/>
        <v>0.18549747699957919</v>
      </c>
      <c r="M618" s="7">
        <v>2109.6999999999998</v>
      </c>
      <c r="N618" s="5" t="s">
        <v>692</v>
      </c>
      <c r="O618" s="5" t="s">
        <v>33</v>
      </c>
      <c r="P618" s="3">
        <v>20</v>
      </c>
      <c r="Q618" s="3">
        <v>7</v>
      </c>
      <c r="R618" s="5" t="b">
        <v>1</v>
      </c>
      <c r="S618" s="3">
        <v>2</v>
      </c>
      <c r="T618" s="3">
        <v>3</v>
      </c>
    </row>
    <row r="619" spans="1:20">
      <c r="A619" s="5" t="s">
        <v>291</v>
      </c>
      <c r="B619" s="5" t="s">
        <v>292</v>
      </c>
      <c r="C619" s="6">
        <v>45096</v>
      </c>
      <c r="D619" s="8">
        <v>43</v>
      </c>
      <c r="E619" s="5" t="s">
        <v>20</v>
      </c>
      <c r="F619" s="5" t="s">
        <v>49</v>
      </c>
      <c r="G619" s="5" t="s">
        <v>56</v>
      </c>
      <c r="H619" s="7">
        <v>702.02</v>
      </c>
      <c r="I619" s="3">
        <v>2</v>
      </c>
      <c r="J619" s="3">
        <f t="shared" si="18"/>
        <v>1404.04</v>
      </c>
      <c r="K619" s="4">
        <v>104.29</v>
      </c>
      <c r="L619" s="23">
        <f t="shared" si="19"/>
        <v>7.4278510583744059E-2</v>
      </c>
      <c r="M619" s="7">
        <v>1299.75</v>
      </c>
      <c r="N619" s="5" t="s">
        <v>23</v>
      </c>
      <c r="O619" s="5" t="s">
        <v>29</v>
      </c>
      <c r="P619" s="3">
        <v>12</v>
      </c>
      <c r="Q619" s="3">
        <v>11</v>
      </c>
      <c r="R619" s="5" t="b">
        <v>1</v>
      </c>
      <c r="S619" s="3">
        <v>6</v>
      </c>
      <c r="T619" s="3">
        <v>5</v>
      </c>
    </row>
    <row r="620" spans="1:20">
      <c r="A620" s="5" t="s">
        <v>1161</v>
      </c>
      <c r="B620" s="5" t="s">
        <v>1162</v>
      </c>
      <c r="C620" s="6">
        <v>44941</v>
      </c>
      <c r="D620" s="8">
        <v>40</v>
      </c>
      <c r="E620" s="5" t="s">
        <v>36</v>
      </c>
      <c r="F620" s="5" t="s">
        <v>59</v>
      </c>
      <c r="G620" s="5" t="s">
        <v>64</v>
      </c>
      <c r="H620" s="7">
        <v>1239.23</v>
      </c>
      <c r="I620" s="3">
        <v>1</v>
      </c>
      <c r="J620" s="3">
        <f t="shared" si="18"/>
        <v>1239.23</v>
      </c>
      <c r="K620" s="4">
        <v>0</v>
      </c>
      <c r="L620" s="23">
        <f t="shared" si="19"/>
        <v>0</v>
      </c>
      <c r="M620" s="7">
        <v>1239.23</v>
      </c>
      <c r="N620" s="5" t="s">
        <v>692</v>
      </c>
      <c r="O620" s="5" t="s">
        <v>24</v>
      </c>
      <c r="P620" s="3">
        <v>31</v>
      </c>
      <c r="Q620" s="3">
        <v>13</v>
      </c>
      <c r="R620" s="5" t="b">
        <v>1</v>
      </c>
      <c r="S620" s="3">
        <v>12</v>
      </c>
      <c r="T620" s="3">
        <v>5</v>
      </c>
    </row>
    <row r="621" spans="1:20">
      <c r="A621" s="5" t="s">
        <v>1163</v>
      </c>
      <c r="B621" s="5" t="s">
        <v>1164</v>
      </c>
      <c r="C621" s="6">
        <v>44986</v>
      </c>
      <c r="D621" s="8">
        <v>37</v>
      </c>
      <c r="E621" s="5" t="s">
        <v>20</v>
      </c>
      <c r="F621" s="5" t="s">
        <v>59</v>
      </c>
      <c r="G621" s="5" t="s">
        <v>37</v>
      </c>
      <c r="H621" s="7">
        <v>126.2</v>
      </c>
      <c r="I621" s="3">
        <v>5</v>
      </c>
      <c r="J621" s="3">
        <f t="shared" si="18"/>
        <v>631</v>
      </c>
      <c r="K621" s="4">
        <v>0</v>
      </c>
      <c r="L621" s="23">
        <f t="shared" si="19"/>
        <v>0</v>
      </c>
      <c r="M621" s="7">
        <v>631</v>
      </c>
      <c r="N621" s="5" t="s">
        <v>692</v>
      </c>
      <c r="O621" s="5" t="s">
        <v>33</v>
      </c>
      <c r="P621" s="3">
        <v>13</v>
      </c>
      <c r="Q621" s="3">
        <v>13</v>
      </c>
      <c r="R621" s="5" t="b">
        <v>0</v>
      </c>
      <c r="S621" s="3">
        <v>5</v>
      </c>
      <c r="T621" s="3">
        <v>5</v>
      </c>
    </row>
    <row r="622" spans="1:20">
      <c r="A622" s="5" t="s">
        <v>1431</v>
      </c>
      <c r="B622" s="5" t="s">
        <v>1432</v>
      </c>
      <c r="C622" s="6">
        <v>45376</v>
      </c>
      <c r="D622" s="8">
        <v>25</v>
      </c>
      <c r="E622" s="5" t="s">
        <v>36</v>
      </c>
      <c r="F622" s="5" t="s">
        <v>49</v>
      </c>
      <c r="G622" s="5" t="s">
        <v>46</v>
      </c>
      <c r="H622" s="7">
        <v>330.82</v>
      </c>
      <c r="I622" s="3">
        <v>3</v>
      </c>
      <c r="J622" s="3">
        <f t="shared" si="18"/>
        <v>992.46</v>
      </c>
      <c r="K622" s="4">
        <v>0</v>
      </c>
      <c r="L622" s="23">
        <f t="shared" si="19"/>
        <v>0</v>
      </c>
      <c r="M622" s="7">
        <v>992.46</v>
      </c>
      <c r="N622" s="5" t="s">
        <v>1298</v>
      </c>
      <c r="O622" s="5" t="s">
        <v>33</v>
      </c>
      <c r="P622" s="3">
        <v>7</v>
      </c>
      <c r="Q622" s="3">
        <v>12</v>
      </c>
      <c r="R622" s="5" t="b">
        <v>0</v>
      </c>
      <c r="S622" s="3">
        <v>6</v>
      </c>
      <c r="T622" s="3">
        <v>5</v>
      </c>
    </row>
    <row r="623" spans="1:20">
      <c r="A623" s="5" t="s">
        <v>293</v>
      </c>
      <c r="B623" s="5" t="s">
        <v>294</v>
      </c>
      <c r="C623" s="6">
        <v>45060</v>
      </c>
      <c r="D623" s="8">
        <v>40</v>
      </c>
      <c r="E623" s="5" t="s">
        <v>36</v>
      </c>
      <c r="F623" s="5" t="s">
        <v>76</v>
      </c>
      <c r="G623" s="5" t="s">
        <v>46</v>
      </c>
      <c r="H623" s="7">
        <v>940.51</v>
      </c>
      <c r="I623" s="3">
        <v>1</v>
      </c>
      <c r="J623" s="3">
        <f t="shared" si="18"/>
        <v>940.51</v>
      </c>
      <c r="K623" s="4">
        <v>77.459999999999994</v>
      </c>
      <c r="L623" s="23">
        <f t="shared" si="19"/>
        <v>8.2359570871123111E-2</v>
      </c>
      <c r="M623" s="7">
        <v>863.05</v>
      </c>
      <c r="N623" s="5" t="s">
        <v>23</v>
      </c>
      <c r="O623" s="5" t="s">
        <v>24</v>
      </c>
      <c r="P623" s="3">
        <v>7</v>
      </c>
      <c r="Q623" s="3">
        <v>9</v>
      </c>
      <c r="R623" s="5" t="b">
        <v>0</v>
      </c>
      <c r="S623" s="3">
        <v>3</v>
      </c>
      <c r="T623" s="3">
        <v>4</v>
      </c>
    </row>
    <row r="624" spans="1:20">
      <c r="A624" s="5" t="s">
        <v>1165</v>
      </c>
      <c r="B624" s="5" t="s">
        <v>1166</v>
      </c>
      <c r="C624" s="6">
        <v>45018</v>
      </c>
      <c r="D624" s="8">
        <v>57</v>
      </c>
      <c r="E624" s="5" t="s">
        <v>36</v>
      </c>
      <c r="F624" s="5" t="s">
        <v>21</v>
      </c>
      <c r="G624" s="5" t="s">
        <v>46</v>
      </c>
      <c r="H624" s="7">
        <v>351.37</v>
      </c>
      <c r="I624" s="3">
        <v>1</v>
      </c>
      <c r="J624" s="3">
        <f t="shared" si="18"/>
        <v>351.37</v>
      </c>
      <c r="K624" s="4">
        <v>0</v>
      </c>
      <c r="L624" s="23">
        <f t="shared" si="19"/>
        <v>0</v>
      </c>
      <c r="M624" s="7">
        <v>351.37</v>
      </c>
      <c r="N624" s="5" t="s">
        <v>692</v>
      </c>
      <c r="O624" s="5" t="s">
        <v>24</v>
      </c>
      <c r="P624" s="3">
        <v>13</v>
      </c>
      <c r="Q624" s="3">
        <v>6</v>
      </c>
      <c r="R624" s="5" t="b">
        <v>0</v>
      </c>
      <c r="S624" s="3">
        <v>6</v>
      </c>
      <c r="T624" s="3">
        <v>5</v>
      </c>
    </row>
    <row r="625" spans="1:20">
      <c r="A625" s="5" t="s">
        <v>1167</v>
      </c>
      <c r="B625" s="5" t="s">
        <v>1168</v>
      </c>
      <c r="C625" s="6">
        <v>45224</v>
      </c>
      <c r="D625" s="8">
        <v>51</v>
      </c>
      <c r="E625" s="5" t="s">
        <v>36</v>
      </c>
      <c r="F625" s="5" t="s">
        <v>76</v>
      </c>
      <c r="G625" s="5" t="s">
        <v>115</v>
      </c>
      <c r="H625" s="7">
        <v>105.07</v>
      </c>
      <c r="I625" s="3">
        <v>1</v>
      </c>
      <c r="J625" s="3">
        <f t="shared" si="18"/>
        <v>105.07</v>
      </c>
      <c r="K625" s="4">
        <v>21.03</v>
      </c>
      <c r="L625" s="23">
        <f t="shared" si="19"/>
        <v>0.20015227943275915</v>
      </c>
      <c r="M625" s="7">
        <v>84.04</v>
      </c>
      <c r="N625" s="5" t="s">
        <v>692</v>
      </c>
      <c r="O625" s="5" t="s">
        <v>33</v>
      </c>
      <c r="P625" s="3">
        <v>6</v>
      </c>
      <c r="Q625" s="3">
        <v>7</v>
      </c>
      <c r="R625" s="5" t="b">
        <v>1</v>
      </c>
      <c r="S625" s="3">
        <v>4</v>
      </c>
      <c r="T625" s="3">
        <v>1</v>
      </c>
    </row>
    <row r="626" spans="1:20">
      <c r="A626" s="5" t="s">
        <v>1169</v>
      </c>
      <c r="B626" s="5" t="s">
        <v>1170</v>
      </c>
      <c r="C626" s="6">
        <v>45062</v>
      </c>
      <c r="D626" s="8">
        <v>54</v>
      </c>
      <c r="E626" s="5" t="s">
        <v>36</v>
      </c>
      <c r="F626" s="5" t="s">
        <v>83</v>
      </c>
      <c r="G626" s="5" t="s">
        <v>53</v>
      </c>
      <c r="H626" s="7">
        <v>50.09</v>
      </c>
      <c r="I626" s="3">
        <v>2</v>
      </c>
      <c r="J626" s="3">
        <f t="shared" si="18"/>
        <v>100.18</v>
      </c>
      <c r="K626" s="4">
        <v>0</v>
      </c>
      <c r="L626" s="23">
        <f t="shared" si="19"/>
        <v>0</v>
      </c>
      <c r="M626" s="7">
        <v>100.18</v>
      </c>
      <c r="N626" s="5" t="s">
        <v>692</v>
      </c>
      <c r="O626" s="5" t="s">
        <v>24</v>
      </c>
      <c r="P626" s="3">
        <v>36</v>
      </c>
      <c r="Q626" s="3">
        <v>14</v>
      </c>
      <c r="R626" s="5" t="b">
        <v>1</v>
      </c>
      <c r="S626" s="3">
        <v>5</v>
      </c>
      <c r="T626" s="3">
        <v>4</v>
      </c>
    </row>
    <row r="627" spans="1:20">
      <c r="A627" s="5" t="s">
        <v>648</v>
      </c>
      <c r="B627" s="5" t="s">
        <v>649</v>
      </c>
      <c r="C627" s="6">
        <v>44946</v>
      </c>
      <c r="D627" s="8">
        <v>28</v>
      </c>
      <c r="E627" s="5" t="s">
        <v>20</v>
      </c>
      <c r="F627" s="5" t="s">
        <v>59</v>
      </c>
      <c r="G627" s="5" t="s">
        <v>53</v>
      </c>
      <c r="H627" s="7">
        <v>60.16</v>
      </c>
      <c r="I627" s="3">
        <v>1</v>
      </c>
      <c r="J627" s="3">
        <f t="shared" si="18"/>
        <v>60.16</v>
      </c>
      <c r="K627" s="4">
        <v>13.38</v>
      </c>
      <c r="L627" s="23">
        <f t="shared" si="19"/>
        <v>0.22240691489361705</v>
      </c>
      <c r="M627" s="7">
        <v>46.78</v>
      </c>
      <c r="N627" s="5" t="s">
        <v>327</v>
      </c>
      <c r="O627" s="5" t="s">
        <v>24</v>
      </c>
      <c r="P627" s="3">
        <v>10</v>
      </c>
      <c r="Q627" s="3">
        <v>3</v>
      </c>
      <c r="R627" s="5" t="b">
        <v>1</v>
      </c>
      <c r="S627" s="3">
        <v>16</v>
      </c>
      <c r="T627" s="3">
        <v>4</v>
      </c>
    </row>
    <row r="628" spans="1:20">
      <c r="A628" s="5" t="s">
        <v>295</v>
      </c>
      <c r="B628" s="5" t="s">
        <v>296</v>
      </c>
      <c r="C628" s="6">
        <v>44982</v>
      </c>
      <c r="D628" s="8">
        <v>23</v>
      </c>
      <c r="E628" s="5" t="s">
        <v>36</v>
      </c>
      <c r="F628" s="5" t="s">
        <v>52</v>
      </c>
      <c r="G628" s="5" t="s">
        <v>115</v>
      </c>
      <c r="H628" s="7">
        <v>176.9</v>
      </c>
      <c r="I628" s="3">
        <v>1</v>
      </c>
      <c r="J628" s="3">
        <f t="shared" si="18"/>
        <v>176.9</v>
      </c>
      <c r="K628" s="4">
        <v>31.48</v>
      </c>
      <c r="L628" s="23">
        <f t="shared" si="19"/>
        <v>0.1779536461277558</v>
      </c>
      <c r="M628" s="7">
        <v>145.41999999999999</v>
      </c>
      <c r="N628" s="5" t="s">
        <v>23</v>
      </c>
      <c r="O628" s="5" t="s">
        <v>24</v>
      </c>
      <c r="P628" s="3">
        <v>28</v>
      </c>
      <c r="Q628" s="3">
        <v>14</v>
      </c>
      <c r="R628" s="5" t="b">
        <v>1</v>
      </c>
      <c r="S628" s="3">
        <v>14</v>
      </c>
      <c r="T628" s="3">
        <v>5</v>
      </c>
    </row>
    <row r="629" spans="1:20">
      <c r="A629" s="5" t="s">
        <v>1171</v>
      </c>
      <c r="B629" s="5" t="s">
        <v>1172</v>
      </c>
      <c r="C629" s="6">
        <v>45232</v>
      </c>
      <c r="D629" s="8">
        <v>33</v>
      </c>
      <c r="E629" s="5" t="s">
        <v>36</v>
      </c>
      <c r="F629" s="5" t="s">
        <v>32</v>
      </c>
      <c r="G629" s="5" t="s">
        <v>64</v>
      </c>
      <c r="H629" s="7">
        <v>971.23</v>
      </c>
      <c r="I629" s="3">
        <v>2</v>
      </c>
      <c r="J629" s="3">
        <f t="shared" si="18"/>
        <v>1942.46</v>
      </c>
      <c r="K629" s="4">
        <v>108.91</v>
      </c>
      <c r="L629" s="23">
        <f t="shared" si="19"/>
        <v>5.60680786219536E-2</v>
      </c>
      <c r="M629" s="7">
        <v>1833.55</v>
      </c>
      <c r="N629" s="5" t="s">
        <v>692</v>
      </c>
      <c r="O629" s="5" t="s">
        <v>33</v>
      </c>
      <c r="P629" s="3">
        <v>25</v>
      </c>
      <c r="Q629" s="3">
        <v>6</v>
      </c>
      <c r="R629" s="5" t="b">
        <v>1</v>
      </c>
      <c r="S629" s="3">
        <v>12</v>
      </c>
      <c r="T629" s="3">
        <v>5</v>
      </c>
    </row>
    <row r="630" spans="1:20">
      <c r="A630" s="5" t="s">
        <v>1433</v>
      </c>
      <c r="B630" s="5" t="s">
        <v>1434</v>
      </c>
      <c r="C630" s="6">
        <v>45149</v>
      </c>
      <c r="D630" s="8">
        <v>35</v>
      </c>
      <c r="E630" s="5" t="s">
        <v>20</v>
      </c>
      <c r="F630" s="5" t="s">
        <v>73</v>
      </c>
      <c r="G630" s="5" t="s">
        <v>28</v>
      </c>
      <c r="H630" s="7">
        <v>249.81</v>
      </c>
      <c r="I630" s="3">
        <v>4</v>
      </c>
      <c r="J630" s="3">
        <f t="shared" si="18"/>
        <v>999.24</v>
      </c>
      <c r="K630" s="4">
        <v>0</v>
      </c>
      <c r="L630" s="23">
        <f t="shared" si="19"/>
        <v>0</v>
      </c>
      <c r="M630" s="7">
        <v>999.24</v>
      </c>
      <c r="N630" s="5" t="s">
        <v>1298</v>
      </c>
      <c r="O630" s="5" t="s">
        <v>33</v>
      </c>
      <c r="P630" s="3">
        <v>16</v>
      </c>
      <c r="Q630" s="3">
        <v>9</v>
      </c>
      <c r="R630" s="5" t="b">
        <v>0</v>
      </c>
      <c r="S630" s="3">
        <v>6</v>
      </c>
      <c r="T630" s="3">
        <v>5</v>
      </c>
    </row>
    <row r="631" spans="1:20">
      <c r="A631" s="5" t="s">
        <v>1173</v>
      </c>
      <c r="B631" s="5" t="s">
        <v>1174</v>
      </c>
      <c r="C631" s="6">
        <v>45103</v>
      </c>
      <c r="D631" s="8">
        <v>48</v>
      </c>
      <c r="E631" s="5" t="s">
        <v>20</v>
      </c>
      <c r="F631" s="5" t="s">
        <v>21</v>
      </c>
      <c r="G631" s="5" t="s">
        <v>53</v>
      </c>
      <c r="H631" s="7">
        <v>114.73</v>
      </c>
      <c r="I631" s="3">
        <v>1</v>
      </c>
      <c r="J631" s="3">
        <f t="shared" si="18"/>
        <v>114.73</v>
      </c>
      <c r="K631" s="4">
        <v>21.05</v>
      </c>
      <c r="L631" s="23">
        <f t="shared" si="19"/>
        <v>0.18347424387692843</v>
      </c>
      <c r="M631" s="7">
        <v>93.68</v>
      </c>
      <c r="N631" s="5" t="s">
        <v>692</v>
      </c>
      <c r="O631" s="5" t="s">
        <v>24</v>
      </c>
      <c r="P631" s="3">
        <v>12</v>
      </c>
      <c r="Q631" s="3">
        <v>13</v>
      </c>
      <c r="R631" s="5" t="b">
        <v>0</v>
      </c>
      <c r="S631" s="3">
        <v>5</v>
      </c>
      <c r="T631" s="3">
        <v>2</v>
      </c>
    </row>
    <row r="632" spans="1:20">
      <c r="A632" s="5" t="s">
        <v>1175</v>
      </c>
      <c r="B632" s="5" t="s">
        <v>1176</v>
      </c>
      <c r="C632" s="6">
        <v>45300</v>
      </c>
      <c r="D632" s="8">
        <v>18</v>
      </c>
      <c r="E632" s="5" t="s">
        <v>36</v>
      </c>
      <c r="F632" s="5" t="s">
        <v>88</v>
      </c>
      <c r="G632" s="5" t="s">
        <v>28</v>
      </c>
      <c r="H632" s="7">
        <v>243.64</v>
      </c>
      <c r="I632" s="3">
        <v>2</v>
      </c>
      <c r="J632" s="3">
        <f t="shared" si="18"/>
        <v>487.28</v>
      </c>
      <c r="K632" s="4">
        <v>29.1</v>
      </c>
      <c r="L632" s="23">
        <f t="shared" si="19"/>
        <v>5.9719257921523564E-2</v>
      </c>
      <c r="M632" s="7">
        <v>458.18</v>
      </c>
      <c r="N632" s="5" t="s">
        <v>692</v>
      </c>
      <c r="O632" s="5" t="s">
        <v>33</v>
      </c>
      <c r="P632" s="3">
        <v>13</v>
      </c>
      <c r="Q632" s="3">
        <v>11</v>
      </c>
      <c r="R632" s="5" t="b">
        <v>1</v>
      </c>
      <c r="S632" s="3">
        <v>3</v>
      </c>
      <c r="T632" s="3">
        <v>4</v>
      </c>
    </row>
    <row r="633" spans="1:20">
      <c r="A633" s="5" t="s">
        <v>1290</v>
      </c>
      <c r="B633" s="5" t="s">
        <v>1291</v>
      </c>
      <c r="C633" s="6">
        <v>45329</v>
      </c>
      <c r="D633" s="8">
        <v>53</v>
      </c>
      <c r="E633" s="5" t="s">
        <v>20</v>
      </c>
      <c r="F633" s="5" t="s">
        <v>32</v>
      </c>
      <c r="G633" s="5" t="s">
        <v>28</v>
      </c>
      <c r="H633" s="7">
        <v>326.16000000000003</v>
      </c>
      <c r="I633" s="3">
        <v>1</v>
      </c>
      <c r="J633" s="3">
        <f t="shared" si="18"/>
        <v>326.16000000000003</v>
      </c>
      <c r="K633" s="4">
        <v>28.55</v>
      </c>
      <c r="L633" s="23">
        <f t="shared" si="19"/>
        <v>8.7533725778758883E-2</v>
      </c>
      <c r="M633" s="7">
        <v>297.61</v>
      </c>
      <c r="N633" s="5" t="s">
        <v>1231</v>
      </c>
      <c r="O633" s="5" t="s">
        <v>24</v>
      </c>
      <c r="P633" s="3">
        <v>22</v>
      </c>
      <c r="Q633" s="3">
        <v>5</v>
      </c>
      <c r="R633" s="5" t="b">
        <v>1</v>
      </c>
      <c r="S633" s="3">
        <v>7</v>
      </c>
      <c r="T633" s="3">
        <v>5</v>
      </c>
    </row>
    <row r="634" spans="1:20">
      <c r="A634" s="5" t="s">
        <v>1177</v>
      </c>
      <c r="B634" s="5" t="s">
        <v>1178</v>
      </c>
      <c r="C634" s="6">
        <v>45087</v>
      </c>
      <c r="D634" s="8">
        <v>33</v>
      </c>
      <c r="E634" s="5" t="s">
        <v>36</v>
      </c>
      <c r="F634" s="5" t="s">
        <v>52</v>
      </c>
      <c r="G634" s="5" t="s">
        <v>53</v>
      </c>
      <c r="H634" s="7">
        <v>53.32</v>
      </c>
      <c r="I634" s="3">
        <v>5</v>
      </c>
      <c r="J634" s="3">
        <f t="shared" si="18"/>
        <v>266.60000000000002</v>
      </c>
      <c r="K634" s="4">
        <v>0</v>
      </c>
      <c r="L634" s="23">
        <f t="shared" si="19"/>
        <v>0</v>
      </c>
      <c r="M634" s="7">
        <v>266.60000000000002</v>
      </c>
      <c r="N634" s="5" t="s">
        <v>692</v>
      </c>
      <c r="O634" s="5" t="s">
        <v>24</v>
      </c>
      <c r="P634" s="3">
        <v>15</v>
      </c>
      <c r="Q634" s="3">
        <v>6</v>
      </c>
      <c r="R634" s="5" t="b">
        <v>1</v>
      </c>
      <c r="S634" s="3">
        <v>2</v>
      </c>
      <c r="T634" s="3">
        <v>1</v>
      </c>
    </row>
    <row r="635" spans="1:20">
      <c r="A635" s="5" t="s">
        <v>1435</v>
      </c>
      <c r="B635" s="5" t="s">
        <v>1436</v>
      </c>
      <c r="C635" s="6">
        <v>45150</v>
      </c>
      <c r="D635" s="8">
        <v>29</v>
      </c>
      <c r="E635" s="5" t="s">
        <v>20</v>
      </c>
      <c r="F635" s="5" t="s">
        <v>27</v>
      </c>
      <c r="G635" s="5" t="s">
        <v>115</v>
      </c>
      <c r="H635" s="7">
        <v>94.37</v>
      </c>
      <c r="I635" s="3">
        <v>1</v>
      </c>
      <c r="J635" s="3">
        <f t="shared" si="18"/>
        <v>94.37</v>
      </c>
      <c r="K635" s="4">
        <v>6.99</v>
      </c>
      <c r="L635" s="23">
        <f t="shared" si="19"/>
        <v>7.4070149411889372E-2</v>
      </c>
      <c r="M635" s="7">
        <v>87.38</v>
      </c>
      <c r="N635" s="5" t="s">
        <v>1298</v>
      </c>
      <c r="O635" s="5" t="s">
        <v>33</v>
      </c>
      <c r="P635" s="3">
        <v>24</v>
      </c>
      <c r="Q635" s="3">
        <v>10</v>
      </c>
      <c r="R635" s="5" t="b">
        <v>0</v>
      </c>
      <c r="S635" s="3">
        <v>6</v>
      </c>
      <c r="T635" s="3">
        <v>3</v>
      </c>
    </row>
    <row r="636" spans="1:20">
      <c r="A636" s="5" t="s">
        <v>297</v>
      </c>
      <c r="B636" s="5" t="s">
        <v>298</v>
      </c>
      <c r="C636" s="6">
        <v>45237</v>
      </c>
      <c r="D636" s="8">
        <v>22</v>
      </c>
      <c r="E636" s="5" t="s">
        <v>20</v>
      </c>
      <c r="F636" s="5" t="s">
        <v>32</v>
      </c>
      <c r="G636" s="5" t="s">
        <v>56</v>
      </c>
      <c r="H636" s="7">
        <v>1116.22</v>
      </c>
      <c r="I636" s="3">
        <v>1</v>
      </c>
      <c r="J636" s="3">
        <f t="shared" si="18"/>
        <v>1116.22</v>
      </c>
      <c r="K636" s="4">
        <v>0</v>
      </c>
      <c r="L636" s="23">
        <f t="shared" si="19"/>
        <v>0</v>
      </c>
      <c r="M636" s="7">
        <v>1116.22</v>
      </c>
      <c r="N636" s="5" t="s">
        <v>23</v>
      </c>
      <c r="O636" s="5" t="s">
        <v>24</v>
      </c>
      <c r="P636" s="3">
        <v>8</v>
      </c>
      <c r="Q636" s="3">
        <v>16</v>
      </c>
      <c r="R636" s="5" t="b">
        <v>1</v>
      </c>
      <c r="S636" s="3">
        <v>6</v>
      </c>
      <c r="T636" s="3">
        <v>5</v>
      </c>
    </row>
    <row r="637" spans="1:20">
      <c r="A637" s="5" t="s">
        <v>1179</v>
      </c>
      <c r="B637" s="5" t="s">
        <v>1180</v>
      </c>
      <c r="C637" s="6">
        <v>45188</v>
      </c>
      <c r="D637" s="8">
        <v>18</v>
      </c>
      <c r="E637" s="5" t="s">
        <v>36</v>
      </c>
      <c r="F637" s="5" t="s">
        <v>52</v>
      </c>
      <c r="G637" s="5" t="s">
        <v>53</v>
      </c>
      <c r="H637" s="7">
        <v>49.43</v>
      </c>
      <c r="I637" s="3">
        <v>1</v>
      </c>
      <c r="J637" s="3">
        <f t="shared" si="18"/>
        <v>49.43</v>
      </c>
      <c r="K637" s="4">
        <v>0</v>
      </c>
      <c r="L637" s="23">
        <f t="shared" si="19"/>
        <v>0</v>
      </c>
      <c r="M637" s="7">
        <v>49.43</v>
      </c>
      <c r="N637" s="5" t="s">
        <v>692</v>
      </c>
      <c r="O637" s="5" t="s">
        <v>24</v>
      </c>
      <c r="P637" s="3">
        <v>16</v>
      </c>
      <c r="Q637" s="3">
        <v>6</v>
      </c>
      <c r="R637" s="5" t="b">
        <v>1</v>
      </c>
      <c r="S637" s="3">
        <v>3</v>
      </c>
      <c r="T637" s="3">
        <v>2</v>
      </c>
    </row>
    <row r="638" spans="1:20">
      <c r="A638" s="5" t="s">
        <v>650</v>
      </c>
      <c r="B638" s="5" t="s">
        <v>651</v>
      </c>
      <c r="C638" s="6">
        <v>44986</v>
      </c>
      <c r="D638" s="8">
        <v>44</v>
      </c>
      <c r="E638" s="5" t="s">
        <v>20</v>
      </c>
      <c r="F638" s="5" t="s">
        <v>52</v>
      </c>
      <c r="G638" s="5" t="s">
        <v>22</v>
      </c>
      <c r="H638" s="7">
        <v>126.58</v>
      </c>
      <c r="I638" s="3">
        <v>4</v>
      </c>
      <c r="J638" s="3">
        <f t="shared" si="18"/>
        <v>506.32</v>
      </c>
      <c r="K638" s="4">
        <v>0</v>
      </c>
      <c r="L638" s="23">
        <f t="shared" si="19"/>
        <v>0</v>
      </c>
      <c r="M638" s="7">
        <v>506.32</v>
      </c>
      <c r="N638" s="5" t="s">
        <v>327</v>
      </c>
      <c r="O638" s="5" t="s">
        <v>29</v>
      </c>
      <c r="P638" s="3">
        <v>10</v>
      </c>
      <c r="Q638" s="3">
        <v>12</v>
      </c>
      <c r="R638" s="5" t="b">
        <v>1</v>
      </c>
      <c r="S638" s="3">
        <v>7</v>
      </c>
      <c r="T638" s="3">
        <v>2</v>
      </c>
    </row>
    <row r="639" spans="1:20">
      <c r="A639" s="5" t="s">
        <v>652</v>
      </c>
      <c r="B639" s="5" t="s">
        <v>653</v>
      </c>
      <c r="C639" s="6">
        <v>45124</v>
      </c>
      <c r="D639" s="8">
        <v>35</v>
      </c>
      <c r="E639" s="5" t="s">
        <v>20</v>
      </c>
      <c r="F639" s="5" t="s">
        <v>49</v>
      </c>
      <c r="G639" s="5" t="s">
        <v>115</v>
      </c>
      <c r="H639" s="7">
        <v>27.7</v>
      </c>
      <c r="I639" s="3">
        <v>1</v>
      </c>
      <c r="J639" s="3">
        <f t="shared" si="18"/>
        <v>27.7</v>
      </c>
      <c r="K639" s="4">
        <v>0</v>
      </c>
      <c r="L639" s="23">
        <f t="shared" si="19"/>
        <v>0</v>
      </c>
      <c r="M639" s="7">
        <v>27.7</v>
      </c>
      <c r="N639" s="5" t="s">
        <v>327</v>
      </c>
      <c r="O639" s="5" t="s">
        <v>33</v>
      </c>
      <c r="P639" s="3">
        <v>9</v>
      </c>
      <c r="Q639" s="3">
        <v>9</v>
      </c>
      <c r="R639" s="5" t="b">
        <v>0</v>
      </c>
      <c r="S639" s="3">
        <v>6</v>
      </c>
      <c r="T639" s="3">
        <v>4</v>
      </c>
    </row>
    <row r="640" spans="1:20">
      <c r="A640" s="5" t="s">
        <v>1437</v>
      </c>
      <c r="B640" s="5" t="s">
        <v>1438</v>
      </c>
      <c r="C640" s="6">
        <v>45222</v>
      </c>
      <c r="D640" s="8">
        <v>19</v>
      </c>
      <c r="E640" s="5" t="s">
        <v>36</v>
      </c>
      <c r="F640" s="5" t="s">
        <v>32</v>
      </c>
      <c r="G640" s="5" t="s">
        <v>22</v>
      </c>
      <c r="H640" s="7">
        <v>656.45</v>
      </c>
      <c r="I640" s="3">
        <v>1</v>
      </c>
      <c r="J640" s="3">
        <f t="shared" si="18"/>
        <v>656.45</v>
      </c>
      <c r="K640" s="4">
        <v>0</v>
      </c>
      <c r="L640" s="23">
        <f t="shared" si="19"/>
        <v>0</v>
      </c>
      <c r="M640" s="7">
        <v>656.45</v>
      </c>
      <c r="N640" s="5" t="s">
        <v>1298</v>
      </c>
      <c r="O640" s="5" t="s">
        <v>29</v>
      </c>
      <c r="P640" s="3">
        <v>10</v>
      </c>
      <c r="Q640" s="3">
        <v>7</v>
      </c>
      <c r="R640" s="5" t="b">
        <v>1</v>
      </c>
      <c r="S640" s="3">
        <v>5</v>
      </c>
      <c r="T640" s="3">
        <v>5</v>
      </c>
    </row>
    <row r="641" spans="1:20">
      <c r="A641" s="5" t="s">
        <v>654</v>
      </c>
      <c r="B641" s="5" t="s">
        <v>655</v>
      </c>
      <c r="C641" s="6">
        <v>45024</v>
      </c>
      <c r="D641" s="8">
        <v>19</v>
      </c>
      <c r="E641" s="5" t="s">
        <v>20</v>
      </c>
      <c r="F641" s="5" t="s">
        <v>88</v>
      </c>
      <c r="G641" s="5" t="s">
        <v>28</v>
      </c>
      <c r="H641" s="7">
        <v>366.62</v>
      </c>
      <c r="I641" s="3">
        <v>3</v>
      </c>
      <c r="J641" s="3">
        <f t="shared" si="18"/>
        <v>1099.8600000000001</v>
      </c>
      <c r="K641" s="4">
        <v>33.82</v>
      </c>
      <c r="L641" s="23">
        <f t="shared" si="19"/>
        <v>3.0749368101394718E-2</v>
      </c>
      <c r="M641" s="7">
        <v>1066.04</v>
      </c>
      <c r="N641" s="5" t="s">
        <v>327</v>
      </c>
      <c r="O641" s="5" t="s">
        <v>33</v>
      </c>
      <c r="P641" s="3">
        <v>19</v>
      </c>
      <c r="Q641" s="3">
        <v>9</v>
      </c>
      <c r="R641" s="5" t="b">
        <v>1</v>
      </c>
      <c r="S641" s="3">
        <v>7</v>
      </c>
      <c r="T641" s="3">
        <v>5</v>
      </c>
    </row>
    <row r="642" spans="1:20">
      <c r="A642" s="5" t="s">
        <v>656</v>
      </c>
      <c r="B642" s="5" t="s">
        <v>657</v>
      </c>
      <c r="C642" s="6">
        <v>45057</v>
      </c>
      <c r="D642" s="8">
        <v>30</v>
      </c>
      <c r="E642" s="5" t="s">
        <v>36</v>
      </c>
      <c r="F642" s="5" t="s">
        <v>21</v>
      </c>
      <c r="G642" s="5" t="s">
        <v>22</v>
      </c>
      <c r="H642" s="7">
        <v>142.30000000000001</v>
      </c>
      <c r="I642" s="3">
        <v>4</v>
      </c>
      <c r="J642" s="3">
        <f t="shared" si="18"/>
        <v>569.20000000000005</v>
      </c>
      <c r="K642" s="4">
        <v>0</v>
      </c>
      <c r="L642" s="23">
        <f t="shared" si="19"/>
        <v>0</v>
      </c>
      <c r="M642" s="7">
        <v>569.20000000000005</v>
      </c>
      <c r="N642" s="5" t="s">
        <v>327</v>
      </c>
      <c r="O642" s="5" t="s">
        <v>33</v>
      </c>
      <c r="P642" s="3">
        <v>17</v>
      </c>
      <c r="Q642" s="3">
        <v>9</v>
      </c>
      <c r="R642" s="5" t="b">
        <v>1</v>
      </c>
      <c r="S642" s="3">
        <v>5</v>
      </c>
      <c r="T642" s="3">
        <v>5</v>
      </c>
    </row>
    <row r="643" spans="1:20">
      <c r="A643" s="5" t="s">
        <v>1181</v>
      </c>
      <c r="B643" s="5" t="s">
        <v>1182</v>
      </c>
      <c r="C643" s="6">
        <v>44949</v>
      </c>
      <c r="D643" s="8">
        <v>55</v>
      </c>
      <c r="E643" s="5" t="s">
        <v>36</v>
      </c>
      <c r="F643" s="5" t="s">
        <v>76</v>
      </c>
      <c r="G643" s="5" t="s">
        <v>64</v>
      </c>
      <c r="H643" s="7">
        <v>3242.84</v>
      </c>
      <c r="I643" s="3">
        <v>5</v>
      </c>
      <c r="J643" s="3">
        <f t="shared" ref="J643:J700" si="20">H643*I643</f>
        <v>16214.2</v>
      </c>
      <c r="K643" s="4">
        <v>0</v>
      </c>
      <c r="L643" s="23">
        <f t="shared" ref="L643:L700" si="21">IF(J643=0,0,K643/J643)</f>
        <v>0</v>
      </c>
      <c r="M643" s="7">
        <v>16214.2</v>
      </c>
      <c r="N643" s="5" t="s">
        <v>692</v>
      </c>
      <c r="O643" s="5" t="s">
        <v>24</v>
      </c>
      <c r="P643" s="3">
        <v>2</v>
      </c>
      <c r="Q643" s="3">
        <v>10</v>
      </c>
      <c r="R643" s="5" t="b">
        <v>1</v>
      </c>
      <c r="S643" s="3">
        <v>5</v>
      </c>
      <c r="T643" s="3">
        <v>5</v>
      </c>
    </row>
    <row r="644" spans="1:20">
      <c r="A644" s="5" t="s">
        <v>658</v>
      </c>
      <c r="B644" s="5" t="s">
        <v>659</v>
      </c>
      <c r="C644" s="6">
        <v>45289</v>
      </c>
      <c r="D644" s="8">
        <v>31</v>
      </c>
      <c r="E644" s="5" t="s">
        <v>36</v>
      </c>
      <c r="F644" s="5" t="s">
        <v>21</v>
      </c>
      <c r="G644" s="5" t="s">
        <v>46</v>
      </c>
      <c r="H644" s="7">
        <v>604.55999999999995</v>
      </c>
      <c r="I644" s="3">
        <v>2</v>
      </c>
      <c r="J644" s="3">
        <f t="shared" si="20"/>
        <v>1209.1199999999999</v>
      </c>
      <c r="K644" s="4">
        <v>0</v>
      </c>
      <c r="L644" s="23">
        <f t="shared" si="21"/>
        <v>0</v>
      </c>
      <c r="M644" s="7">
        <v>1209.1199999999999</v>
      </c>
      <c r="N644" s="5" t="s">
        <v>327</v>
      </c>
      <c r="O644" s="5" t="s">
        <v>24</v>
      </c>
      <c r="P644" s="3">
        <v>31</v>
      </c>
      <c r="Q644" s="3">
        <v>5</v>
      </c>
      <c r="R644" s="5" t="b">
        <v>1</v>
      </c>
      <c r="S644" s="3">
        <v>5</v>
      </c>
      <c r="T644" s="3">
        <v>4</v>
      </c>
    </row>
    <row r="645" spans="1:20">
      <c r="A645" s="5" t="s">
        <v>1183</v>
      </c>
      <c r="B645" s="5" t="s">
        <v>1184</v>
      </c>
      <c r="C645" s="6">
        <v>45150</v>
      </c>
      <c r="D645" s="8">
        <v>18</v>
      </c>
      <c r="E645" s="5" t="s">
        <v>20</v>
      </c>
      <c r="F645" s="5" t="s">
        <v>52</v>
      </c>
      <c r="G645" s="5" t="s">
        <v>56</v>
      </c>
      <c r="H645" s="7">
        <v>599.44000000000005</v>
      </c>
      <c r="I645" s="3">
        <v>1</v>
      </c>
      <c r="J645" s="3">
        <f t="shared" si="20"/>
        <v>599.44000000000005</v>
      </c>
      <c r="K645" s="4">
        <v>0</v>
      </c>
      <c r="L645" s="23">
        <f t="shared" si="21"/>
        <v>0</v>
      </c>
      <c r="M645" s="7">
        <v>599.44000000000005</v>
      </c>
      <c r="N645" s="5" t="s">
        <v>692</v>
      </c>
      <c r="O645" s="5" t="s">
        <v>24</v>
      </c>
      <c r="P645" s="3">
        <v>16</v>
      </c>
      <c r="Q645" s="3">
        <v>9</v>
      </c>
      <c r="R645" s="5" t="b">
        <v>1</v>
      </c>
      <c r="S645" s="3">
        <v>5</v>
      </c>
      <c r="T645" s="3">
        <v>5</v>
      </c>
    </row>
    <row r="646" spans="1:20">
      <c r="A646" s="5" t="s">
        <v>1185</v>
      </c>
      <c r="B646" s="5" t="s">
        <v>1186</v>
      </c>
      <c r="C646" s="6">
        <v>44927</v>
      </c>
      <c r="D646" s="8">
        <v>32</v>
      </c>
      <c r="E646" s="5" t="s">
        <v>20</v>
      </c>
      <c r="F646" s="5" t="s">
        <v>32</v>
      </c>
      <c r="G646" s="5" t="s">
        <v>64</v>
      </c>
      <c r="H646" s="7">
        <v>804.06</v>
      </c>
      <c r="I646" s="3">
        <v>1</v>
      </c>
      <c r="J646" s="3">
        <f t="shared" si="20"/>
        <v>804.06</v>
      </c>
      <c r="K646" s="4">
        <v>229.28</v>
      </c>
      <c r="L646" s="23">
        <f t="shared" si="21"/>
        <v>0.28515284928985402</v>
      </c>
      <c r="M646" s="7">
        <v>574.78</v>
      </c>
      <c r="N646" s="5" t="s">
        <v>692</v>
      </c>
      <c r="O646" s="5" t="s">
        <v>33</v>
      </c>
      <c r="P646" s="3">
        <v>8</v>
      </c>
      <c r="Q646" s="3">
        <v>10</v>
      </c>
      <c r="R646" s="5" t="b">
        <v>0</v>
      </c>
      <c r="S646" s="3">
        <v>1</v>
      </c>
      <c r="T646" s="3">
        <v>4</v>
      </c>
    </row>
    <row r="647" spans="1:20">
      <c r="A647" s="5" t="s">
        <v>1292</v>
      </c>
      <c r="B647" s="5" t="s">
        <v>1293</v>
      </c>
      <c r="C647" s="6">
        <v>45193</v>
      </c>
      <c r="D647" s="8">
        <v>31</v>
      </c>
      <c r="E647" s="5" t="s">
        <v>36</v>
      </c>
      <c r="F647" s="5" t="s">
        <v>32</v>
      </c>
      <c r="G647" s="5" t="s">
        <v>46</v>
      </c>
      <c r="H647" s="7">
        <v>405.53</v>
      </c>
      <c r="I647" s="3">
        <v>4</v>
      </c>
      <c r="J647" s="3">
        <f t="shared" si="20"/>
        <v>1622.12</v>
      </c>
      <c r="K647" s="4">
        <v>0</v>
      </c>
      <c r="L647" s="23">
        <f t="shared" si="21"/>
        <v>0</v>
      </c>
      <c r="M647" s="7">
        <v>1622.12</v>
      </c>
      <c r="N647" s="5" t="s">
        <v>1231</v>
      </c>
      <c r="O647" s="5" t="s">
        <v>33</v>
      </c>
      <c r="P647" s="3">
        <v>21</v>
      </c>
      <c r="Q647" s="3">
        <v>9</v>
      </c>
      <c r="R647" s="5" t="b">
        <v>1</v>
      </c>
      <c r="S647" s="3">
        <v>5</v>
      </c>
      <c r="T647" s="3">
        <v>4</v>
      </c>
    </row>
    <row r="648" spans="1:20">
      <c r="A648" s="5" t="s">
        <v>1187</v>
      </c>
      <c r="B648" s="5" t="s">
        <v>1188</v>
      </c>
      <c r="C648" s="6">
        <v>45339</v>
      </c>
      <c r="D648" s="8">
        <v>18</v>
      </c>
      <c r="E648" s="5" t="s">
        <v>36</v>
      </c>
      <c r="F648" s="5" t="s">
        <v>73</v>
      </c>
      <c r="G648" s="5" t="s">
        <v>56</v>
      </c>
      <c r="H648" s="7">
        <v>281.10000000000002</v>
      </c>
      <c r="I648" s="3">
        <v>2</v>
      </c>
      <c r="J648" s="3">
        <f t="shared" si="20"/>
        <v>562.20000000000005</v>
      </c>
      <c r="K648" s="4">
        <v>0</v>
      </c>
      <c r="L648" s="23">
        <f t="shared" si="21"/>
        <v>0</v>
      </c>
      <c r="M648" s="7">
        <v>562.20000000000005</v>
      </c>
      <c r="N648" s="5" t="s">
        <v>692</v>
      </c>
      <c r="O648" s="5" t="s">
        <v>24</v>
      </c>
      <c r="P648" s="3">
        <v>25</v>
      </c>
      <c r="Q648" s="3">
        <v>9</v>
      </c>
      <c r="R648" s="5" t="b">
        <v>1</v>
      </c>
      <c r="S648" s="3">
        <v>8</v>
      </c>
      <c r="T648" s="3">
        <v>4</v>
      </c>
    </row>
    <row r="649" spans="1:20">
      <c r="A649" s="5" t="s">
        <v>1189</v>
      </c>
      <c r="B649" s="5" t="s">
        <v>1190</v>
      </c>
      <c r="C649" s="6">
        <v>45202</v>
      </c>
      <c r="D649" s="8">
        <v>34</v>
      </c>
      <c r="E649" s="5" t="s">
        <v>36</v>
      </c>
      <c r="F649" s="5" t="s">
        <v>32</v>
      </c>
      <c r="G649" s="5" t="s">
        <v>28</v>
      </c>
      <c r="H649" s="7">
        <v>120.24</v>
      </c>
      <c r="I649" s="3">
        <v>2</v>
      </c>
      <c r="J649" s="3">
        <f t="shared" si="20"/>
        <v>240.48</v>
      </c>
      <c r="K649" s="4">
        <v>0</v>
      </c>
      <c r="L649" s="23">
        <f t="shared" si="21"/>
        <v>0</v>
      </c>
      <c r="M649" s="7">
        <v>240.48</v>
      </c>
      <c r="N649" s="5" t="s">
        <v>692</v>
      </c>
      <c r="O649" s="5" t="s">
        <v>33</v>
      </c>
      <c r="P649" s="3">
        <v>14</v>
      </c>
      <c r="Q649" s="3">
        <v>10</v>
      </c>
      <c r="R649" s="5" t="b">
        <v>0</v>
      </c>
      <c r="S649" s="3">
        <v>5</v>
      </c>
      <c r="T649" s="3">
        <v>5</v>
      </c>
    </row>
    <row r="650" spans="1:20">
      <c r="A650" s="5" t="s">
        <v>299</v>
      </c>
      <c r="B650" s="5" t="s">
        <v>300</v>
      </c>
      <c r="C650" s="6">
        <v>45278</v>
      </c>
      <c r="D650" s="8">
        <v>32</v>
      </c>
      <c r="E650" s="5" t="s">
        <v>36</v>
      </c>
      <c r="F650" s="5" t="s">
        <v>52</v>
      </c>
      <c r="G650" s="5" t="s">
        <v>56</v>
      </c>
      <c r="H650" s="7">
        <v>275.41000000000003</v>
      </c>
      <c r="I650" s="3">
        <v>3</v>
      </c>
      <c r="J650" s="3">
        <f t="shared" si="20"/>
        <v>826.23</v>
      </c>
      <c r="K650" s="4">
        <v>0</v>
      </c>
      <c r="L650" s="23">
        <f t="shared" si="21"/>
        <v>0</v>
      </c>
      <c r="M650" s="7">
        <v>826.23</v>
      </c>
      <c r="N650" s="5" t="s">
        <v>23</v>
      </c>
      <c r="O650" s="5" t="s">
        <v>33</v>
      </c>
      <c r="P650" s="3">
        <v>13</v>
      </c>
      <c r="Q650" s="3">
        <v>11</v>
      </c>
      <c r="R650" s="5" t="b">
        <v>1</v>
      </c>
      <c r="S650" s="3">
        <v>5</v>
      </c>
      <c r="T650" s="3">
        <v>5</v>
      </c>
    </row>
    <row r="651" spans="1:20">
      <c r="A651" s="5" t="s">
        <v>301</v>
      </c>
      <c r="B651" s="5" t="s">
        <v>302</v>
      </c>
      <c r="C651" s="6">
        <v>45295</v>
      </c>
      <c r="D651" s="8">
        <v>43</v>
      </c>
      <c r="E651" s="5" t="s">
        <v>20</v>
      </c>
      <c r="F651" s="5" t="s">
        <v>73</v>
      </c>
      <c r="G651" s="5" t="s">
        <v>56</v>
      </c>
      <c r="H651" s="7">
        <v>187.37</v>
      </c>
      <c r="I651" s="3">
        <v>2</v>
      </c>
      <c r="J651" s="3">
        <f t="shared" si="20"/>
        <v>374.74</v>
      </c>
      <c r="K651" s="4">
        <v>0</v>
      </c>
      <c r="L651" s="23">
        <f t="shared" si="21"/>
        <v>0</v>
      </c>
      <c r="M651" s="7">
        <v>374.74</v>
      </c>
      <c r="N651" s="5" t="s">
        <v>23</v>
      </c>
      <c r="O651" s="5" t="s">
        <v>29</v>
      </c>
      <c r="P651" s="3">
        <v>10</v>
      </c>
      <c r="Q651" s="3">
        <v>5</v>
      </c>
      <c r="R651" s="5" t="b">
        <v>1</v>
      </c>
      <c r="S651" s="3">
        <v>3</v>
      </c>
      <c r="T651" s="3">
        <v>4</v>
      </c>
    </row>
    <row r="652" spans="1:20">
      <c r="A652" s="5" t="s">
        <v>1191</v>
      </c>
      <c r="B652" s="5" t="s">
        <v>1192</v>
      </c>
      <c r="C652" s="6">
        <v>45306</v>
      </c>
      <c r="D652" s="8">
        <v>57</v>
      </c>
      <c r="E652" s="5" t="s">
        <v>20</v>
      </c>
      <c r="F652" s="5" t="s">
        <v>52</v>
      </c>
      <c r="G652" s="5" t="s">
        <v>22</v>
      </c>
      <c r="H652" s="7">
        <v>531.79</v>
      </c>
      <c r="I652" s="3">
        <v>1</v>
      </c>
      <c r="J652" s="3">
        <f t="shared" si="20"/>
        <v>531.79</v>
      </c>
      <c r="K652" s="4">
        <v>0</v>
      </c>
      <c r="L652" s="23">
        <f t="shared" si="21"/>
        <v>0</v>
      </c>
      <c r="M652" s="7">
        <v>531.79</v>
      </c>
      <c r="N652" s="5" t="s">
        <v>692</v>
      </c>
      <c r="O652" s="5" t="s">
        <v>29</v>
      </c>
      <c r="P652" s="3">
        <v>19</v>
      </c>
      <c r="Q652" s="3">
        <v>7</v>
      </c>
      <c r="R652" s="5" t="b">
        <v>0</v>
      </c>
      <c r="S652" s="3">
        <v>3</v>
      </c>
      <c r="T652" s="3">
        <v>4</v>
      </c>
    </row>
    <row r="653" spans="1:20">
      <c r="A653" s="5" t="s">
        <v>1193</v>
      </c>
      <c r="B653" s="5" t="s">
        <v>1194</v>
      </c>
      <c r="C653" s="6">
        <v>45304</v>
      </c>
      <c r="D653" s="8">
        <v>48</v>
      </c>
      <c r="E653" s="5" t="s">
        <v>20</v>
      </c>
      <c r="F653" s="5" t="s">
        <v>32</v>
      </c>
      <c r="G653" s="5" t="s">
        <v>22</v>
      </c>
      <c r="H653" s="7">
        <v>211.54</v>
      </c>
      <c r="I653" s="3">
        <v>2</v>
      </c>
      <c r="J653" s="3">
        <f t="shared" si="20"/>
        <v>423.08</v>
      </c>
      <c r="K653" s="4">
        <v>0</v>
      </c>
      <c r="L653" s="23">
        <f t="shared" si="21"/>
        <v>0</v>
      </c>
      <c r="M653" s="7">
        <v>423.08</v>
      </c>
      <c r="N653" s="5" t="s">
        <v>692</v>
      </c>
      <c r="O653" s="5" t="s">
        <v>24</v>
      </c>
      <c r="P653" s="3">
        <v>18</v>
      </c>
      <c r="Q653" s="3">
        <v>11</v>
      </c>
      <c r="R653" s="5" t="b">
        <v>0</v>
      </c>
      <c r="S653" s="3">
        <v>7</v>
      </c>
      <c r="T653" s="3">
        <v>5</v>
      </c>
    </row>
    <row r="654" spans="1:20">
      <c r="A654" s="5" t="s">
        <v>1195</v>
      </c>
      <c r="B654" s="5" t="s">
        <v>1196</v>
      </c>
      <c r="C654" s="6">
        <v>45270</v>
      </c>
      <c r="D654" s="8">
        <v>31</v>
      </c>
      <c r="E654" s="5" t="s">
        <v>20</v>
      </c>
      <c r="F654" s="5" t="s">
        <v>27</v>
      </c>
      <c r="G654" s="5" t="s">
        <v>22</v>
      </c>
      <c r="H654" s="7">
        <v>306.73</v>
      </c>
      <c r="I654" s="3">
        <v>3</v>
      </c>
      <c r="J654" s="3">
        <f t="shared" si="20"/>
        <v>920.19</v>
      </c>
      <c r="K654" s="4">
        <v>0</v>
      </c>
      <c r="L654" s="23">
        <f t="shared" si="21"/>
        <v>0</v>
      </c>
      <c r="M654" s="7">
        <v>920.19</v>
      </c>
      <c r="N654" s="5" t="s">
        <v>692</v>
      </c>
      <c r="O654" s="5" t="s">
        <v>33</v>
      </c>
      <c r="P654" s="3">
        <v>22</v>
      </c>
      <c r="Q654" s="3">
        <v>10</v>
      </c>
      <c r="R654" s="5" t="b">
        <v>0</v>
      </c>
      <c r="S654" s="3">
        <v>4</v>
      </c>
      <c r="T654" s="3">
        <v>1</v>
      </c>
    </row>
    <row r="655" spans="1:20">
      <c r="A655" s="5" t="s">
        <v>1197</v>
      </c>
      <c r="B655" s="5" t="s">
        <v>1198</v>
      </c>
      <c r="C655" s="6">
        <v>45027</v>
      </c>
      <c r="D655" s="8">
        <v>21</v>
      </c>
      <c r="E655" s="5" t="s">
        <v>20</v>
      </c>
      <c r="F655" s="5" t="s">
        <v>76</v>
      </c>
      <c r="G655" s="5" t="s">
        <v>56</v>
      </c>
      <c r="H655" s="7">
        <v>381.06</v>
      </c>
      <c r="I655" s="3">
        <v>2</v>
      </c>
      <c r="J655" s="3">
        <f t="shared" si="20"/>
        <v>762.12</v>
      </c>
      <c r="K655" s="4">
        <v>0</v>
      </c>
      <c r="L655" s="23">
        <f t="shared" si="21"/>
        <v>0</v>
      </c>
      <c r="M655" s="7">
        <v>762.12</v>
      </c>
      <c r="N655" s="5" t="s">
        <v>692</v>
      </c>
      <c r="O655" s="5" t="s">
        <v>29</v>
      </c>
      <c r="P655" s="3">
        <v>20</v>
      </c>
      <c r="Q655" s="3">
        <v>7</v>
      </c>
      <c r="R655" s="5" t="b">
        <v>1</v>
      </c>
      <c r="S655" s="3">
        <v>8</v>
      </c>
      <c r="T655" s="3">
        <v>5</v>
      </c>
    </row>
    <row r="656" spans="1:20">
      <c r="A656" s="5" t="s">
        <v>303</v>
      </c>
      <c r="B656" s="5" t="s">
        <v>304</v>
      </c>
      <c r="C656" s="6">
        <v>45113</v>
      </c>
      <c r="D656" s="8">
        <v>65</v>
      </c>
      <c r="E656" s="5" t="s">
        <v>36</v>
      </c>
      <c r="F656" s="5" t="s">
        <v>32</v>
      </c>
      <c r="G656" s="5" t="s">
        <v>37</v>
      </c>
      <c r="H656" s="7">
        <v>82.4</v>
      </c>
      <c r="I656" s="3">
        <v>5</v>
      </c>
      <c r="J656" s="3">
        <f t="shared" si="20"/>
        <v>412</v>
      </c>
      <c r="K656" s="4">
        <v>0</v>
      </c>
      <c r="L656" s="23">
        <f t="shared" si="21"/>
        <v>0</v>
      </c>
      <c r="M656" s="7">
        <v>412</v>
      </c>
      <c r="N656" s="5" t="s">
        <v>23</v>
      </c>
      <c r="O656" s="5" t="s">
        <v>33</v>
      </c>
      <c r="P656" s="3">
        <v>17</v>
      </c>
      <c r="Q656" s="3">
        <v>8</v>
      </c>
      <c r="R656" s="5" t="b">
        <v>0</v>
      </c>
      <c r="S656" s="3">
        <v>6</v>
      </c>
      <c r="T656" s="3">
        <v>4</v>
      </c>
    </row>
    <row r="657" spans="1:20">
      <c r="A657" s="5" t="s">
        <v>660</v>
      </c>
      <c r="B657" s="5" t="s">
        <v>661</v>
      </c>
      <c r="C657" s="6">
        <v>45147</v>
      </c>
      <c r="D657" s="8">
        <v>35</v>
      </c>
      <c r="E657" s="5" t="s">
        <v>20</v>
      </c>
      <c r="F657" s="5" t="s">
        <v>32</v>
      </c>
      <c r="G657" s="5" t="s">
        <v>115</v>
      </c>
      <c r="H657" s="7">
        <v>28.6</v>
      </c>
      <c r="I657" s="3">
        <v>1</v>
      </c>
      <c r="J657" s="3">
        <f t="shared" si="20"/>
        <v>28.6</v>
      </c>
      <c r="K657" s="4">
        <v>0</v>
      </c>
      <c r="L657" s="23">
        <f t="shared" si="21"/>
        <v>0</v>
      </c>
      <c r="M657" s="7">
        <v>28.6</v>
      </c>
      <c r="N657" s="5" t="s">
        <v>327</v>
      </c>
      <c r="O657" s="5" t="s">
        <v>33</v>
      </c>
      <c r="P657" s="3">
        <v>15</v>
      </c>
      <c r="Q657" s="3">
        <v>8</v>
      </c>
      <c r="R657" s="5" t="b">
        <v>1</v>
      </c>
      <c r="S657" s="3">
        <v>7</v>
      </c>
      <c r="T657" s="3">
        <v>4</v>
      </c>
    </row>
    <row r="658" spans="1:20">
      <c r="A658" s="5" t="s">
        <v>305</v>
      </c>
      <c r="B658" s="5" t="s">
        <v>306</v>
      </c>
      <c r="C658" s="6">
        <v>44962</v>
      </c>
      <c r="D658" s="8">
        <v>35</v>
      </c>
      <c r="E658" s="5" t="s">
        <v>20</v>
      </c>
      <c r="F658" s="5" t="s">
        <v>83</v>
      </c>
      <c r="G658" s="5" t="s">
        <v>56</v>
      </c>
      <c r="H658" s="7">
        <v>1647.31</v>
      </c>
      <c r="I658" s="3">
        <v>3</v>
      </c>
      <c r="J658" s="3">
        <f t="shared" si="20"/>
        <v>4941.93</v>
      </c>
      <c r="K658" s="4">
        <v>201.73</v>
      </c>
      <c r="L658" s="23">
        <f t="shared" si="21"/>
        <v>4.0820084460929225E-2</v>
      </c>
      <c r="M658" s="7">
        <v>4740.2</v>
      </c>
      <c r="N658" s="5" t="s">
        <v>23</v>
      </c>
      <c r="O658" s="5" t="s">
        <v>24</v>
      </c>
      <c r="P658" s="3">
        <v>16</v>
      </c>
      <c r="Q658" s="3">
        <v>11</v>
      </c>
      <c r="R658" s="5" t="b">
        <v>0</v>
      </c>
      <c r="S658" s="3">
        <v>4</v>
      </c>
      <c r="T658" s="3">
        <v>4</v>
      </c>
    </row>
    <row r="659" spans="1:20">
      <c r="A659" s="5" t="s">
        <v>662</v>
      </c>
      <c r="B659" s="5" t="s">
        <v>663</v>
      </c>
      <c r="C659" s="6">
        <v>45267</v>
      </c>
      <c r="D659" s="8">
        <v>34</v>
      </c>
      <c r="E659" s="5" t="s">
        <v>20</v>
      </c>
      <c r="F659" s="5" t="s">
        <v>32</v>
      </c>
      <c r="G659" s="5" t="s">
        <v>115</v>
      </c>
      <c r="H659" s="7">
        <v>107.92</v>
      </c>
      <c r="I659" s="3">
        <v>1</v>
      </c>
      <c r="J659" s="3">
        <f t="shared" si="20"/>
        <v>107.92</v>
      </c>
      <c r="K659" s="4">
        <v>0</v>
      </c>
      <c r="L659" s="23">
        <f t="shared" si="21"/>
        <v>0</v>
      </c>
      <c r="M659" s="7">
        <v>107.92</v>
      </c>
      <c r="N659" s="5" t="s">
        <v>327</v>
      </c>
      <c r="O659" s="5" t="s">
        <v>33</v>
      </c>
      <c r="P659" s="3">
        <v>22</v>
      </c>
      <c r="Q659" s="3">
        <v>10</v>
      </c>
      <c r="R659" s="5" t="b">
        <v>1</v>
      </c>
      <c r="S659" s="3">
        <v>7</v>
      </c>
      <c r="T659" s="3">
        <v>4</v>
      </c>
    </row>
    <row r="660" spans="1:20">
      <c r="A660" s="5" t="s">
        <v>307</v>
      </c>
      <c r="B660" s="5" t="s">
        <v>308</v>
      </c>
      <c r="C660" s="6">
        <v>45096</v>
      </c>
      <c r="D660" s="8">
        <v>37</v>
      </c>
      <c r="E660" s="5" t="s">
        <v>36</v>
      </c>
      <c r="F660" s="5" t="s">
        <v>83</v>
      </c>
      <c r="G660" s="5" t="s">
        <v>115</v>
      </c>
      <c r="H660" s="7">
        <v>39.200000000000003</v>
      </c>
      <c r="I660" s="3">
        <v>4</v>
      </c>
      <c r="J660" s="3">
        <f t="shared" si="20"/>
        <v>156.80000000000001</v>
      </c>
      <c r="K660" s="4">
        <v>8.24</v>
      </c>
      <c r="L660" s="23">
        <f t="shared" si="21"/>
        <v>5.2551020408163264E-2</v>
      </c>
      <c r="M660" s="7">
        <v>148.56</v>
      </c>
      <c r="N660" s="5" t="s">
        <v>23</v>
      </c>
      <c r="O660" s="5" t="s">
        <v>24</v>
      </c>
      <c r="P660" s="3">
        <v>21</v>
      </c>
      <c r="Q660" s="3">
        <v>11</v>
      </c>
      <c r="R660" s="5" t="b">
        <v>0</v>
      </c>
      <c r="S660" s="3">
        <v>2</v>
      </c>
      <c r="T660" s="3">
        <v>5</v>
      </c>
    </row>
    <row r="661" spans="1:20">
      <c r="A661" s="5" t="s">
        <v>664</v>
      </c>
      <c r="B661" s="5" t="s">
        <v>665</v>
      </c>
      <c r="C661" s="6">
        <v>45246</v>
      </c>
      <c r="D661" s="8">
        <v>33</v>
      </c>
      <c r="E661" s="5" t="s">
        <v>36</v>
      </c>
      <c r="F661" s="5" t="s">
        <v>32</v>
      </c>
      <c r="G661" s="5" t="s">
        <v>22</v>
      </c>
      <c r="H661" s="7">
        <v>114</v>
      </c>
      <c r="I661" s="3">
        <v>1</v>
      </c>
      <c r="J661" s="3">
        <f t="shared" si="20"/>
        <v>114</v>
      </c>
      <c r="K661" s="4">
        <v>0</v>
      </c>
      <c r="L661" s="23">
        <f t="shared" si="21"/>
        <v>0</v>
      </c>
      <c r="M661" s="7">
        <v>114</v>
      </c>
      <c r="N661" s="5" t="s">
        <v>327</v>
      </c>
      <c r="O661" s="5" t="s">
        <v>33</v>
      </c>
      <c r="P661" s="3">
        <v>13</v>
      </c>
      <c r="Q661" s="3">
        <v>4</v>
      </c>
      <c r="R661" s="5" t="b">
        <v>1</v>
      </c>
      <c r="S661" s="3">
        <v>9</v>
      </c>
      <c r="T661" s="3">
        <v>5</v>
      </c>
    </row>
    <row r="662" spans="1:20">
      <c r="A662" s="5" t="s">
        <v>1439</v>
      </c>
      <c r="B662" s="5" t="s">
        <v>1440</v>
      </c>
      <c r="C662" s="6">
        <v>45087</v>
      </c>
      <c r="D662" s="8">
        <v>28</v>
      </c>
      <c r="E662" s="5" t="s">
        <v>36</v>
      </c>
      <c r="F662" s="5" t="s">
        <v>88</v>
      </c>
      <c r="G662" s="5" t="s">
        <v>56</v>
      </c>
      <c r="H662" s="7">
        <v>174.49</v>
      </c>
      <c r="I662" s="3">
        <v>4</v>
      </c>
      <c r="J662" s="3">
        <f t="shared" si="20"/>
        <v>697.96</v>
      </c>
      <c r="K662" s="4">
        <v>0</v>
      </c>
      <c r="L662" s="23">
        <f t="shared" si="21"/>
        <v>0</v>
      </c>
      <c r="M662" s="7">
        <v>697.96</v>
      </c>
      <c r="N662" s="5" t="s">
        <v>1298</v>
      </c>
      <c r="O662" s="5" t="s">
        <v>33</v>
      </c>
      <c r="P662" s="3">
        <v>11</v>
      </c>
      <c r="Q662" s="3">
        <v>5</v>
      </c>
      <c r="R662" s="5" t="b">
        <v>1</v>
      </c>
      <c r="S662" s="3">
        <v>6</v>
      </c>
      <c r="T662" s="3">
        <v>4</v>
      </c>
    </row>
    <row r="663" spans="1:20">
      <c r="A663" s="5" t="s">
        <v>666</v>
      </c>
      <c r="B663" s="5" t="s">
        <v>667</v>
      </c>
      <c r="C663" s="6">
        <v>45266</v>
      </c>
      <c r="D663" s="8">
        <v>28</v>
      </c>
      <c r="E663" s="5" t="s">
        <v>36</v>
      </c>
      <c r="F663" s="5" t="s">
        <v>52</v>
      </c>
      <c r="G663" s="5" t="s">
        <v>22</v>
      </c>
      <c r="H663" s="7">
        <v>260.92</v>
      </c>
      <c r="I663" s="3">
        <v>4</v>
      </c>
      <c r="J663" s="3">
        <f t="shared" si="20"/>
        <v>1043.68</v>
      </c>
      <c r="K663" s="4">
        <v>0</v>
      </c>
      <c r="L663" s="23">
        <f t="shared" si="21"/>
        <v>0</v>
      </c>
      <c r="M663" s="7">
        <v>1043.68</v>
      </c>
      <c r="N663" s="5" t="s">
        <v>327</v>
      </c>
      <c r="O663" s="5" t="s">
        <v>33</v>
      </c>
      <c r="P663" s="3">
        <v>33</v>
      </c>
      <c r="Q663" s="3">
        <v>9</v>
      </c>
      <c r="R663" s="5" t="b">
        <v>0</v>
      </c>
      <c r="S663" s="3">
        <v>21</v>
      </c>
      <c r="T663" s="3">
        <v>5</v>
      </c>
    </row>
    <row r="664" spans="1:20">
      <c r="A664" s="5" t="s">
        <v>309</v>
      </c>
      <c r="B664" s="5" t="s">
        <v>310</v>
      </c>
      <c r="C664" s="6">
        <v>45361</v>
      </c>
      <c r="D664" s="8">
        <v>34</v>
      </c>
      <c r="E664" s="5" t="s">
        <v>20</v>
      </c>
      <c r="F664" s="5" t="s">
        <v>76</v>
      </c>
      <c r="G664" s="5" t="s">
        <v>22</v>
      </c>
      <c r="H664" s="7">
        <v>396.31</v>
      </c>
      <c r="I664" s="3">
        <v>1</v>
      </c>
      <c r="J664" s="3">
        <f t="shared" si="20"/>
        <v>396.31</v>
      </c>
      <c r="K664" s="4">
        <v>95.49</v>
      </c>
      <c r="L664" s="23">
        <f t="shared" si="21"/>
        <v>0.24094774292851553</v>
      </c>
      <c r="M664" s="7">
        <v>300.82</v>
      </c>
      <c r="N664" s="5" t="s">
        <v>23</v>
      </c>
      <c r="O664" s="5" t="s">
        <v>33</v>
      </c>
      <c r="P664" s="3">
        <v>5</v>
      </c>
      <c r="Q664" s="3">
        <v>7</v>
      </c>
      <c r="R664" s="5" t="b">
        <v>0</v>
      </c>
      <c r="S664" s="3">
        <v>6</v>
      </c>
      <c r="T664" s="3">
        <v>5</v>
      </c>
    </row>
    <row r="665" spans="1:20">
      <c r="A665" s="5" t="s">
        <v>668</v>
      </c>
      <c r="B665" s="5" t="s">
        <v>669</v>
      </c>
      <c r="C665" s="6">
        <v>44990</v>
      </c>
      <c r="D665" s="8">
        <v>28</v>
      </c>
      <c r="E665" s="5" t="s">
        <v>36</v>
      </c>
      <c r="F665" s="5" t="s">
        <v>52</v>
      </c>
      <c r="G665" s="5" t="s">
        <v>22</v>
      </c>
      <c r="H665" s="7">
        <v>369.47</v>
      </c>
      <c r="I665" s="3">
        <v>1</v>
      </c>
      <c r="J665" s="3">
        <f t="shared" si="20"/>
        <v>369.47</v>
      </c>
      <c r="K665" s="4">
        <v>0</v>
      </c>
      <c r="L665" s="23">
        <f t="shared" si="21"/>
        <v>0</v>
      </c>
      <c r="M665" s="7">
        <v>369.47</v>
      </c>
      <c r="N665" s="5" t="s">
        <v>327</v>
      </c>
      <c r="O665" s="5" t="s">
        <v>33</v>
      </c>
      <c r="P665" s="3">
        <v>9</v>
      </c>
      <c r="Q665" s="3">
        <v>8</v>
      </c>
      <c r="R665" s="5" t="b">
        <v>0</v>
      </c>
      <c r="S665" s="3">
        <v>5</v>
      </c>
      <c r="T665" s="3">
        <v>4</v>
      </c>
    </row>
    <row r="666" spans="1:20">
      <c r="A666" s="5" t="s">
        <v>670</v>
      </c>
      <c r="B666" s="5" t="s">
        <v>671</v>
      </c>
      <c r="C666" s="6">
        <v>45295</v>
      </c>
      <c r="D666" s="8">
        <v>26</v>
      </c>
      <c r="E666" s="5" t="s">
        <v>20</v>
      </c>
      <c r="F666" s="5" t="s">
        <v>49</v>
      </c>
      <c r="G666" s="5" t="s">
        <v>28</v>
      </c>
      <c r="H666" s="7">
        <v>106.38</v>
      </c>
      <c r="I666" s="3">
        <v>2</v>
      </c>
      <c r="J666" s="3">
        <f t="shared" si="20"/>
        <v>212.76</v>
      </c>
      <c r="K666" s="4">
        <v>0</v>
      </c>
      <c r="L666" s="23">
        <f t="shared" si="21"/>
        <v>0</v>
      </c>
      <c r="M666" s="7">
        <v>212.76</v>
      </c>
      <c r="N666" s="5" t="s">
        <v>327</v>
      </c>
      <c r="O666" s="5" t="s">
        <v>33</v>
      </c>
      <c r="P666" s="3">
        <v>15</v>
      </c>
      <c r="Q666" s="3">
        <v>7</v>
      </c>
      <c r="R666" s="5" t="b">
        <v>1</v>
      </c>
      <c r="S666" s="3">
        <v>6</v>
      </c>
      <c r="T666" s="3">
        <v>4</v>
      </c>
    </row>
    <row r="667" spans="1:20">
      <c r="A667" s="5" t="s">
        <v>311</v>
      </c>
      <c r="B667" s="5" t="s">
        <v>312</v>
      </c>
      <c r="C667" s="6">
        <v>45080</v>
      </c>
      <c r="D667" s="8">
        <v>36</v>
      </c>
      <c r="E667" s="5" t="s">
        <v>20</v>
      </c>
      <c r="F667" s="5" t="s">
        <v>32</v>
      </c>
      <c r="G667" s="5" t="s">
        <v>28</v>
      </c>
      <c r="H667" s="7">
        <v>125.12</v>
      </c>
      <c r="I667" s="3">
        <v>3</v>
      </c>
      <c r="J667" s="3">
        <f t="shared" si="20"/>
        <v>375.36</v>
      </c>
      <c r="K667" s="4">
        <v>0</v>
      </c>
      <c r="L667" s="23">
        <f t="shared" si="21"/>
        <v>0</v>
      </c>
      <c r="M667" s="7">
        <v>375.36</v>
      </c>
      <c r="N667" s="5" t="s">
        <v>23</v>
      </c>
      <c r="O667" s="5" t="s">
        <v>33</v>
      </c>
      <c r="P667" s="3">
        <v>27</v>
      </c>
      <c r="Q667" s="3">
        <v>9</v>
      </c>
      <c r="R667" s="5" t="b">
        <v>0</v>
      </c>
      <c r="S667" s="3">
        <v>7</v>
      </c>
      <c r="T667" s="3">
        <v>5</v>
      </c>
    </row>
    <row r="668" spans="1:20">
      <c r="A668" s="5" t="s">
        <v>1199</v>
      </c>
      <c r="B668" s="5" t="s">
        <v>1200</v>
      </c>
      <c r="C668" s="6">
        <v>45186</v>
      </c>
      <c r="D668" s="8">
        <v>31</v>
      </c>
      <c r="E668" s="5" t="s">
        <v>36</v>
      </c>
      <c r="F668" s="5" t="s">
        <v>32</v>
      </c>
      <c r="G668" s="5" t="s">
        <v>37</v>
      </c>
      <c r="H668" s="7">
        <v>48.43</v>
      </c>
      <c r="I668" s="3">
        <v>2</v>
      </c>
      <c r="J668" s="3">
        <f t="shared" si="20"/>
        <v>96.86</v>
      </c>
      <c r="K668" s="4">
        <v>9.27</v>
      </c>
      <c r="L668" s="23">
        <f t="shared" si="21"/>
        <v>9.5705141441255415E-2</v>
      </c>
      <c r="M668" s="7">
        <v>87.59</v>
      </c>
      <c r="N668" s="5" t="s">
        <v>692</v>
      </c>
      <c r="O668" s="5" t="s">
        <v>29</v>
      </c>
      <c r="P668" s="3">
        <v>24</v>
      </c>
      <c r="Q668" s="3">
        <v>9</v>
      </c>
      <c r="R668" s="5" t="b">
        <v>0</v>
      </c>
      <c r="S668" s="3">
        <v>4</v>
      </c>
      <c r="T668" s="3">
        <v>1</v>
      </c>
    </row>
    <row r="669" spans="1:20">
      <c r="A669" s="5" t="s">
        <v>672</v>
      </c>
      <c r="B669" s="5" t="s">
        <v>673</v>
      </c>
      <c r="C669" s="6">
        <v>45085</v>
      </c>
      <c r="D669" s="8">
        <v>53</v>
      </c>
      <c r="E669" s="5" t="s">
        <v>36</v>
      </c>
      <c r="F669" s="5" t="s">
        <v>27</v>
      </c>
      <c r="G669" s="5" t="s">
        <v>46</v>
      </c>
      <c r="H669" s="7">
        <v>226.36</v>
      </c>
      <c r="I669" s="3">
        <v>1</v>
      </c>
      <c r="J669" s="3">
        <f t="shared" si="20"/>
        <v>226.36</v>
      </c>
      <c r="K669" s="4">
        <v>0</v>
      </c>
      <c r="L669" s="23">
        <f t="shared" si="21"/>
        <v>0</v>
      </c>
      <c r="M669" s="7">
        <v>226.36</v>
      </c>
      <c r="N669" s="5" t="s">
        <v>327</v>
      </c>
      <c r="O669" s="5" t="s">
        <v>33</v>
      </c>
      <c r="P669" s="3">
        <v>14</v>
      </c>
      <c r="Q669" s="3">
        <v>11</v>
      </c>
      <c r="R669" s="5" t="b">
        <v>0</v>
      </c>
      <c r="S669" s="3">
        <v>7</v>
      </c>
      <c r="T669" s="3">
        <v>4</v>
      </c>
    </row>
    <row r="670" spans="1:20">
      <c r="A670" s="5" t="s">
        <v>313</v>
      </c>
      <c r="B670" s="5" t="s">
        <v>314</v>
      </c>
      <c r="C670" s="6">
        <v>45268</v>
      </c>
      <c r="D670" s="8">
        <v>18</v>
      </c>
      <c r="E670" s="5" t="s">
        <v>20</v>
      </c>
      <c r="F670" s="5" t="s">
        <v>73</v>
      </c>
      <c r="G670" s="5" t="s">
        <v>115</v>
      </c>
      <c r="H670" s="7">
        <v>132.66999999999999</v>
      </c>
      <c r="I670" s="3">
        <v>2</v>
      </c>
      <c r="J670" s="3">
        <f t="shared" si="20"/>
        <v>265.33999999999997</v>
      </c>
      <c r="K670" s="4">
        <v>0</v>
      </c>
      <c r="L670" s="23">
        <f t="shared" si="21"/>
        <v>0</v>
      </c>
      <c r="M670" s="7">
        <v>265.33999999999997</v>
      </c>
      <c r="N670" s="5" t="s">
        <v>23</v>
      </c>
      <c r="O670" s="5" t="s">
        <v>33</v>
      </c>
      <c r="P670" s="3">
        <v>5</v>
      </c>
      <c r="Q670" s="3">
        <v>7</v>
      </c>
      <c r="R670" s="5" t="b">
        <v>1</v>
      </c>
      <c r="S670" s="3">
        <v>6</v>
      </c>
      <c r="T670" s="3">
        <v>5</v>
      </c>
    </row>
    <row r="671" spans="1:20">
      <c r="A671" s="5" t="s">
        <v>315</v>
      </c>
      <c r="B671" s="5" t="s">
        <v>316</v>
      </c>
      <c r="C671" s="6">
        <v>45136</v>
      </c>
      <c r="D671" s="8">
        <v>48</v>
      </c>
      <c r="E671" s="5" t="s">
        <v>20</v>
      </c>
      <c r="F671" s="5" t="s">
        <v>76</v>
      </c>
      <c r="G671" s="5" t="s">
        <v>56</v>
      </c>
      <c r="H671" s="7">
        <v>126.72</v>
      </c>
      <c r="I671" s="3">
        <v>1</v>
      </c>
      <c r="J671" s="3">
        <f t="shared" si="20"/>
        <v>126.72</v>
      </c>
      <c r="K671" s="4">
        <v>0</v>
      </c>
      <c r="L671" s="23">
        <f t="shared" si="21"/>
        <v>0</v>
      </c>
      <c r="M671" s="7">
        <v>126.72</v>
      </c>
      <c r="N671" s="5" t="s">
        <v>23</v>
      </c>
      <c r="O671" s="5" t="s">
        <v>33</v>
      </c>
      <c r="P671" s="3">
        <v>10</v>
      </c>
      <c r="Q671" s="3">
        <v>10</v>
      </c>
      <c r="R671" s="5" t="b">
        <v>1</v>
      </c>
      <c r="S671" s="3">
        <v>10</v>
      </c>
      <c r="T671" s="3">
        <v>5</v>
      </c>
    </row>
    <row r="672" spans="1:20">
      <c r="A672" s="5" t="s">
        <v>674</v>
      </c>
      <c r="B672" s="5" t="s">
        <v>675</v>
      </c>
      <c r="C672" s="6">
        <v>45094</v>
      </c>
      <c r="D672" s="8">
        <v>49</v>
      </c>
      <c r="E672" s="5" t="s">
        <v>36</v>
      </c>
      <c r="F672" s="5" t="s">
        <v>21</v>
      </c>
      <c r="G672" s="5" t="s">
        <v>64</v>
      </c>
      <c r="H672" s="7">
        <v>258.63</v>
      </c>
      <c r="I672" s="3">
        <v>5</v>
      </c>
      <c r="J672" s="3">
        <f t="shared" si="20"/>
        <v>1293.1500000000001</v>
      </c>
      <c r="K672" s="4">
        <v>0</v>
      </c>
      <c r="L672" s="23">
        <f t="shared" si="21"/>
        <v>0</v>
      </c>
      <c r="M672" s="7">
        <v>1293.1500000000001</v>
      </c>
      <c r="N672" s="5" t="s">
        <v>327</v>
      </c>
      <c r="O672" s="5" t="s">
        <v>33</v>
      </c>
      <c r="P672" s="3">
        <v>16</v>
      </c>
      <c r="Q672" s="3">
        <v>7</v>
      </c>
      <c r="R672" s="5" t="b">
        <v>1</v>
      </c>
      <c r="S672" s="3">
        <v>5</v>
      </c>
      <c r="T672" s="3">
        <v>4</v>
      </c>
    </row>
    <row r="673" spans="1:20">
      <c r="A673" s="5" t="s">
        <v>676</v>
      </c>
      <c r="B673" s="5" t="s">
        <v>677</v>
      </c>
      <c r="C673" s="6">
        <v>45133</v>
      </c>
      <c r="D673" s="8">
        <v>18</v>
      </c>
      <c r="E673" s="5" t="s">
        <v>20</v>
      </c>
      <c r="F673" s="5" t="s">
        <v>88</v>
      </c>
      <c r="G673" s="5" t="s">
        <v>22</v>
      </c>
      <c r="H673" s="7">
        <v>142.38999999999999</v>
      </c>
      <c r="I673" s="3">
        <v>1</v>
      </c>
      <c r="J673" s="3">
        <f t="shared" si="20"/>
        <v>142.38999999999999</v>
      </c>
      <c r="K673" s="4">
        <v>0</v>
      </c>
      <c r="L673" s="23">
        <f t="shared" si="21"/>
        <v>0</v>
      </c>
      <c r="M673" s="7">
        <v>142.38999999999999</v>
      </c>
      <c r="N673" s="5" t="s">
        <v>327</v>
      </c>
      <c r="O673" s="5" t="s">
        <v>33</v>
      </c>
      <c r="P673" s="3">
        <v>19</v>
      </c>
      <c r="Q673" s="3">
        <v>10</v>
      </c>
      <c r="R673" s="5" t="b">
        <v>0</v>
      </c>
      <c r="S673" s="3">
        <v>7</v>
      </c>
      <c r="T673" s="3">
        <v>3</v>
      </c>
    </row>
    <row r="674" spans="1:20">
      <c r="A674" s="5" t="s">
        <v>1201</v>
      </c>
      <c r="B674" s="5" t="s">
        <v>1202</v>
      </c>
      <c r="C674" s="6">
        <v>45283</v>
      </c>
      <c r="D674" s="8">
        <v>30</v>
      </c>
      <c r="E674" s="5" t="s">
        <v>20</v>
      </c>
      <c r="F674" s="5" t="s">
        <v>21</v>
      </c>
      <c r="G674" s="5" t="s">
        <v>37</v>
      </c>
      <c r="H674" s="7">
        <v>247.09</v>
      </c>
      <c r="I674" s="3">
        <v>5</v>
      </c>
      <c r="J674" s="3">
        <f t="shared" si="20"/>
        <v>1235.45</v>
      </c>
      <c r="K674" s="4">
        <v>0</v>
      </c>
      <c r="L674" s="23">
        <f t="shared" si="21"/>
        <v>0</v>
      </c>
      <c r="M674" s="7">
        <v>1235.45</v>
      </c>
      <c r="N674" s="5" t="s">
        <v>692</v>
      </c>
      <c r="O674" s="5" t="s">
        <v>33</v>
      </c>
      <c r="P674" s="3">
        <v>26</v>
      </c>
      <c r="Q674" s="3">
        <v>9</v>
      </c>
      <c r="R674" s="5" t="b">
        <v>1</v>
      </c>
      <c r="S674" s="3">
        <v>8</v>
      </c>
      <c r="T674" s="3">
        <v>3</v>
      </c>
    </row>
    <row r="675" spans="1:20">
      <c r="A675" s="5" t="s">
        <v>1441</v>
      </c>
      <c r="B675" s="5" t="s">
        <v>1442</v>
      </c>
      <c r="C675" s="6">
        <v>45078</v>
      </c>
      <c r="D675" s="8">
        <v>30</v>
      </c>
      <c r="E675" s="5" t="s">
        <v>20</v>
      </c>
      <c r="F675" s="5" t="s">
        <v>83</v>
      </c>
      <c r="G675" s="5" t="s">
        <v>64</v>
      </c>
      <c r="H675" s="7">
        <v>1458.12</v>
      </c>
      <c r="I675" s="3">
        <v>2</v>
      </c>
      <c r="J675" s="3">
        <f t="shared" si="20"/>
        <v>2916.24</v>
      </c>
      <c r="K675" s="4">
        <v>0</v>
      </c>
      <c r="L675" s="23">
        <f t="shared" si="21"/>
        <v>0</v>
      </c>
      <c r="M675" s="7">
        <v>2916.24</v>
      </c>
      <c r="N675" s="5" t="s">
        <v>1298</v>
      </c>
      <c r="O675" s="5" t="s">
        <v>33</v>
      </c>
      <c r="P675" s="3">
        <v>13</v>
      </c>
      <c r="Q675" s="3">
        <v>8</v>
      </c>
      <c r="R675" s="5" t="b">
        <v>1</v>
      </c>
      <c r="S675" s="3">
        <v>10</v>
      </c>
      <c r="T675" s="3">
        <v>4</v>
      </c>
    </row>
    <row r="676" spans="1:20">
      <c r="A676" s="5" t="s">
        <v>1203</v>
      </c>
      <c r="B676" s="5" t="s">
        <v>1204</v>
      </c>
      <c r="C676" s="6">
        <v>45210</v>
      </c>
      <c r="D676" s="8">
        <v>18</v>
      </c>
      <c r="E676" s="5" t="s">
        <v>20</v>
      </c>
      <c r="F676" s="5" t="s">
        <v>76</v>
      </c>
      <c r="G676" s="5" t="s">
        <v>28</v>
      </c>
      <c r="H676" s="7">
        <v>609.87</v>
      </c>
      <c r="I676" s="3">
        <v>4</v>
      </c>
      <c r="J676" s="3">
        <f t="shared" si="20"/>
        <v>2439.48</v>
      </c>
      <c r="K676" s="4">
        <v>0</v>
      </c>
      <c r="L676" s="23">
        <f t="shared" si="21"/>
        <v>0</v>
      </c>
      <c r="M676" s="7">
        <v>2439.48</v>
      </c>
      <c r="N676" s="5" t="s">
        <v>692</v>
      </c>
      <c r="O676" s="5" t="s">
        <v>24</v>
      </c>
      <c r="P676" s="3">
        <v>6</v>
      </c>
      <c r="Q676" s="3">
        <v>10</v>
      </c>
      <c r="R676" s="5" t="b">
        <v>1</v>
      </c>
      <c r="S676" s="3">
        <v>4</v>
      </c>
      <c r="T676" s="3">
        <v>3</v>
      </c>
    </row>
    <row r="677" spans="1:20">
      <c r="A677" s="5" t="s">
        <v>317</v>
      </c>
      <c r="B677" s="5" t="s">
        <v>318</v>
      </c>
      <c r="C677" s="6">
        <v>44992</v>
      </c>
      <c r="D677" s="8">
        <v>25</v>
      </c>
      <c r="E677" s="5" t="s">
        <v>36</v>
      </c>
      <c r="F677" s="5" t="s">
        <v>52</v>
      </c>
      <c r="G677" s="5" t="s">
        <v>46</v>
      </c>
      <c r="H677" s="7">
        <v>340.59</v>
      </c>
      <c r="I677" s="3">
        <v>5</v>
      </c>
      <c r="J677" s="3">
        <f t="shared" si="20"/>
        <v>1702.9499999999998</v>
      </c>
      <c r="K677" s="4">
        <v>0</v>
      </c>
      <c r="L677" s="23">
        <f t="shared" si="21"/>
        <v>0</v>
      </c>
      <c r="M677" s="7">
        <v>1702.95</v>
      </c>
      <c r="N677" s="5" t="s">
        <v>23</v>
      </c>
      <c r="O677" s="5" t="s">
        <v>33</v>
      </c>
      <c r="P677" s="3">
        <v>5</v>
      </c>
      <c r="Q677" s="3">
        <v>8</v>
      </c>
      <c r="R677" s="5" t="b">
        <v>1</v>
      </c>
      <c r="S677" s="3">
        <v>7</v>
      </c>
      <c r="T677" s="3">
        <v>3</v>
      </c>
    </row>
    <row r="678" spans="1:20">
      <c r="A678" s="5" t="s">
        <v>1205</v>
      </c>
      <c r="B678" s="5" t="s">
        <v>1206</v>
      </c>
      <c r="C678" s="6">
        <v>45025</v>
      </c>
      <c r="D678" s="8">
        <v>21</v>
      </c>
      <c r="E678" s="5" t="s">
        <v>20</v>
      </c>
      <c r="F678" s="5" t="s">
        <v>88</v>
      </c>
      <c r="G678" s="5" t="s">
        <v>56</v>
      </c>
      <c r="H678" s="7">
        <v>934.88</v>
      </c>
      <c r="I678" s="3">
        <v>5</v>
      </c>
      <c r="J678" s="3">
        <f t="shared" si="20"/>
        <v>4674.3999999999996</v>
      </c>
      <c r="K678" s="4">
        <v>0</v>
      </c>
      <c r="L678" s="23">
        <f t="shared" si="21"/>
        <v>0</v>
      </c>
      <c r="M678" s="7">
        <v>4674.3999999999996</v>
      </c>
      <c r="N678" s="5" t="s">
        <v>692</v>
      </c>
      <c r="O678" s="5" t="s">
        <v>24</v>
      </c>
      <c r="P678" s="3">
        <v>12</v>
      </c>
      <c r="Q678" s="3">
        <v>6</v>
      </c>
      <c r="R678" s="5" t="b">
        <v>1</v>
      </c>
      <c r="S678" s="3">
        <v>5</v>
      </c>
      <c r="T678" s="3">
        <v>4</v>
      </c>
    </row>
    <row r="679" spans="1:20">
      <c r="A679" s="5" t="s">
        <v>1207</v>
      </c>
      <c r="B679" s="5" t="s">
        <v>1208</v>
      </c>
      <c r="C679" s="6">
        <v>45142</v>
      </c>
      <c r="D679" s="8">
        <v>56</v>
      </c>
      <c r="E679" s="5" t="s">
        <v>20</v>
      </c>
      <c r="F679" s="5" t="s">
        <v>59</v>
      </c>
      <c r="G679" s="5" t="s">
        <v>115</v>
      </c>
      <c r="H679" s="7">
        <v>120.98</v>
      </c>
      <c r="I679" s="3">
        <v>3</v>
      </c>
      <c r="J679" s="3">
        <f t="shared" si="20"/>
        <v>362.94</v>
      </c>
      <c r="K679" s="4">
        <v>0</v>
      </c>
      <c r="L679" s="23">
        <f t="shared" si="21"/>
        <v>0</v>
      </c>
      <c r="M679" s="7">
        <v>362.94</v>
      </c>
      <c r="N679" s="5" t="s">
        <v>692</v>
      </c>
      <c r="O679" s="5" t="s">
        <v>24</v>
      </c>
      <c r="P679" s="3">
        <v>21</v>
      </c>
      <c r="Q679" s="3">
        <v>11</v>
      </c>
      <c r="R679" s="5" t="b">
        <v>0</v>
      </c>
      <c r="S679" s="3">
        <v>2</v>
      </c>
      <c r="T679" s="3">
        <v>4</v>
      </c>
    </row>
    <row r="680" spans="1:20">
      <c r="A680" s="5" t="s">
        <v>1209</v>
      </c>
      <c r="B680" s="5" t="s">
        <v>1210</v>
      </c>
      <c r="C680" s="6">
        <v>45267</v>
      </c>
      <c r="D680" s="8">
        <v>46</v>
      </c>
      <c r="E680" s="5" t="s">
        <v>36</v>
      </c>
      <c r="F680" s="5" t="s">
        <v>32</v>
      </c>
      <c r="G680" s="5" t="s">
        <v>115</v>
      </c>
      <c r="H680" s="7">
        <v>216.03</v>
      </c>
      <c r="I680" s="3">
        <v>1</v>
      </c>
      <c r="J680" s="3">
        <f t="shared" si="20"/>
        <v>216.03</v>
      </c>
      <c r="K680" s="4">
        <v>0</v>
      </c>
      <c r="L680" s="23">
        <f t="shared" si="21"/>
        <v>0</v>
      </c>
      <c r="M680" s="7">
        <v>216.03</v>
      </c>
      <c r="N680" s="5" t="s">
        <v>692</v>
      </c>
      <c r="O680" s="5" t="s">
        <v>29</v>
      </c>
      <c r="P680" s="3">
        <v>13</v>
      </c>
      <c r="Q680" s="3">
        <v>8</v>
      </c>
      <c r="R680" s="5" t="b">
        <v>0</v>
      </c>
      <c r="S680" s="3">
        <v>6</v>
      </c>
      <c r="T680" s="3">
        <v>3</v>
      </c>
    </row>
    <row r="681" spans="1:20">
      <c r="A681" s="5" t="s">
        <v>319</v>
      </c>
      <c r="B681" s="5" t="s">
        <v>320</v>
      </c>
      <c r="C681" s="6">
        <v>45121</v>
      </c>
      <c r="D681" s="8">
        <v>50</v>
      </c>
      <c r="E681" s="5" t="s">
        <v>36</v>
      </c>
      <c r="F681" s="5" t="s">
        <v>49</v>
      </c>
      <c r="G681" s="5" t="s">
        <v>28</v>
      </c>
      <c r="H681" s="7">
        <v>92.87</v>
      </c>
      <c r="I681" s="3">
        <v>4</v>
      </c>
      <c r="J681" s="3">
        <f t="shared" si="20"/>
        <v>371.48</v>
      </c>
      <c r="K681" s="4">
        <v>0</v>
      </c>
      <c r="L681" s="23">
        <f t="shared" si="21"/>
        <v>0</v>
      </c>
      <c r="M681" s="7">
        <v>371.48</v>
      </c>
      <c r="N681" s="5" t="s">
        <v>23</v>
      </c>
      <c r="O681" s="5" t="s">
        <v>33</v>
      </c>
      <c r="P681" s="3">
        <v>4</v>
      </c>
      <c r="Q681" s="3">
        <v>11</v>
      </c>
      <c r="R681" s="5" t="b">
        <v>1</v>
      </c>
      <c r="S681" s="3">
        <v>2</v>
      </c>
      <c r="T681" s="3">
        <v>1</v>
      </c>
    </row>
    <row r="682" spans="1:20">
      <c r="A682" s="5" t="s">
        <v>1211</v>
      </c>
      <c r="B682" s="5" t="s">
        <v>1212</v>
      </c>
      <c r="C682" s="6">
        <v>45273</v>
      </c>
      <c r="D682" s="8">
        <v>43</v>
      </c>
      <c r="E682" s="5" t="s">
        <v>20</v>
      </c>
      <c r="F682" s="5" t="s">
        <v>32</v>
      </c>
      <c r="G682" s="5" t="s">
        <v>37</v>
      </c>
      <c r="H682" s="7">
        <v>95.35</v>
      </c>
      <c r="I682" s="3">
        <v>3</v>
      </c>
      <c r="J682" s="3">
        <f t="shared" si="20"/>
        <v>286.04999999999995</v>
      </c>
      <c r="K682" s="4">
        <v>0</v>
      </c>
      <c r="L682" s="23">
        <f t="shared" si="21"/>
        <v>0</v>
      </c>
      <c r="M682" s="7">
        <v>286.05</v>
      </c>
      <c r="N682" s="5" t="s">
        <v>692</v>
      </c>
      <c r="O682" s="5" t="s">
        <v>29</v>
      </c>
      <c r="P682" s="3">
        <v>11</v>
      </c>
      <c r="Q682" s="3">
        <v>9</v>
      </c>
      <c r="R682" s="5" t="b">
        <v>0</v>
      </c>
      <c r="S682" s="3">
        <v>10</v>
      </c>
      <c r="T682" s="3">
        <v>1</v>
      </c>
    </row>
    <row r="683" spans="1:20">
      <c r="A683" s="5" t="s">
        <v>1213</v>
      </c>
      <c r="B683" s="5" t="s">
        <v>1214</v>
      </c>
      <c r="C683" s="6">
        <v>45310</v>
      </c>
      <c r="D683" s="8">
        <v>21</v>
      </c>
      <c r="E683" s="5" t="s">
        <v>20</v>
      </c>
      <c r="F683" s="5" t="s">
        <v>59</v>
      </c>
      <c r="G683" s="5" t="s">
        <v>22</v>
      </c>
      <c r="H683" s="7">
        <v>208.35</v>
      </c>
      <c r="I683" s="3">
        <v>1</v>
      </c>
      <c r="J683" s="3">
        <f t="shared" si="20"/>
        <v>208.35</v>
      </c>
      <c r="K683" s="4">
        <v>0</v>
      </c>
      <c r="L683" s="23">
        <f t="shared" si="21"/>
        <v>0</v>
      </c>
      <c r="M683" s="7">
        <v>208.35</v>
      </c>
      <c r="N683" s="5" t="s">
        <v>692</v>
      </c>
      <c r="O683" s="5" t="s">
        <v>24</v>
      </c>
      <c r="P683" s="3">
        <v>25</v>
      </c>
      <c r="Q683" s="3">
        <v>4</v>
      </c>
      <c r="R683" s="5" t="b">
        <v>0</v>
      </c>
      <c r="S683" s="3">
        <v>3</v>
      </c>
      <c r="T683" s="3">
        <v>3</v>
      </c>
    </row>
    <row r="684" spans="1:20">
      <c r="A684" s="5" t="s">
        <v>1215</v>
      </c>
      <c r="B684" s="5" t="s">
        <v>1216</v>
      </c>
      <c r="C684" s="6">
        <v>45016</v>
      </c>
      <c r="D684" s="8">
        <v>28</v>
      </c>
      <c r="E684" s="5" t="s">
        <v>20</v>
      </c>
      <c r="F684" s="5" t="s">
        <v>32</v>
      </c>
      <c r="G684" s="5" t="s">
        <v>22</v>
      </c>
      <c r="H684" s="7">
        <v>399.82</v>
      </c>
      <c r="I684" s="3">
        <v>2</v>
      </c>
      <c r="J684" s="3">
        <f t="shared" si="20"/>
        <v>799.64</v>
      </c>
      <c r="K684" s="4">
        <v>70.66</v>
      </c>
      <c r="L684" s="23">
        <f t="shared" si="21"/>
        <v>8.8364764143864738E-2</v>
      </c>
      <c r="M684" s="7">
        <v>728.98</v>
      </c>
      <c r="N684" s="5" t="s">
        <v>692</v>
      </c>
      <c r="O684" s="5" t="s">
        <v>33</v>
      </c>
      <c r="P684" s="3">
        <v>3</v>
      </c>
      <c r="Q684" s="3">
        <v>12</v>
      </c>
      <c r="R684" s="5" t="b">
        <v>1</v>
      </c>
      <c r="S684" s="3">
        <v>4</v>
      </c>
      <c r="T684" s="3">
        <v>3</v>
      </c>
    </row>
    <row r="685" spans="1:20">
      <c r="A685" s="5" t="s">
        <v>1217</v>
      </c>
      <c r="B685" s="5" t="s">
        <v>1218</v>
      </c>
      <c r="C685" s="6">
        <v>45242</v>
      </c>
      <c r="D685" s="8">
        <v>40</v>
      </c>
      <c r="E685" s="5" t="s">
        <v>36</v>
      </c>
      <c r="F685" s="5" t="s">
        <v>32</v>
      </c>
      <c r="G685" s="5" t="s">
        <v>115</v>
      </c>
      <c r="H685" s="7">
        <v>152.36000000000001</v>
      </c>
      <c r="I685" s="3">
        <v>1</v>
      </c>
      <c r="J685" s="3">
        <f t="shared" si="20"/>
        <v>152.36000000000001</v>
      </c>
      <c r="K685" s="4">
        <v>0</v>
      </c>
      <c r="L685" s="23">
        <f t="shared" si="21"/>
        <v>0</v>
      </c>
      <c r="M685" s="7">
        <v>152.36000000000001</v>
      </c>
      <c r="N685" s="5" t="s">
        <v>692</v>
      </c>
      <c r="O685" s="5" t="s">
        <v>33</v>
      </c>
      <c r="P685" s="3">
        <v>11</v>
      </c>
      <c r="Q685" s="3">
        <v>8</v>
      </c>
      <c r="R685" s="5" t="b">
        <v>1</v>
      </c>
      <c r="S685" s="3">
        <v>9</v>
      </c>
      <c r="T685" s="3">
        <v>4</v>
      </c>
    </row>
    <row r="686" spans="1:20">
      <c r="A686" s="5" t="s">
        <v>1219</v>
      </c>
      <c r="B686" s="5" t="s">
        <v>1220</v>
      </c>
      <c r="C686" s="6">
        <v>45218</v>
      </c>
      <c r="D686" s="8">
        <v>20</v>
      </c>
      <c r="E686" s="5" t="s">
        <v>36</v>
      </c>
      <c r="F686" s="5" t="s">
        <v>21</v>
      </c>
      <c r="G686" s="5" t="s">
        <v>22</v>
      </c>
      <c r="H686" s="7">
        <v>608.26</v>
      </c>
      <c r="I686" s="3">
        <v>1</v>
      </c>
      <c r="J686" s="3">
        <f t="shared" si="20"/>
        <v>608.26</v>
      </c>
      <c r="K686" s="4">
        <v>83.46</v>
      </c>
      <c r="L686" s="23">
        <f t="shared" si="21"/>
        <v>0.13721106105941538</v>
      </c>
      <c r="M686" s="7">
        <v>524.79999999999995</v>
      </c>
      <c r="N686" s="5" t="s">
        <v>692</v>
      </c>
      <c r="O686" s="5" t="s">
        <v>24</v>
      </c>
      <c r="P686" s="3">
        <v>24</v>
      </c>
      <c r="Q686" s="3">
        <v>4</v>
      </c>
      <c r="R686" s="5" t="b">
        <v>1</v>
      </c>
      <c r="S686" s="3">
        <v>6</v>
      </c>
      <c r="T686" s="3">
        <v>4</v>
      </c>
    </row>
    <row r="687" spans="1:20">
      <c r="A687" s="5" t="s">
        <v>1221</v>
      </c>
      <c r="B687" s="5" t="s">
        <v>1222</v>
      </c>
      <c r="C687" s="6">
        <v>45081</v>
      </c>
      <c r="D687" s="8">
        <v>43</v>
      </c>
      <c r="E687" s="5" t="s">
        <v>36</v>
      </c>
      <c r="F687" s="5" t="s">
        <v>73</v>
      </c>
      <c r="G687" s="5" t="s">
        <v>115</v>
      </c>
      <c r="H687" s="7">
        <v>37.340000000000003</v>
      </c>
      <c r="I687" s="3">
        <v>4</v>
      </c>
      <c r="J687" s="3">
        <f t="shared" si="20"/>
        <v>149.36000000000001</v>
      </c>
      <c r="K687" s="4">
        <v>3.78</v>
      </c>
      <c r="L687" s="23">
        <f t="shared" si="21"/>
        <v>2.5307980717728974E-2</v>
      </c>
      <c r="M687" s="7">
        <v>145.58000000000001</v>
      </c>
      <c r="N687" s="5" t="s">
        <v>692</v>
      </c>
      <c r="O687" s="5" t="s">
        <v>24</v>
      </c>
      <c r="P687" s="3">
        <v>8</v>
      </c>
      <c r="Q687" s="3">
        <v>7</v>
      </c>
      <c r="R687" s="5" t="b">
        <v>1</v>
      </c>
      <c r="S687" s="3">
        <v>11</v>
      </c>
      <c r="T687" s="3">
        <v>4</v>
      </c>
    </row>
    <row r="688" spans="1:20">
      <c r="A688" s="5" t="s">
        <v>321</v>
      </c>
      <c r="B688" s="5" t="s">
        <v>322</v>
      </c>
      <c r="C688" s="6">
        <v>45134</v>
      </c>
      <c r="D688" s="8">
        <v>32</v>
      </c>
      <c r="E688" s="5" t="s">
        <v>36</v>
      </c>
      <c r="F688" s="5" t="s">
        <v>88</v>
      </c>
      <c r="G688" s="5" t="s">
        <v>37</v>
      </c>
      <c r="H688" s="7">
        <v>54.07</v>
      </c>
      <c r="I688" s="3">
        <v>1</v>
      </c>
      <c r="J688" s="3">
        <f t="shared" si="20"/>
        <v>54.07</v>
      </c>
      <c r="K688" s="4">
        <v>0</v>
      </c>
      <c r="L688" s="23">
        <f t="shared" si="21"/>
        <v>0</v>
      </c>
      <c r="M688" s="7">
        <v>54.07</v>
      </c>
      <c r="N688" s="5" t="s">
        <v>23</v>
      </c>
      <c r="O688" s="5" t="s">
        <v>33</v>
      </c>
      <c r="P688" s="3">
        <v>14</v>
      </c>
      <c r="Q688" s="3">
        <v>12</v>
      </c>
      <c r="R688" s="5" t="b">
        <v>0</v>
      </c>
      <c r="S688" s="3">
        <v>8</v>
      </c>
      <c r="T688" s="3">
        <v>5</v>
      </c>
    </row>
    <row r="689" spans="1:20">
      <c r="A689" s="5" t="s">
        <v>678</v>
      </c>
      <c r="B689" s="5" t="s">
        <v>679</v>
      </c>
      <c r="C689" s="6">
        <v>45207</v>
      </c>
      <c r="D689" s="8">
        <v>30</v>
      </c>
      <c r="E689" s="5" t="s">
        <v>36</v>
      </c>
      <c r="F689" s="5" t="s">
        <v>83</v>
      </c>
      <c r="G689" s="5" t="s">
        <v>28</v>
      </c>
      <c r="H689" s="7">
        <v>230.67</v>
      </c>
      <c r="I689" s="3">
        <v>1</v>
      </c>
      <c r="J689" s="3">
        <f t="shared" si="20"/>
        <v>230.67</v>
      </c>
      <c r="K689" s="4">
        <v>0</v>
      </c>
      <c r="L689" s="23">
        <f t="shared" si="21"/>
        <v>0</v>
      </c>
      <c r="M689" s="7">
        <v>230.67</v>
      </c>
      <c r="N689" s="5" t="s">
        <v>327</v>
      </c>
      <c r="O689" s="5" t="s">
        <v>29</v>
      </c>
      <c r="P689" s="3">
        <v>20</v>
      </c>
      <c r="Q689" s="3">
        <v>7</v>
      </c>
      <c r="R689" s="5" t="b">
        <v>0</v>
      </c>
      <c r="S689" s="3">
        <v>8</v>
      </c>
      <c r="T689" s="3">
        <v>4</v>
      </c>
    </row>
    <row r="690" spans="1:20">
      <c r="A690" s="5" t="s">
        <v>680</v>
      </c>
      <c r="B690" s="5" t="s">
        <v>681</v>
      </c>
      <c r="C690" s="6">
        <v>45353</v>
      </c>
      <c r="D690" s="8">
        <v>43</v>
      </c>
      <c r="E690" s="5" t="s">
        <v>36</v>
      </c>
      <c r="F690" s="5" t="s">
        <v>21</v>
      </c>
      <c r="G690" s="5" t="s">
        <v>64</v>
      </c>
      <c r="H690" s="7">
        <v>565.04999999999995</v>
      </c>
      <c r="I690" s="3">
        <v>1</v>
      </c>
      <c r="J690" s="3">
        <f t="shared" si="20"/>
        <v>565.04999999999995</v>
      </c>
      <c r="K690" s="4">
        <v>155.21</v>
      </c>
      <c r="L690" s="23">
        <f t="shared" si="21"/>
        <v>0.27468365631360059</v>
      </c>
      <c r="M690" s="7">
        <v>409.84</v>
      </c>
      <c r="N690" s="5" t="s">
        <v>327</v>
      </c>
      <c r="O690" s="5" t="s">
        <v>33</v>
      </c>
      <c r="P690" s="3">
        <v>38</v>
      </c>
      <c r="Q690" s="3">
        <v>8</v>
      </c>
      <c r="R690" s="5" t="b">
        <v>0</v>
      </c>
      <c r="S690" s="3">
        <v>5</v>
      </c>
      <c r="T690" s="3">
        <v>2</v>
      </c>
    </row>
    <row r="691" spans="1:20">
      <c r="A691" s="5" t="s">
        <v>1294</v>
      </c>
      <c r="B691" s="5" t="s">
        <v>1295</v>
      </c>
      <c r="C691" s="6">
        <v>44927</v>
      </c>
      <c r="D691" s="8">
        <v>40</v>
      </c>
      <c r="E691" s="5" t="s">
        <v>36</v>
      </c>
      <c r="F691" s="5" t="s">
        <v>32</v>
      </c>
      <c r="G691" s="5" t="s">
        <v>46</v>
      </c>
      <c r="H691" s="7">
        <v>755.61</v>
      </c>
      <c r="I691" s="3">
        <v>5</v>
      </c>
      <c r="J691" s="3">
        <f t="shared" si="20"/>
        <v>3778.05</v>
      </c>
      <c r="K691" s="4">
        <v>0</v>
      </c>
      <c r="L691" s="23">
        <f t="shared" si="21"/>
        <v>0</v>
      </c>
      <c r="M691" s="7">
        <v>3778.05</v>
      </c>
      <c r="N691" s="5" t="s">
        <v>1231</v>
      </c>
      <c r="O691" s="5" t="s">
        <v>24</v>
      </c>
      <c r="P691" s="3">
        <v>21</v>
      </c>
      <c r="Q691" s="3">
        <v>10</v>
      </c>
      <c r="R691" s="5" t="b">
        <v>1</v>
      </c>
      <c r="S691" s="3">
        <v>7</v>
      </c>
      <c r="T691" s="3">
        <v>4</v>
      </c>
    </row>
    <row r="692" spans="1:20">
      <c r="A692" s="5" t="s">
        <v>682</v>
      </c>
      <c r="B692" s="5" t="s">
        <v>683</v>
      </c>
      <c r="C692" s="6">
        <v>45082</v>
      </c>
      <c r="D692" s="8">
        <v>30</v>
      </c>
      <c r="E692" s="5" t="s">
        <v>20</v>
      </c>
      <c r="F692" s="5" t="s">
        <v>27</v>
      </c>
      <c r="G692" s="5" t="s">
        <v>56</v>
      </c>
      <c r="H692" s="7">
        <v>584.54999999999995</v>
      </c>
      <c r="I692" s="3">
        <v>1</v>
      </c>
      <c r="J692" s="3">
        <f t="shared" si="20"/>
        <v>584.54999999999995</v>
      </c>
      <c r="K692" s="4">
        <v>0</v>
      </c>
      <c r="L692" s="23">
        <f t="shared" si="21"/>
        <v>0</v>
      </c>
      <c r="M692" s="7">
        <v>584.54999999999995</v>
      </c>
      <c r="N692" s="5" t="s">
        <v>327</v>
      </c>
      <c r="O692" s="5" t="s">
        <v>29</v>
      </c>
      <c r="P692" s="3">
        <v>6</v>
      </c>
      <c r="Q692" s="3">
        <v>12</v>
      </c>
      <c r="R692" s="5" t="b">
        <v>0</v>
      </c>
      <c r="S692" s="3">
        <v>5</v>
      </c>
      <c r="T692" s="3">
        <v>5</v>
      </c>
    </row>
    <row r="693" spans="1:20">
      <c r="A693" s="5" t="s">
        <v>1443</v>
      </c>
      <c r="B693" s="5" t="s">
        <v>1444</v>
      </c>
      <c r="C693" s="6">
        <v>45073</v>
      </c>
      <c r="D693" s="8">
        <v>48</v>
      </c>
      <c r="E693" s="5" t="s">
        <v>122</v>
      </c>
      <c r="F693" s="5" t="s">
        <v>73</v>
      </c>
      <c r="G693" s="5" t="s">
        <v>115</v>
      </c>
      <c r="H693" s="7">
        <v>136.6</v>
      </c>
      <c r="I693" s="3">
        <v>3</v>
      </c>
      <c r="J693" s="3">
        <f t="shared" si="20"/>
        <v>409.79999999999995</v>
      </c>
      <c r="K693" s="4">
        <v>27.29</v>
      </c>
      <c r="L693" s="23">
        <f t="shared" si="21"/>
        <v>6.6593460224499759E-2</v>
      </c>
      <c r="M693" s="7">
        <v>382.51</v>
      </c>
      <c r="N693" s="5" t="s">
        <v>1298</v>
      </c>
      <c r="O693" s="5" t="s">
        <v>33</v>
      </c>
      <c r="P693" s="3">
        <v>28</v>
      </c>
      <c r="Q693" s="3">
        <v>6</v>
      </c>
      <c r="R693" s="5" t="b">
        <v>1</v>
      </c>
      <c r="S693" s="3">
        <v>7</v>
      </c>
      <c r="T693" s="3">
        <v>5</v>
      </c>
    </row>
    <row r="694" spans="1:20">
      <c r="A694" s="5" t="s">
        <v>1223</v>
      </c>
      <c r="B694" s="5" t="s">
        <v>1224</v>
      </c>
      <c r="C694" s="6">
        <v>45034</v>
      </c>
      <c r="D694" s="8">
        <v>22</v>
      </c>
      <c r="E694" s="5" t="s">
        <v>20</v>
      </c>
      <c r="F694" s="5" t="s">
        <v>21</v>
      </c>
      <c r="G694" s="5" t="s">
        <v>46</v>
      </c>
      <c r="H694" s="7">
        <v>914.24</v>
      </c>
      <c r="I694" s="3">
        <v>1</v>
      </c>
      <c r="J694" s="3">
        <f t="shared" si="20"/>
        <v>914.24</v>
      </c>
      <c r="K694" s="4">
        <v>0</v>
      </c>
      <c r="L694" s="23">
        <f t="shared" si="21"/>
        <v>0</v>
      </c>
      <c r="M694" s="7">
        <v>914.24</v>
      </c>
      <c r="N694" s="5" t="s">
        <v>692</v>
      </c>
      <c r="O694" s="5" t="s">
        <v>33</v>
      </c>
      <c r="P694" s="3">
        <v>15</v>
      </c>
      <c r="Q694" s="3">
        <v>14</v>
      </c>
      <c r="R694" s="5" t="b">
        <v>0</v>
      </c>
      <c r="S694" s="3">
        <v>12</v>
      </c>
      <c r="T694" s="3">
        <v>3</v>
      </c>
    </row>
    <row r="695" spans="1:20">
      <c r="A695" s="5" t="s">
        <v>684</v>
      </c>
      <c r="B695" s="5" t="s">
        <v>685</v>
      </c>
      <c r="C695" s="6">
        <v>45147</v>
      </c>
      <c r="D695" s="8">
        <v>42</v>
      </c>
      <c r="E695" s="5" t="s">
        <v>20</v>
      </c>
      <c r="F695" s="5" t="s">
        <v>52</v>
      </c>
      <c r="G695" s="5" t="s">
        <v>28</v>
      </c>
      <c r="H695" s="7">
        <v>161.82</v>
      </c>
      <c r="I695" s="3">
        <v>1</v>
      </c>
      <c r="J695" s="3">
        <f t="shared" si="20"/>
        <v>161.82</v>
      </c>
      <c r="K695" s="4">
        <v>0</v>
      </c>
      <c r="L695" s="23">
        <f t="shared" si="21"/>
        <v>0</v>
      </c>
      <c r="M695" s="7">
        <v>161.82</v>
      </c>
      <c r="N695" s="5" t="s">
        <v>327</v>
      </c>
      <c r="O695" s="5" t="s">
        <v>24</v>
      </c>
      <c r="P695" s="3">
        <v>6</v>
      </c>
      <c r="Q695" s="3">
        <v>9</v>
      </c>
      <c r="R695" s="5" t="b">
        <v>1</v>
      </c>
      <c r="S695" s="3">
        <v>8</v>
      </c>
      <c r="T695" s="3">
        <v>3</v>
      </c>
    </row>
    <row r="696" spans="1:20">
      <c r="A696" s="5" t="s">
        <v>1225</v>
      </c>
      <c r="B696" s="5" t="s">
        <v>1226</v>
      </c>
      <c r="C696" s="6">
        <v>45329</v>
      </c>
      <c r="D696" s="8">
        <v>42</v>
      </c>
      <c r="E696" s="5" t="s">
        <v>36</v>
      </c>
      <c r="F696" s="5" t="s">
        <v>21</v>
      </c>
      <c r="G696" s="5" t="s">
        <v>22</v>
      </c>
      <c r="H696" s="7">
        <v>94.57</v>
      </c>
      <c r="I696" s="3">
        <v>1</v>
      </c>
      <c r="J696" s="3">
        <f t="shared" si="20"/>
        <v>94.57</v>
      </c>
      <c r="K696" s="4">
        <v>0</v>
      </c>
      <c r="L696" s="23">
        <f t="shared" si="21"/>
        <v>0</v>
      </c>
      <c r="M696" s="7">
        <v>94.57</v>
      </c>
      <c r="N696" s="5" t="s">
        <v>692</v>
      </c>
      <c r="O696" s="5" t="s">
        <v>24</v>
      </c>
      <c r="P696" s="3">
        <v>3</v>
      </c>
      <c r="Q696" s="3">
        <v>11</v>
      </c>
      <c r="R696" s="5" t="b">
        <v>1</v>
      </c>
      <c r="S696" s="3">
        <v>7</v>
      </c>
      <c r="T696" s="3">
        <v>4</v>
      </c>
    </row>
    <row r="697" spans="1:20">
      <c r="A697" s="5" t="s">
        <v>686</v>
      </c>
      <c r="B697" s="5" t="s">
        <v>687</v>
      </c>
      <c r="C697" s="6">
        <v>45223</v>
      </c>
      <c r="D697" s="8">
        <v>31</v>
      </c>
      <c r="E697" s="5" t="s">
        <v>20</v>
      </c>
      <c r="F697" s="5" t="s">
        <v>52</v>
      </c>
      <c r="G697" s="5" t="s">
        <v>46</v>
      </c>
      <c r="H697" s="7">
        <v>178.05</v>
      </c>
      <c r="I697" s="3">
        <v>1</v>
      </c>
      <c r="J697" s="3">
        <f t="shared" si="20"/>
        <v>178.05</v>
      </c>
      <c r="K697" s="4">
        <v>0</v>
      </c>
      <c r="L697" s="23">
        <f t="shared" si="21"/>
        <v>0</v>
      </c>
      <c r="M697" s="7">
        <v>178.05</v>
      </c>
      <c r="N697" s="5" t="s">
        <v>327</v>
      </c>
      <c r="O697" s="5" t="s">
        <v>24</v>
      </c>
      <c r="P697" s="3">
        <v>5</v>
      </c>
      <c r="Q697" s="3">
        <v>7</v>
      </c>
      <c r="R697" s="5" t="b">
        <v>0</v>
      </c>
      <c r="S697" s="3">
        <v>11</v>
      </c>
      <c r="T697" s="3">
        <v>4</v>
      </c>
    </row>
    <row r="698" spans="1:20">
      <c r="A698" s="5" t="s">
        <v>688</v>
      </c>
      <c r="B698" s="5" t="s">
        <v>689</v>
      </c>
      <c r="C698" s="6">
        <v>45237</v>
      </c>
      <c r="D698" s="8">
        <v>38</v>
      </c>
      <c r="E698" s="5" t="s">
        <v>36</v>
      </c>
      <c r="F698" s="5" t="s">
        <v>27</v>
      </c>
      <c r="G698" s="5" t="s">
        <v>64</v>
      </c>
      <c r="H698" s="7">
        <v>1499.61</v>
      </c>
      <c r="I698" s="3">
        <v>1</v>
      </c>
      <c r="J698" s="3">
        <f t="shared" si="20"/>
        <v>1499.61</v>
      </c>
      <c r="K698" s="4">
        <v>0</v>
      </c>
      <c r="L698" s="23">
        <f t="shared" si="21"/>
        <v>0</v>
      </c>
      <c r="M698" s="7">
        <v>1499.61</v>
      </c>
      <c r="N698" s="5" t="s">
        <v>327</v>
      </c>
      <c r="O698" s="5" t="s">
        <v>33</v>
      </c>
      <c r="P698" s="3">
        <v>9</v>
      </c>
      <c r="Q698" s="3">
        <v>8</v>
      </c>
      <c r="R698" s="5" t="b">
        <v>0</v>
      </c>
      <c r="S698" s="3">
        <v>6</v>
      </c>
      <c r="T698" s="3">
        <v>4</v>
      </c>
    </row>
    <row r="699" spans="1:20">
      <c r="A699" s="5" t="s">
        <v>1227</v>
      </c>
      <c r="B699" s="5" t="s">
        <v>1228</v>
      </c>
      <c r="C699" s="6">
        <v>45262</v>
      </c>
      <c r="D699" s="8">
        <v>19</v>
      </c>
      <c r="E699" s="5" t="s">
        <v>36</v>
      </c>
      <c r="F699" s="5" t="s">
        <v>73</v>
      </c>
      <c r="G699" s="5" t="s">
        <v>53</v>
      </c>
      <c r="H699" s="7">
        <v>65.7</v>
      </c>
      <c r="I699" s="3">
        <v>3</v>
      </c>
      <c r="J699" s="3">
        <f t="shared" si="20"/>
        <v>197.10000000000002</v>
      </c>
      <c r="K699" s="4">
        <v>0</v>
      </c>
      <c r="L699" s="23">
        <f t="shared" si="21"/>
        <v>0</v>
      </c>
      <c r="M699" s="7">
        <v>197.1</v>
      </c>
      <c r="N699" s="5" t="s">
        <v>692</v>
      </c>
      <c r="O699" s="5" t="s">
        <v>24</v>
      </c>
      <c r="P699" s="3">
        <v>13</v>
      </c>
      <c r="Q699" s="3">
        <v>4</v>
      </c>
      <c r="R699" s="5" t="b">
        <v>1</v>
      </c>
      <c r="S699" s="3">
        <v>4</v>
      </c>
      <c r="T699" s="3">
        <v>4</v>
      </c>
    </row>
    <row r="700" spans="1:20">
      <c r="A700" s="5" t="s">
        <v>323</v>
      </c>
      <c r="B700" s="5" t="s">
        <v>324</v>
      </c>
      <c r="C700" s="6">
        <v>45091</v>
      </c>
      <c r="D700" s="8">
        <v>46</v>
      </c>
      <c r="E700" s="5" t="s">
        <v>20</v>
      </c>
      <c r="F700" s="5" t="s">
        <v>88</v>
      </c>
      <c r="G700" s="5" t="s">
        <v>28</v>
      </c>
      <c r="H700" s="7">
        <v>116.5</v>
      </c>
      <c r="I700" s="3">
        <v>2</v>
      </c>
      <c r="J700" s="3">
        <f t="shared" si="20"/>
        <v>233</v>
      </c>
      <c r="K700" s="4">
        <v>10</v>
      </c>
      <c r="L700" s="23">
        <f t="shared" si="21"/>
        <v>4.2918454935622317E-2</v>
      </c>
      <c r="M700" s="7">
        <v>223</v>
      </c>
      <c r="N700" s="5" t="s">
        <v>23</v>
      </c>
      <c r="O700" s="5" t="s">
        <v>33</v>
      </c>
      <c r="P700" s="3">
        <v>15</v>
      </c>
      <c r="Q700" s="3">
        <v>11</v>
      </c>
      <c r="R700" s="5" t="b">
        <v>0</v>
      </c>
      <c r="S700" s="3">
        <v>11</v>
      </c>
      <c r="T700" s="3">
        <v>3</v>
      </c>
    </row>
  </sheetData>
  <mergeCells count="2">
    <mergeCell ref="X3:AB6"/>
    <mergeCell ref="X8:A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4EAD-2846-4098-BA4E-F7FA6CD78F0B}">
  <sheetPr filterMode="1"/>
  <dimension ref="A1:AF700"/>
  <sheetViews>
    <sheetView topLeftCell="F680" workbookViewId="0">
      <selection activeCell="J2" sqref="J2"/>
    </sheetView>
  </sheetViews>
  <sheetFormatPr defaultRowHeight="15"/>
  <cols>
    <col min="1" max="1" width="16" customWidth="1"/>
    <col min="2" max="2" width="16.85546875" customWidth="1"/>
    <col min="3" max="3" width="15.85546875" customWidth="1"/>
    <col min="5" max="5" width="12" customWidth="1"/>
    <col min="6" max="6" width="13.42578125" customWidth="1"/>
    <col min="7" max="7" width="18" customWidth="1"/>
    <col min="8" max="8" width="11.7109375" customWidth="1"/>
    <col min="9" max="9" width="14.140625" customWidth="1"/>
    <col min="10" max="10" width="14.7109375" customWidth="1"/>
    <col min="11" max="11" width="14.85546875" customWidth="1"/>
    <col min="12" max="12" width="16.42578125" customWidth="1"/>
    <col min="13" max="13" width="12.42578125" customWidth="1"/>
    <col min="14" max="14" width="17.42578125" customWidth="1"/>
    <col min="15" max="15" width="13" customWidth="1"/>
    <col min="16" max="16" width="15" customWidth="1"/>
    <col min="17" max="17" width="13.5703125" customWidth="1"/>
    <col min="18" max="18" width="18.28515625" customWidth="1"/>
    <col min="19" max="19" width="23" customWidth="1"/>
    <col min="20" max="22" width="14" customWidth="1"/>
    <col min="23" max="23" width="16" customWidth="1"/>
  </cols>
  <sheetData>
    <row r="1" spans="1:32" ht="51.75" customHeight="1">
      <c r="A1" s="2" t="s">
        <v>1445</v>
      </c>
      <c r="B1" s="2" t="s">
        <v>1446</v>
      </c>
      <c r="C1" s="2" t="s">
        <v>1447</v>
      </c>
      <c r="D1" s="2" t="s">
        <v>1448</v>
      </c>
      <c r="E1" s="2" t="s">
        <v>1449</v>
      </c>
      <c r="F1" s="2" t="s">
        <v>1450</v>
      </c>
      <c r="G1" s="2" t="s">
        <v>1451</v>
      </c>
      <c r="H1" s="2" t="s">
        <v>1452</v>
      </c>
      <c r="I1" s="2" t="s">
        <v>1453</v>
      </c>
      <c r="J1" s="2" t="s">
        <v>1466</v>
      </c>
      <c r="K1" s="2" t="s">
        <v>1454</v>
      </c>
      <c r="L1" s="2" t="s">
        <v>1467</v>
      </c>
      <c r="M1" s="2" t="s">
        <v>1455</v>
      </c>
      <c r="N1" s="2" t="s">
        <v>1456</v>
      </c>
      <c r="O1" s="2" t="s">
        <v>1457</v>
      </c>
      <c r="P1" s="2" t="s">
        <v>1458</v>
      </c>
      <c r="Q1" s="2" t="s">
        <v>1459</v>
      </c>
      <c r="R1" s="2" t="s">
        <v>1460</v>
      </c>
      <c r="S1" s="2" t="s">
        <v>1471</v>
      </c>
      <c r="T1" s="2" t="s">
        <v>1461</v>
      </c>
      <c r="U1" s="11" t="s">
        <v>1472</v>
      </c>
      <c r="V1" s="11" t="s">
        <v>1473</v>
      </c>
      <c r="W1" s="2" t="s">
        <v>1462</v>
      </c>
    </row>
    <row r="2" spans="1:32" ht="15" customHeight="1">
      <c r="A2" s="5" t="s">
        <v>325</v>
      </c>
      <c r="B2" s="5" t="s">
        <v>326</v>
      </c>
      <c r="C2" s="6">
        <v>45254</v>
      </c>
      <c r="D2" s="8">
        <v>40</v>
      </c>
      <c r="E2" s="5" t="s">
        <v>20</v>
      </c>
      <c r="F2" s="5" t="s">
        <v>52</v>
      </c>
      <c r="G2" s="5" t="s">
        <v>115</v>
      </c>
      <c r="H2" s="7">
        <v>54.83</v>
      </c>
      <c r="I2" s="3">
        <v>4</v>
      </c>
      <c r="J2" s="33">
        <f>H2*I2</f>
        <v>219.32</v>
      </c>
      <c r="K2" s="4">
        <v>0</v>
      </c>
      <c r="L2" s="9">
        <f>IF(J2=0,0,K2/J2)</f>
        <v>0</v>
      </c>
      <c r="M2" s="25">
        <v>219.32</v>
      </c>
      <c r="N2" s="5" t="s">
        <v>327</v>
      </c>
      <c r="O2" s="5" t="s">
        <v>33</v>
      </c>
      <c r="P2" s="3">
        <v>8</v>
      </c>
      <c r="Q2" s="3">
        <v>9</v>
      </c>
      <c r="R2" s="5" t="b">
        <v>1</v>
      </c>
      <c r="S2" s="5" t="str">
        <f>IF(R2=TRUE,"Returning Customer","New Customer")</f>
        <v>Returning Customer</v>
      </c>
      <c r="T2" s="3">
        <v>8</v>
      </c>
      <c r="U2" s="12" t="str">
        <f>IF(T2&lt;=3,"Fast",IF(T2&lt;=7,"Standard",IF(T2&lt;=14,"Slow","Very Slow")))</f>
        <v>Slow</v>
      </c>
      <c r="V2" s="10" t="str">
        <f>IF(D2&lt;=25,"18-25",IF(D2&lt;=35,"26-35",IF(D2&lt;=45,"36-45",IF(D2&lt;=55,"46-55",IF(D2&lt;=65,"56-65","66-75")))))</f>
        <v>36-45</v>
      </c>
      <c r="W2" s="3">
        <v>4</v>
      </c>
      <c r="Z2" s="34" t="s">
        <v>1474</v>
      </c>
      <c r="AA2" s="35"/>
      <c r="AB2" s="35"/>
      <c r="AC2" s="35"/>
      <c r="AD2" s="35"/>
      <c r="AE2" s="36"/>
      <c r="AF2" s="24"/>
    </row>
    <row r="3" spans="1:32">
      <c r="A3" s="5" t="s">
        <v>328</v>
      </c>
      <c r="B3" s="5" t="s">
        <v>329</v>
      </c>
      <c r="C3" s="6">
        <v>44984</v>
      </c>
      <c r="D3" s="8">
        <v>33</v>
      </c>
      <c r="E3" s="5" t="s">
        <v>20</v>
      </c>
      <c r="F3" s="5" t="s">
        <v>32</v>
      </c>
      <c r="G3" s="5" t="s">
        <v>22</v>
      </c>
      <c r="H3" s="7">
        <v>166.17</v>
      </c>
      <c r="I3" s="3">
        <v>2</v>
      </c>
      <c r="J3" s="33">
        <f t="shared" ref="J3:J66" si="0">H3*I3</f>
        <v>332.34</v>
      </c>
      <c r="K3" s="4">
        <v>0</v>
      </c>
      <c r="L3" s="9">
        <f t="shared" ref="L3:L66" si="1">IF(J3=0,0,K3/J3)</f>
        <v>0</v>
      </c>
      <c r="M3" s="25">
        <v>332.34</v>
      </c>
      <c r="N3" s="5" t="s">
        <v>327</v>
      </c>
      <c r="O3" s="5" t="s">
        <v>33</v>
      </c>
      <c r="P3" s="3">
        <v>3</v>
      </c>
      <c r="Q3" s="3">
        <v>8</v>
      </c>
      <c r="R3" s="5" t="b">
        <v>1</v>
      </c>
      <c r="S3" s="5" t="str">
        <f t="shared" ref="S3:S66" si="2">IF(R3=TRUE,"Returning Customer","New Customer")</f>
        <v>Returning Customer</v>
      </c>
      <c r="T3" s="3">
        <v>8</v>
      </c>
      <c r="U3" s="12" t="str">
        <f t="shared" ref="U3:U66" si="3">IF(T3&lt;=3,"Fast",IF(T3&lt;=7,"Standard",IF(T3&lt;=14,"Slow","Very Slow")))</f>
        <v>Slow</v>
      </c>
      <c r="V3" s="10" t="str">
        <f t="shared" ref="V3:V66" si="4">IF(D3&lt;=25,"18-25",IF(D3&lt;=35,"26-35",IF(D3&lt;=45,"36-45",IF(D3&lt;=55,"46-55",IF(D3&lt;=65,"56-65","66-75")))))</f>
        <v>26-35</v>
      </c>
      <c r="W3" s="3">
        <v>5</v>
      </c>
      <c r="Z3" s="70"/>
      <c r="AA3" s="65"/>
      <c r="AB3" s="65"/>
      <c r="AC3" s="65"/>
      <c r="AD3" s="65"/>
      <c r="AE3" s="71"/>
      <c r="AF3" s="24"/>
    </row>
    <row r="4" spans="1:32">
      <c r="A4" s="5" t="s">
        <v>330</v>
      </c>
      <c r="B4" s="5" t="s">
        <v>331</v>
      </c>
      <c r="C4" s="6">
        <v>44939</v>
      </c>
      <c r="D4" s="8">
        <v>42</v>
      </c>
      <c r="E4" s="5" t="s">
        <v>20</v>
      </c>
      <c r="F4" s="5" t="s">
        <v>88</v>
      </c>
      <c r="G4" s="5" t="s">
        <v>115</v>
      </c>
      <c r="H4" s="7">
        <v>66.44</v>
      </c>
      <c r="I4" s="3">
        <v>1</v>
      </c>
      <c r="J4" s="33">
        <f t="shared" si="0"/>
        <v>66.44</v>
      </c>
      <c r="K4" s="4">
        <v>0</v>
      </c>
      <c r="L4" s="9">
        <f t="shared" si="1"/>
        <v>0</v>
      </c>
      <c r="M4" s="25">
        <v>66.44</v>
      </c>
      <c r="N4" s="5" t="s">
        <v>327</v>
      </c>
      <c r="O4" s="5" t="s">
        <v>24</v>
      </c>
      <c r="P4" s="3">
        <v>9</v>
      </c>
      <c r="Q4" s="3">
        <v>5</v>
      </c>
      <c r="R4" s="5" t="b">
        <v>0</v>
      </c>
      <c r="S4" s="5" t="str">
        <f t="shared" si="2"/>
        <v>New Customer</v>
      </c>
      <c r="T4" s="3">
        <v>3</v>
      </c>
      <c r="U4" s="12" t="str">
        <f t="shared" si="3"/>
        <v>Fast</v>
      </c>
      <c r="V4" s="10" t="str">
        <f t="shared" si="4"/>
        <v>36-45</v>
      </c>
      <c r="W4" s="3">
        <v>5</v>
      </c>
      <c r="Z4" s="70"/>
      <c r="AA4" s="65"/>
      <c r="AB4" s="65"/>
      <c r="AC4" s="65"/>
      <c r="AD4" s="65"/>
      <c r="AE4" s="71"/>
      <c r="AF4" s="24"/>
    </row>
    <row r="5" spans="1:32">
      <c r="A5" s="5" t="s">
        <v>1296</v>
      </c>
      <c r="B5" s="5" t="s">
        <v>1297</v>
      </c>
      <c r="C5" s="6">
        <v>45306</v>
      </c>
      <c r="D5" s="8">
        <v>53</v>
      </c>
      <c r="E5" s="5" t="s">
        <v>20</v>
      </c>
      <c r="F5" s="5" t="s">
        <v>21</v>
      </c>
      <c r="G5" s="5" t="s">
        <v>115</v>
      </c>
      <c r="H5" s="7">
        <v>112.65</v>
      </c>
      <c r="I5" s="3">
        <v>1</v>
      </c>
      <c r="J5" s="33">
        <f t="shared" si="0"/>
        <v>112.65</v>
      </c>
      <c r="K5" s="4">
        <v>0</v>
      </c>
      <c r="L5" s="9">
        <f t="shared" si="1"/>
        <v>0</v>
      </c>
      <c r="M5" s="25">
        <v>112.65</v>
      </c>
      <c r="N5" s="5" t="s">
        <v>1298</v>
      </c>
      <c r="O5" s="5" t="s">
        <v>33</v>
      </c>
      <c r="P5" s="3">
        <v>9</v>
      </c>
      <c r="Q5" s="3">
        <v>6</v>
      </c>
      <c r="R5" s="5" t="b">
        <v>0</v>
      </c>
      <c r="S5" s="5" t="str">
        <f t="shared" si="2"/>
        <v>New Customer</v>
      </c>
      <c r="T5" s="3">
        <v>5</v>
      </c>
      <c r="U5" s="12" t="str">
        <f t="shared" si="3"/>
        <v>Standard</v>
      </c>
      <c r="V5" s="10" t="str">
        <f t="shared" si="4"/>
        <v>46-55</v>
      </c>
      <c r="W5" s="3">
        <v>4</v>
      </c>
      <c r="Z5" s="70"/>
      <c r="AA5" s="65"/>
      <c r="AB5" s="65"/>
      <c r="AC5" s="65"/>
      <c r="AD5" s="65"/>
      <c r="AE5" s="71"/>
    </row>
    <row r="6" spans="1:32">
      <c r="A6" s="5" t="s">
        <v>1299</v>
      </c>
      <c r="B6" s="5" t="s">
        <v>1300</v>
      </c>
      <c r="C6" s="6">
        <v>45067</v>
      </c>
      <c r="D6" s="8">
        <v>32</v>
      </c>
      <c r="E6" s="5" t="s">
        <v>20</v>
      </c>
      <c r="F6" s="5" t="s">
        <v>52</v>
      </c>
      <c r="G6" s="5" t="s">
        <v>53</v>
      </c>
      <c r="H6" s="7">
        <v>69.89</v>
      </c>
      <c r="I6" s="3">
        <v>5</v>
      </c>
      <c r="J6" s="33">
        <f t="shared" si="0"/>
        <v>349.45</v>
      </c>
      <c r="K6" s="4">
        <v>0</v>
      </c>
      <c r="L6" s="9">
        <f t="shared" si="1"/>
        <v>0</v>
      </c>
      <c r="M6" s="25">
        <v>349.45</v>
      </c>
      <c r="N6" s="5" t="s">
        <v>1298</v>
      </c>
      <c r="O6" s="5" t="s">
        <v>33</v>
      </c>
      <c r="P6" s="3">
        <v>13</v>
      </c>
      <c r="Q6" s="3">
        <v>7</v>
      </c>
      <c r="R6" s="5" t="b">
        <v>0</v>
      </c>
      <c r="S6" s="5" t="str">
        <f t="shared" si="2"/>
        <v>New Customer</v>
      </c>
      <c r="T6" s="3">
        <v>3</v>
      </c>
      <c r="U6" s="12" t="str">
        <f t="shared" si="3"/>
        <v>Fast</v>
      </c>
      <c r="V6" s="10" t="str">
        <f t="shared" si="4"/>
        <v>26-35</v>
      </c>
      <c r="W6" s="3">
        <v>3</v>
      </c>
      <c r="Z6" s="37"/>
      <c r="AA6" s="38"/>
      <c r="AB6" s="38"/>
      <c r="AC6" s="38"/>
      <c r="AD6" s="38"/>
      <c r="AE6" s="39"/>
    </row>
    <row r="7" spans="1:32">
      <c r="A7" s="5" t="s">
        <v>690</v>
      </c>
      <c r="B7" s="5" t="s">
        <v>691</v>
      </c>
      <c r="C7" s="6">
        <v>45052</v>
      </c>
      <c r="D7" s="8">
        <v>32</v>
      </c>
      <c r="E7" s="5" t="s">
        <v>36</v>
      </c>
      <c r="F7" s="5" t="s">
        <v>32</v>
      </c>
      <c r="G7" s="5" t="s">
        <v>115</v>
      </c>
      <c r="H7" s="7">
        <v>131.96</v>
      </c>
      <c r="I7" s="3">
        <v>1</v>
      </c>
      <c r="J7" s="33">
        <f t="shared" si="0"/>
        <v>131.96</v>
      </c>
      <c r="K7" s="4">
        <v>0</v>
      </c>
      <c r="L7" s="9">
        <f t="shared" si="1"/>
        <v>0</v>
      </c>
      <c r="M7" s="25">
        <v>131.96</v>
      </c>
      <c r="N7" s="5" t="s">
        <v>692</v>
      </c>
      <c r="O7" s="5" t="s">
        <v>24</v>
      </c>
      <c r="P7" s="3">
        <v>17</v>
      </c>
      <c r="Q7" s="3">
        <v>9</v>
      </c>
      <c r="R7" s="5" t="b">
        <v>1</v>
      </c>
      <c r="S7" s="5" t="str">
        <f t="shared" si="2"/>
        <v>Returning Customer</v>
      </c>
      <c r="T7" s="3">
        <v>4</v>
      </c>
      <c r="U7" s="12" t="str">
        <f t="shared" si="3"/>
        <v>Standard</v>
      </c>
      <c r="V7" s="10" t="str">
        <f t="shared" si="4"/>
        <v>26-35</v>
      </c>
      <c r="W7" s="3">
        <v>5</v>
      </c>
    </row>
    <row r="8" spans="1:32">
      <c r="A8" s="5" t="s">
        <v>693</v>
      </c>
      <c r="B8" s="5" t="s">
        <v>694</v>
      </c>
      <c r="C8" s="6">
        <v>45041</v>
      </c>
      <c r="D8" s="8">
        <v>53</v>
      </c>
      <c r="E8" s="5" t="s">
        <v>36</v>
      </c>
      <c r="F8" s="5" t="s">
        <v>52</v>
      </c>
      <c r="G8" s="5" t="s">
        <v>115</v>
      </c>
      <c r="H8" s="7">
        <v>53.11</v>
      </c>
      <c r="I8" s="3">
        <v>3</v>
      </c>
      <c r="J8" s="33">
        <f t="shared" si="0"/>
        <v>159.32999999999998</v>
      </c>
      <c r="K8" s="4">
        <v>8.92</v>
      </c>
      <c r="L8" s="9">
        <f t="shared" si="1"/>
        <v>5.5984434820812154E-2</v>
      </c>
      <c r="M8" s="25">
        <v>150.41</v>
      </c>
      <c r="N8" s="5" t="s">
        <v>692</v>
      </c>
      <c r="O8" s="5" t="s">
        <v>24</v>
      </c>
      <c r="P8" s="3">
        <v>19</v>
      </c>
      <c r="Q8" s="3">
        <v>13</v>
      </c>
      <c r="R8" s="5" t="b">
        <v>1</v>
      </c>
      <c r="S8" s="5" t="str">
        <f t="shared" si="2"/>
        <v>Returning Customer</v>
      </c>
      <c r="T8" s="3">
        <v>2</v>
      </c>
      <c r="U8" s="12" t="str">
        <f t="shared" si="3"/>
        <v>Fast</v>
      </c>
      <c r="V8" s="10" t="str">
        <f t="shared" si="4"/>
        <v>46-55</v>
      </c>
      <c r="W8" s="3">
        <v>3</v>
      </c>
      <c r="Z8" s="34" t="s">
        <v>1475</v>
      </c>
      <c r="AA8" s="35"/>
      <c r="AB8" s="35"/>
      <c r="AC8" s="35"/>
      <c r="AD8" s="35"/>
      <c r="AE8" s="36"/>
    </row>
    <row r="9" spans="1:32">
      <c r="A9" s="5" t="s">
        <v>332</v>
      </c>
      <c r="B9" s="5" t="s">
        <v>333</v>
      </c>
      <c r="C9" s="6">
        <v>44998</v>
      </c>
      <c r="D9" s="8">
        <v>44</v>
      </c>
      <c r="E9" s="5" t="s">
        <v>36</v>
      </c>
      <c r="F9" s="5" t="s">
        <v>88</v>
      </c>
      <c r="G9" s="5" t="s">
        <v>115</v>
      </c>
      <c r="H9" s="7">
        <v>24.55</v>
      </c>
      <c r="I9" s="3">
        <v>2</v>
      </c>
      <c r="J9" s="33">
        <f t="shared" si="0"/>
        <v>49.1</v>
      </c>
      <c r="K9" s="4">
        <v>0</v>
      </c>
      <c r="L9" s="9">
        <f t="shared" si="1"/>
        <v>0</v>
      </c>
      <c r="M9" s="25">
        <v>49.1</v>
      </c>
      <c r="N9" s="5" t="s">
        <v>327</v>
      </c>
      <c r="O9" s="5" t="s">
        <v>24</v>
      </c>
      <c r="P9" s="3">
        <v>15</v>
      </c>
      <c r="Q9" s="3">
        <v>8</v>
      </c>
      <c r="R9" s="5" t="b">
        <v>0</v>
      </c>
      <c r="S9" s="5" t="str">
        <f t="shared" si="2"/>
        <v>New Customer</v>
      </c>
      <c r="T9" s="3">
        <v>7</v>
      </c>
      <c r="U9" s="12" t="str">
        <f t="shared" si="3"/>
        <v>Standard</v>
      </c>
      <c r="V9" s="10" t="str">
        <f t="shared" si="4"/>
        <v>36-45</v>
      </c>
      <c r="W9" s="3">
        <v>5</v>
      </c>
      <c r="Z9" s="70"/>
      <c r="AA9" s="65"/>
      <c r="AB9" s="65"/>
      <c r="AC9" s="65"/>
      <c r="AD9" s="65"/>
      <c r="AE9" s="71"/>
    </row>
    <row r="10" spans="1:32">
      <c r="A10" s="5" t="s">
        <v>695</v>
      </c>
      <c r="B10" s="5" t="s">
        <v>696</v>
      </c>
      <c r="C10" s="6">
        <v>45304</v>
      </c>
      <c r="D10" s="8">
        <v>29</v>
      </c>
      <c r="E10" s="5" t="s">
        <v>20</v>
      </c>
      <c r="F10" s="5" t="s">
        <v>52</v>
      </c>
      <c r="G10" s="5" t="s">
        <v>37</v>
      </c>
      <c r="H10" s="7">
        <v>58.93</v>
      </c>
      <c r="I10" s="3">
        <v>1</v>
      </c>
      <c r="J10" s="33">
        <f t="shared" si="0"/>
        <v>58.93</v>
      </c>
      <c r="K10" s="4">
        <v>3.04</v>
      </c>
      <c r="L10" s="9">
        <f t="shared" si="1"/>
        <v>5.1586628202952657E-2</v>
      </c>
      <c r="M10" s="25">
        <v>55.89</v>
      </c>
      <c r="N10" s="5" t="s">
        <v>692</v>
      </c>
      <c r="O10" s="5" t="s">
        <v>24</v>
      </c>
      <c r="P10" s="3">
        <v>13</v>
      </c>
      <c r="Q10" s="3">
        <v>3</v>
      </c>
      <c r="R10" s="5" t="b">
        <v>0</v>
      </c>
      <c r="S10" s="5" t="str">
        <f t="shared" si="2"/>
        <v>New Customer</v>
      </c>
      <c r="T10" s="3">
        <v>14</v>
      </c>
      <c r="U10" s="12" t="str">
        <f t="shared" si="3"/>
        <v>Slow</v>
      </c>
      <c r="V10" s="10" t="str">
        <f t="shared" si="4"/>
        <v>26-35</v>
      </c>
      <c r="W10" s="3">
        <v>3</v>
      </c>
      <c r="Z10" s="37"/>
      <c r="AA10" s="38"/>
      <c r="AB10" s="38"/>
      <c r="AC10" s="38"/>
      <c r="AD10" s="38"/>
      <c r="AE10" s="39"/>
    </row>
    <row r="11" spans="1:32">
      <c r="A11" s="5" t="s">
        <v>697</v>
      </c>
      <c r="B11" s="5" t="s">
        <v>698</v>
      </c>
      <c r="C11" s="6">
        <v>44979</v>
      </c>
      <c r="D11" s="8">
        <v>41</v>
      </c>
      <c r="E11" s="5" t="s">
        <v>20</v>
      </c>
      <c r="F11" s="5" t="s">
        <v>76</v>
      </c>
      <c r="G11" s="5" t="s">
        <v>56</v>
      </c>
      <c r="H11" s="7">
        <v>114.37</v>
      </c>
      <c r="I11" s="3">
        <v>2</v>
      </c>
      <c r="J11" s="33">
        <f t="shared" si="0"/>
        <v>228.74</v>
      </c>
      <c r="K11" s="4">
        <v>13.61</v>
      </c>
      <c r="L11" s="9">
        <f t="shared" si="1"/>
        <v>5.9499868846725534E-2</v>
      </c>
      <c r="M11" s="25">
        <v>215.13</v>
      </c>
      <c r="N11" s="5" t="s">
        <v>692</v>
      </c>
      <c r="O11" s="5" t="s">
        <v>24</v>
      </c>
      <c r="P11" s="3">
        <v>22</v>
      </c>
      <c r="Q11" s="3">
        <v>9</v>
      </c>
      <c r="R11" s="5" t="b">
        <v>1</v>
      </c>
      <c r="S11" s="5" t="str">
        <f t="shared" si="2"/>
        <v>Returning Customer</v>
      </c>
      <c r="T11" s="3">
        <v>5</v>
      </c>
      <c r="U11" s="12" t="str">
        <f t="shared" si="3"/>
        <v>Standard</v>
      </c>
      <c r="V11" s="10" t="str">
        <f t="shared" si="4"/>
        <v>36-45</v>
      </c>
      <c r="W11" s="3">
        <v>5</v>
      </c>
    </row>
    <row r="12" spans="1:32" ht="15" customHeight="1">
      <c r="A12" s="5" t="s">
        <v>699</v>
      </c>
      <c r="B12" s="5" t="s">
        <v>700</v>
      </c>
      <c r="C12" s="6">
        <v>45273</v>
      </c>
      <c r="D12" s="8">
        <v>29</v>
      </c>
      <c r="E12" s="5" t="s">
        <v>20</v>
      </c>
      <c r="F12" s="5" t="s">
        <v>76</v>
      </c>
      <c r="G12" s="5" t="s">
        <v>64</v>
      </c>
      <c r="H12" s="7">
        <v>770.72</v>
      </c>
      <c r="I12" s="3">
        <v>1</v>
      </c>
      <c r="J12" s="33">
        <f>H12*I12</f>
        <v>770.72</v>
      </c>
      <c r="K12" s="4">
        <v>0</v>
      </c>
      <c r="L12" s="9">
        <f>IF(J12=0,0,K12/J12)</f>
        <v>0</v>
      </c>
      <c r="M12" s="25">
        <v>770.72</v>
      </c>
      <c r="N12" s="5" t="s">
        <v>692</v>
      </c>
      <c r="O12" s="5" t="s">
        <v>33</v>
      </c>
      <c r="P12" s="3">
        <v>11</v>
      </c>
      <c r="Q12" s="3">
        <v>8</v>
      </c>
      <c r="R12" s="5" t="b">
        <v>1</v>
      </c>
      <c r="S12" s="5" t="str">
        <f>IF(R12=TRUE,"Returning Customer","New Customer")</f>
        <v>Returning Customer</v>
      </c>
      <c r="T12" s="3">
        <v>11</v>
      </c>
      <c r="U12" s="12" t="str">
        <f>IF(T12&lt;=3,"Fast",IF(T12&lt;=7,"Standard",IF(T12&lt;=14,"Slow","Very Slow")))</f>
        <v>Slow</v>
      </c>
      <c r="V12" s="10" t="str">
        <f>IF(D12&lt;=25,"18-25",IF(D12&lt;=35,"26-35",IF(D12&lt;=45,"36-45",IF(D12&lt;=55,"46-55",IF(D12&lt;=65,"56-65","66-75")))))</f>
        <v>26-35</v>
      </c>
      <c r="W12" s="3">
        <v>4</v>
      </c>
      <c r="Z12" s="72" t="s">
        <v>1476</v>
      </c>
      <c r="AA12" s="73"/>
      <c r="AB12" s="73"/>
      <c r="AC12" s="73"/>
      <c r="AD12" s="73"/>
      <c r="AE12" s="74"/>
    </row>
    <row r="13" spans="1:32">
      <c r="A13" s="5" t="s">
        <v>701</v>
      </c>
      <c r="B13" s="5" t="s">
        <v>702</v>
      </c>
      <c r="C13" s="6">
        <v>45306</v>
      </c>
      <c r="D13" s="8">
        <v>29</v>
      </c>
      <c r="E13" s="5" t="s">
        <v>122</v>
      </c>
      <c r="F13" s="5" t="s">
        <v>32</v>
      </c>
      <c r="G13" s="5" t="s">
        <v>28</v>
      </c>
      <c r="H13" s="7">
        <v>218.03</v>
      </c>
      <c r="I13" s="3">
        <v>5</v>
      </c>
      <c r="J13" s="33">
        <f>H13*I13</f>
        <v>1090.1500000000001</v>
      </c>
      <c r="K13" s="4">
        <v>0</v>
      </c>
      <c r="L13" s="9">
        <f>IF(J13=0,0,K13/J13)</f>
        <v>0</v>
      </c>
      <c r="M13" s="25">
        <v>1090.1500000000001</v>
      </c>
      <c r="N13" s="5" t="s">
        <v>692</v>
      </c>
      <c r="O13" s="5" t="s">
        <v>33</v>
      </c>
      <c r="P13" s="3">
        <v>3</v>
      </c>
      <c r="Q13" s="3">
        <v>8</v>
      </c>
      <c r="R13" s="5" t="b">
        <v>0</v>
      </c>
      <c r="S13" s="5" t="str">
        <f>IF(R13=TRUE,"Returning Customer","New Customer")</f>
        <v>New Customer</v>
      </c>
      <c r="T13" s="3">
        <v>4</v>
      </c>
      <c r="U13" s="12" t="str">
        <f>IF(T13&lt;=3,"Fast",IF(T13&lt;=7,"Standard",IF(T13&lt;=14,"Slow","Very Slow")))</f>
        <v>Standard</v>
      </c>
      <c r="V13" s="10" t="str">
        <f>IF(D13&lt;=25,"18-25",IF(D13&lt;=35,"26-35",IF(D13&lt;=45,"36-45",IF(D13&lt;=55,"46-55",IF(D13&lt;=65,"56-65","66-75")))))</f>
        <v>26-35</v>
      </c>
      <c r="W13" s="3">
        <v>3</v>
      </c>
      <c r="Z13" s="75"/>
      <c r="AA13" s="76"/>
      <c r="AB13" s="76"/>
      <c r="AC13" s="76"/>
      <c r="AD13" s="76"/>
      <c r="AE13" s="77"/>
    </row>
    <row r="14" spans="1:32">
      <c r="A14" s="5" t="s">
        <v>334</v>
      </c>
      <c r="B14" s="5" t="s">
        <v>335</v>
      </c>
      <c r="C14" s="6">
        <v>45206</v>
      </c>
      <c r="D14" s="8">
        <v>37</v>
      </c>
      <c r="E14" s="5" t="s">
        <v>36</v>
      </c>
      <c r="F14" s="5" t="s">
        <v>32</v>
      </c>
      <c r="G14" s="5" t="s">
        <v>115</v>
      </c>
      <c r="H14" s="7">
        <v>53.73</v>
      </c>
      <c r="I14" s="3">
        <v>1</v>
      </c>
      <c r="J14" s="33">
        <f>H14*I14</f>
        <v>53.73</v>
      </c>
      <c r="K14" s="4">
        <v>0</v>
      </c>
      <c r="L14" s="9">
        <f>IF(J14=0,0,K14/J14)</f>
        <v>0</v>
      </c>
      <c r="M14" s="25">
        <v>53.73</v>
      </c>
      <c r="N14" s="5" t="s">
        <v>327</v>
      </c>
      <c r="O14" s="5" t="s">
        <v>24</v>
      </c>
      <c r="P14" s="3">
        <v>3</v>
      </c>
      <c r="Q14" s="3">
        <v>6</v>
      </c>
      <c r="R14" s="5" t="b">
        <v>1</v>
      </c>
      <c r="S14" s="5" t="str">
        <f>IF(R14=TRUE,"Returning Customer","New Customer")</f>
        <v>Returning Customer</v>
      </c>
      <c r="T14" s="3">
        <v>10</v>
      </c>
      <c r="U14" s="12" t="str">
        <f>IF(T14&lt;=3,"Fast",IF(T14&lt;=7,"Standard",IF(T14&lt;=14,"Slow","Very Slow")))</f>
        <v>Slow</v>
      </c>
      <c r="V14" s="10" t="str">
        <f>IF(D14&lt;=25,"18-25",IF(D14&lt;=35,"26-35",IF(D14&lt;=45,"36-45",IF(D14&lt;=55,"46-55",IF(D14&lt;=65,"56-65","66-75")))))</f>
        <v>36-45</v>
      </c>
      <c r="W14" s="3">
        <v>4</v>
      </c>
      <c r="Z14" s="75"/>
      <c r="AA14" s="76"/>
      <c r="AB14" s="76"/>
      <c r="AC14" s="76"/>
      <c r="AD14" s="76"/>
      <c r="AE14" s="77"/>
    </row>
    <row r="15" spans="1:32">
      <c r="A15" s="5" t="s">
        <v>703</v>
      </c>
      <c r="B15" s="5" t="s">
        <v>704</v>
      </c>
      <c r="C15" s="6">
        <v>44971</v>
      </c>
      <c r="D15" s="8">
        <v>18</v>
      </c>
      <c r="E15" s="5" t="s">
        <v>36</v>
      </c>
      <c r="F15" s="5" t="s">
        <v>88</v>
      </c>
      <c r="G15" s="5" t="s">
        <v>115</v>
      </c>
      <c r="H15" s="7">
        <v>30.18</v>
      </c>
      <c r="I15" s="3">
        <v>1</v>
      </c>
      <c r="J15" s="33">
        <f>H15*I15</f>
        <v>30.18</v>
      </c>
      <c r="K15" s="4">
        <v>0</v>
      </c>
      <c r="L15" s="9">
        <f>IF(J15=0,0,K15/J15)</f>
        <v>0</v>
      </c>
      <c r="M15" s="25">
        <v>30.18</v>
      </c>
      <c r="N15" s="5" t="s">
        <v>692</v>
      </c>
      <c r="O15" s="5" t="s">
        <v>24</v>
      </c>
      <c r="P15" s="3">
        <v>9</v>
      </c>
      <c r="Q15" s="3">
        <v>9</v>
      </c>
      <c r="R15" s="5" t="b">
        <v>1</v>
      </c>
      <c r="S15" s="5" t="str">
        <f>IF(R15=TRUE,"Returning Customer","New Customer")</f>
        <v>Returning Customer</v>
      </c>
      <c r="T15" s="3">
        <v>14</v>
      </c>
      <c r="U15" s="12" t="str">
        <f>IF(T15&lt;=3,"Fast",IF(T15&lt;=7,"Standard",IF(T15&lt;=14,"Slow","Very Slow")))</f>
        <v>Slow</v>
      </c>
      <c r="V15" s="10" t="str">
        <f>IF(D15&lt;=25,"18-25",IF(D15&lt;=35,"26-35",IF(D15&lt;=45,"36-45",IF(D15&lt;=55,"46-55",IF(D15&lt;=65,"56-65","66-75")))))</f>
        <v>18-25</v>
      </c>
      <c r="W15" s="3">
        <v>3</v>
      </c>
      <c r="Z15" s="75"/>
      <c r="AA15" s="76"/>
      <c r="AB15" s="76"/>
      <c r="AC15" s="76"/>
      <c r="AD15" s="76"/>
      <c r="AE15" s="77"/>
    </row>
    <row r="16" spans="1:32">
      <c r="A16" s="5" t="s">
        <v>705</v>
      </c>
      <c r="B16" s="5" t="s">
        <v>706</v>
      </c>
      <c r="C16" s="6">
        <v>45229</v>
      </c>
      <c r="D16" s="8">
        <v>18</v>
      </c>
      <c r="E16" s="5" t="s">
        <v>20</v>
      </c>
      <c r="F16" s="5" t="s">
        <v>52</v>
      </c>
      <c r="G16" s="5" t="s">
        <v>46</v>
      </c>
      <c r="H16" s="7">
        <v>284.16000000000003</v>
      </c>
      <c r="I16" s="3">
        <v>1</v>
      </c>
      <c r="J16" s="33">
        <f>H16*I16</f>
        <v>284.16000000000003</v>
      </c>
      <c r="K16" s="4">
        <v>0</v>
      </c>
      <c r="L16" s="9">
        <f>IF(J16=0,0,K16/J16)</f>
        <v>0</v>
      </c>
      <c r="M16" s="25">
        <v>284.16000000000003</v>
      </c>
      <c r="N16" s="5" t="s">
        <v>692</v>
      </c>
      <c r="O16" s="5" t="s">
        <v>33</v>
      </c>
      <c r="P16" s="3">
        <v>12</v>
      </c>
      <c r="Q16" s="3">
        <v>16</v>
      </c>
      <c r="R16" s="5" t="b">
        <v>0</v>
      </c>
      <c r="S16" s="5" t="str">
        <f>IF(R16=TRUE,"Returning Customer","New Customer")</f>
        <v>New Customer</v>
      </c>
      <c r="T16" s="3">
        <v>2</v>
      </c>
      <c r="U16" s="12" t="str">
        <f>IF(T16&lt;=3,"Fast",IF(T16&lt;=7,"Standard",IF(T16&lt;=14,"Slow","Very Slow")))</f>
        <v>Fast</v>
      </c>
      <c r="V16" s="10" t="str">
        <f>IF(D16&lt;=25,"18-25",IF(D16&lt;=35,"26-35",IF(D16&lt;=45,"36-45",IF(D16&lt;=55,"46-55",IF(D16&lt;=65,"56-65","66-75")))))</f>
        <v>18-25</v>
      </c>
      <c r="W16" s="3">
        <v>3</v>
      </c>
      <c r="Z16" s="78"/>
      <c r="AA16" s="79"/>
      <c r="AB16" s="79"/>
      <c r="AC16" s="79"/>
      <c r="AD16" s="79"/>
      <c r="AE16" s="80"/>
    </row>
    <row r="17" spans="1:23">
      <c r="A17" s="5" t="s">
        <v>1301</v>
      </c>
      <c r="B17" s="5" t="s">
        <v>1302</v>
      </c>
      <c r="C17" s="6">
        <v>45143</v>
      </c>
      <c r="D17" s="8">
        <v>28</v>
      </c>
      <c r="E17" s="5" t="s">
        <v>36</v>
      </c>
      <c r="F17" s="5" t="s">
        <v>32</v>
      </c>
      <c r="G17" s="5" t="s">
        <v>28</v>
      </c>
      <c r="H17" s="7">
        <v>176.15</v>
      </c>
      <c r="I17" s="3">
        <v>5</v>
      </c>
      <c r="J17" s="33">
        <f>H17*I17</f>
        <v>880.75</v>
      </c>
      <c r="K17" s="4">
        <v>12.35</v>
      </c>
      <c r="L17" s="9">
        <f>IF(J17=0,0,K17/J17)</f>
        <v>1.4022140221402213E-2</v>
      </c>
      <c r="M17" s="25">
        <v>868.4</v>
      </c>
      <c r="N17" s="5" t="s">
        <v>1298</v>
      </c>
      <c r="O17" s="5" t="s">
        <v>29</v>
      </c>
      <c r="P17" s="3">
        <v>10</v>
      </c>
      <c r="Q17" s="3">
        <v>9</v>
      </c>
      <c r="R17" s="5" t="b">
        <v>1</v>
      </c>
      <c r="S17" s="5" t="str">
        <f>IF(R17=TRUE,"Returning Customer","New Customer")</f>
        <v>Returning Customer</v>
      </c>
      <c r="T17" s="3">
        <v>3</v>
      </c>
      <c r="U17" s="12" t="str">
        <f>IF(T17&lt;=3,"Fast",IF(T17&lt;=7,"Standard",IF(T17&lt;=14,"Slow","Very Slow")))</f>
        <v>Fast</v>
      </c>
      <c r="V17" s="10" t="str">
        <f>IF(D17&lt;=25,"18-25",IF(D17&lt;=35,"26-35",IF(D17&lt;=45,"36-45",IF(D17&lt;=55,"46-55",IF(D17&lt;=65,"56-65","66-75")))))</f>
        <v>26-35</v>
      </c>
      <c r="W17" s="3">
        <v>3</v>
      </c>
    </row>
    <row r="18" spans="1:23">
      <c r="A18" s="5" t="s">
        <v>1303</v>
      </c>
      <c r="B18" s="5" t="s">
        <v>1304</v>
      </c>
      <c r="C18" s="6">
        <v>44943</v>
      </c>
      <c r="D18" s="8">
        <v>22</v>
      </c>
      <c r="E18" s="5" t="s">
        <v>20</v>
      </c>
      <c r="F18" s="5" t="s">
        <v>52</v>
      </c>
      <c r="G18" s="5" t="s">
        <v>37</v>
      </c>
      <c r="H18" s="7">
        <v>67.22</v>
      </c>
      <c r="I18" s="3">
        <v>1</v>
      </c>
      <c r="J18" s="33">
        <f>H18*I18</f>
        <v>67.22</v>
      </c>
      <c r="K18" s="4">
        <v>0</v>
      </c>
      <c r="L18" s="9">
        <f>IF(J18=0,0,K18/J18)</f>
        <v>0</v>
      </c>
      <c r="M18" s="25">
        <v>67.22</v>
      </c>
      <c r="N18" s="5" t="s">
        <v>1298</v>
      </c>
      <c r="O18" s="5" t="s">
        <v>33</v>
      </c>
      <c r="P18" s="3">
        <v>3</v>
      </c>
      <c r="Q18" s="3">
        <v>8</v>
      </c>
      <c r="R18" s="5" t="b">
        <v>1</v>
      </c>
      <c r="S18" s="5" t="str">
        <f>IF(R18=TRUE,"Returning Customer","New Customer")</f>
        <v>Returning Customer</v>
      </c>
      <c r="T18" s="3">
        <v>6</v>
      </c>
      <c r="U18" s="12" t="str">
        <f>IF(T18&lt;=3,"Fast",IF(T18&lt;=7,"Standard",IF(T18&lt;=14,"Slow","Very Slow")))</f>
        <v>Standard</v>
      </c>
      <c r="V18" s="10" t="str">
        <f>IF(D18&lt;=25,"18-25",IF(D18&lt;=35,"26-35",IF(D18&lt;=45,"36-45",IF(D18&lt;=55,"46-55",IF(D18&lt;=65,"56-65","66-75")))))</f>
        <v>18-25</v>
      </c>
      <c r="W18" s="3">
        <v>5</v>
      </c>
    </row>
    <row r="19" spans="1:23">
      <c r="A19" s="5" t="s">
        <v>1305</v>
      </c>
      <c r="B19" s="5" t="s">
        <v>1306</v>
      </c>
      <c r="C19" s="6">
        <v>44942</v>
      </c>
      <c r="D19" s="8">
        <v>38</v>
      </c>
      <c r="E19" s="5" t="s">
        <v>36</v>
      </c>
      <c r="F19" s="5" t="s">
        <v>73</v>
      </c>
      <c r="G19" s="5" t="s">
        <v>22</v>
      </c>
      <c r="H19" s="7">
        <v>198.21</v>
      </c>
      <c r="I19" s="3">
        <v>1</v>
      </c>
      <c r="J19" s="33">
        <f>H19*I19</f>
        <v>198.21</v>
      </c>
      <c r="K19" s="4">
        <v>0</v>
      </c>
      <c r="L19" s="9">
        <f>IF(J19=0,0,K19/J19)</f>
        <v>0</v>
      </c>
      <c r="M19" s="25">
        <v>198.21</v>
      </c>
      <c r="N19" s="5" t="s">
        <v>1298</v>
      </c>
      <c r="O19" s="5" t="s">
        <v>24</v>
      </c>
      <c r="P19" s="3">
        <v>20</v>
      </c>
      <c r="Q19" s="3">
        <v>6</v>
      </c>
      <c r="R19" s="5" t="b">
        <v>1</v>
      </c>
      <c r="S19" s="5" t="str">
        <f>IF(R19=TRUE,"Returning Customer","New Customer")</f>
        <v>Returning Customer</v>
      </c>
      <c r="T19" s="3">
        <v>2</v>
      </c>
      <c r="U19" s="12" t="str">
        <f>IF(T19&lt;=3,"Fast",IF(T19&lt;=7,"Standard",IF(T19&lt;=14,"Slow","Very Slow")))</f>
        <v>Fast</v>
      </c>
      <c r="V19" s="10" t="str">
        <f>IF(D19&lt;=25,"18-25",IF(D19&lt;=35,"26-35",IF(D19&lt;=45,"36-45",IF(D19&lt;=55,"46-55",IF(D19&lt;=65,"56-65","66-75")))))</f>
        <v>36-45</v>
      </c>
      <c r="W19" s="3">
        <v>2</v>
      </c>
    </row>
    <row r="20" spans="1:23">
      <c r="A20" s="5" t="s">
        <v>707</v>
      </c>
      <c r="B20" s="5" t="s">
        <v>708</v>
      </c>
      <c r="C20" s="6">
        <v>44974</v>
      </c>
      <c r="D20" s="8">
        <v>24</v>
      </c>
      <c r="E20" s="5" t="s">
        <v>36</v>
      </c>
      <c r="F20" s="5" t="s">
        <v>59</v>
      </c>
      <c r="G20" s="5" t="s">
        <v>64</v>
      </c>
      <c r="H20" s="7">
        <v>380.59</v>
      </c>
      <c r="I20" s="3">
        <v>1</v>
      </c>
      <c r="J20" s="33">
        <f>H20*I20</f>
        <v>380.59</v>
      </c>
      <c r="K20" s="4">
        <v>59.02</v>
      </c>
      <c r="L20" s="9">
        <f>IF(J20=0,0,K20/J20)</f>
        <v>0.15507501510812161</v>
      </c>
      <c r="M20" s="25">
        <v>321.57</v>
      </c>
      <c r="N20" s="5" t="s">
        <v>692</v>
      </c>
      <c r="O20" s="5" t="s">
        <v>24</v>
      </c>
      <c r="P20" s="3">
        <v>8</v>
      </c>
      <c r="Q20" s="3">
        <v>10</v>
      </c>
      <c r="R20" s="5" t="b">
        <v>1</v>
      </c>
      <c r="S20" s="5" t="str">
        <f>IF(R20=TRUE,"Returning Customer","New Customer")</f>
        <v>Returning Customer</v>
      </c>
      <c r="T20" s="3">
        <v>4</v>
      </c>
      <c r="U20" s="12" t="str">
        <f>IF(T20&lt;=3,"Fast",IF(T20&lt;=7,"Standard",IF(T20&lt;=14,"Slow","Very Slow")))</f>
        <v>Standard</v>
      </c>
      <c r="V20" s="10" t="str">
        <f>IF(D20&lt;=25,"18-25",IF(D20&lt;=35,"26-35",IF(D20&lt;=45,"36-45",IF(D20&lt;=55,"46-55",IF(D20&lt;=65,"56-65","66-75")))))</f>
        <v>18-25</v>
      </c>
      <c r="W20" s="3">
        <v>5</v>
      </c>
    </row>
    <row r="21" spans="1:23">
      <c r="A21" s="5" t="s">
        <v>709</v>
      </c>
      <c r="B21" s="5" t="s">
        <v>710</v>
      </c>
      <c r="C21" s="6">
        <v>45038</v>
      </c>
      <c r="D21" s="8">
        <v>18</v>
      </c>
      <c r="E21" s="5" t="s">
        <v>36</v>
      </c>
      <c r="F21" s="5" t="s">
        <v>32</v>
      </c>
      <c r="G21" s="5" t="s">
        <v>28</v>
      </c>
      <c r="H21" s="7">
        <v>303.91000000000003</v>
      </c>
      <c r="I21" s="3">
        <v>1</v>
      </c>
      <c r="J21" s="33">
        <f>H21*I21</f>
        <v>303.91000000000003</v>
      </c>
      <c r="K21" s="4">
        <v>0</v>
      </c>
      <c r="L21" s="9">
        <f>IF(J21=0,0,K21/J21)</f>
        <v>0</v>
      </c>
      <c r="M21" s="25">
        <v>303.91000000000003</v>
      </c>
      <c r="N21" s="5" t="s">
        <v>692</v>
      </c>
      <c r="O21" s="5" t="s">
        <v>24</v>
      </c>
      <c r="P21" s="3">
        <v>9</v>
      </c>
      <c r="Q21" s="3">
        <v>4</v>
      </c>
      <c r="R21" s="5" t="b">
        <v>1</v>
      </c>
      <c r="S21" s="5" t="str">
        <f>IF(R21=TRUE,"Returning Customer","New Customer")</f>
        <v>Returning Customer</v>
      </c>
      <c r="T21" s="3">
        <v>6</v>
      </c>
      <c r="U21" s="12" t="str">
        <f>IF(T21&lt;=3,"Fast",IF(T21&lt;=7,"Standard",IF(T21&lt;=14,"Slow","Very Slow")))</f>
        <v>Standard</v>
      </c>
      <c r="V21" s="10" t="str">
        <f>IF(D21&lt;=25,"18-25",IF(D21&lt;=35,"26-35",IF(D21&lt;=45,"36-45",IF(D21&lt;=55,"46-55",IF(D21&lt;=65,"56-65","66-75")))))</f>
        <v>18-25</v>
      </c>
      <c r="W21" s="3">
        <v>1</v>
      </c>
    </row>
    <row r="22" spans="1:23">
      <c r="A22" s="5" t="s">
        <v>711</v>
      </c>
      <c r="B22" s="5" t="s">
        <v>712</v>
      </c>
      <c r="C22" s="6">
        <v>45046</v>
      </c>
      <c r="D22" s="8">
        <v>52</v>
      </c>
      <c r="E22" s="5" t="s">
        <v>36</v>
      </c>
      <c r="F22" s="5" t="s">
        <v>32</v>
      </c>
      <c r="G22" s="5" t="s">
        <v>22</v>
      </c>
      <c r="H22" s="7">
        <v>533.41</v>
      </c>
      <c r="I22" s="3">
        <v>1</v>
      </c>
      <c r="J22" s="33">
        <f>H22*I22</f>
        <v>533.41</v>
      </c>
      <c r="K22" s="4">
        <v>84.22</v>
      </c>
      <c r="L22" s="9">
        <f>IF(J22=0,0,K22/J22)</f>
        <v>0.15788980334076977</v>
      </c>
      <c r="M22" s="25">
        <v>449.19</v>
      </c>
      <c r="N22" s="5" t="s">
        <v>692</v>
      </c>
      <c r="O22" s="5" t="s">
        <v>33</v>
      </c>
      <c r="P22" s="3">
        <v>14</v>
      </c>
      <c r="Q22" s="3">
        <v>6</v>
      </c>
      <c r="R22" s="5" t="b">
        <v>0</v>
      </c>
      <c r="S22" s="5" t="str">
        <f>IF(R22=TRUE,"Returning Customer","New Customer")</f>
        <v>New Customer</v>
      </c>
      <c r="T22" s="3">
        <v>2</v>
      </c>
      <c r="U22" s="12" t="str">
        <f>IF(T22&lt;=3,"Fast",IF(T22&lt;=7,"Standard",IF(T22&lt;=14,"Slow","Very Slow")))</f>
        <v>Fast</v>
      </c>
      <c r="V22" s="10" t="str">
        <f>IF(D22&lt;=25,"18-25",IF(D22&lt;=35,"26-35",IF(D22&lt;=45,"36-45",IF(D22&lt;=55,"46-55",IF(D22&lt;=65,"56-65","66-75")))))</f>
        <v>46-55</v>
      </c>
      <c r="W22" s="3">
        <v>5</v>
      </c>
    </row>
    <row r="23" spans="1:23">
      <c r="A23" s="5" t="s">
        <v>713</v>
      </c>
      <c r="B23" s="5" t="s">
        <v>714</v>
      </c>
      <c r="C23" s="6">
        <v>45185</v>
      </c>
      <c r="D23" s="8">
        <v>32</v>
      </c>
      <c r="E23" s="5" t="s">
        <v>20</v>
      </c>
      <c r="F23" s="5" t="s">
        <v>76</v>
      </c>
      <c r="G23" s="5" t="s">
        <v>53</v>
      </c>
      <c r="H23" s="7">
        <v>28.95</v>
      </c>
      <c r="I23" s="3">
        <v>1</v>
      </c>
      <c r="J23" s="33">
        <f>H23*I23</f>
        <v>28.95</v>
      </c>
      <c r="K23" s="4">
        <v>2.72</v>
      </c>
      <c r="L23" s="9">
        <f>IF(J23=0,0,K23/J23)</f>
        <v>9.3955094991364424E-2</v>
      </c>
      <c r="M23" s="25">
        <v>26.23</v>
      </c>
      <c r="N23" s="5" t="s">
        <v>692</v>
      </c>
      <c r="O23" s="5" t="s">
        <v>33</v>
      </c>
      <c r="P23" s="3">
        <v>15</v>
      </c>
      <c r="Q23" s="3">
        <v>10</v>
      </c>
      <c r="R23" s="5" t="b">
        <v>0</v>
      </c>
      <c r="S23" s="5" t="str">
        <f>IF(R23=TRUE,"Returning Customer","New Customer")</f>
        <v>New Customer</v>
      </c>
      <c r="T23" s="3">
        <v>2</v>
      </c>
      <c r="U23" s="12" t="str">
        <f>IF(T23&lt;=3,"Fast",IF(T23&lt;=7,"Standard",IF(T23&lt;=14,"Slow","Very Slow")))</f>
        <v>Fast</v>
      </c>
      <c r="V23" s="10" t="str">
        <f>IF(D23&lt;=25,"18-25",IF(D23&lt;=35,"26-35",IF(D23&lt;=45,"36-45",IF(D23&lt;=55,"46-55",IF(D23&lt;=65,"56-65","66-75")))))</f>
        <v>26-35</v>
      </c>
      <c r="W23" s="3">
        <v>5</v>
      </c>
    </row>
    <row r="24" spans="1:23">
      <c r="A24" s="5" t="s">
        <v>715</v>
      </c>
      <c r="B24" s="5" t="s">
        <v>716</v>
      </c>
      <c r="C24" s="6">
        <v>45235</v>
      </c>
      <c r="D24" s="8">
        <v>35</v>
      </c>
      <c r="E24" s="5" t="s">
        <v>36</v>
      </c>
      <c r="F24" s="5" t="s">
        <v>27</v>
      </c>
      <c r="G24" s="5" t="s">
        <v>46</v>
      </c>
      <c r="H24" s="7">
        <v>331.18</v>
      </c>
      <c r="I24" s="3">
        <v>1</v>
      </c>
      <c r="J24" s="33">
        <f>H24*I24</f>
        <v>331.18</v>
      </c>
      <c r="K24" s="4">
        <v>85.23</v>
      </c>
      <c r="L24" s="9">
        <f>IF(J24=0,0,K24/J24)</f>
        <v>0.25735249713146929</v>
      </c>
      <c r="M24" s="25">
        <v>245.95</v>
      </c>
      <c r="N24" s="5" t="s">
        <v>692</v>
      </c>
      <c r="O24" s="5" t="s">
        <v>33</v>
      </c>
      <c r="P24" s="3">
        <v>7</v>
      </c>
      <c r="Q24" s="3">
        <v>9</v>
      </c>
      <c r="R24" s="5" t="b">
        <v>1</v>
      </c>
      <c r="S24" s="5" t="str">
        <f>IF(R24=TRUE,"Returning Customer","New Customer")</f>
        <v>Returning Customer</v>
      </c>
      <c r="T24" s="3">
        <v>3</v>
      </c>
      <c r="U24" s="12" t="str">
        <f>IF(T24&lt;=3,"Fast",IF(T24&lt;=7,"Standard",IF(T24&lt;=14,"Slow","Very Slow")))</f>
        <v>Fast</v>
      </c>
      <c r="V24" s="10" t="str">
        <f>IF(D24&lt;=25,"18-25",IF(D24&lt;=35,"26-35",IF(D24&lt;=45,"36-45",IF(D24&lt;=55,"46-55",IF(D24&lt;=65,"56-65","66-75")))))</f>
        <v>26-35</v>
      </c>
      <c r="W24" s="3">
        <v>5</v>
      </c>
    </row>
    <row r="25" spans="1:23">
      <c r="A25" s="5" t="s">
        <v>1307</v>
      </c>
      <c r="B25" s="5" t="s">
        <v>1308</v>
      </c>
      <c r="C25" s="6">
        <v>44940</v>
      </c>
      <c r="D25" s="8">
        <v>18</v>
      </c>
      <c r="E25" s="5" t="s">
        <v>36</v>
      </c>
      <c r="F25" s="5" t="s">
        <v>73</v>
      </c>
      <c r="G25" s="5" t="s">
        <v>46</v>
      </c>
      <c r="H25" s="7">
        <v>79.59</v>
      </c>
      <c r="I25" s="3">
        <v>1</v>
      </c>
      <c r="J25" s="33">
        <f>H25*I25</f>
        <v>79.59</v>
      </c>
      <c r="K25" s="4">
        <v>0</v>
      </c>
      <c r="L25" s="9">
        <f>IF(J25=0,0,K25/J25)</f>
        <v>0</v>
      </c>
      <c r="M25" s="25">
        <v>79.59</v>
      </c>
      <c r="N25" s="5" t="s">
        <v>1298</v>
      </c>
      <c r="O25" s="5" t="s">
        <v>33</v>
      </c>
      <c r="P25" s="3">
        <v>6</v>
      </c>
      <c r="Q25" s="3">
        <v>11</v>
      </c>
      <c r="R25" s="5" t="b">
        <v>0</v>
      </c>
      <c r="S25" s="5" t="str">
        <f>IF(R25=TRUE,"Returning Customer","New Customer")</f>
        <v>New Customer</v>
      </c>
      <c r="T25" s="3">
        <v>4</v>
      </c>
      <c r="U25" s="12" t="str">
        <f>IF(T25&lt;=3,"Fast",IF(T25&lt;=7,"Standard",IF(T25&lt;=14,"Slow","Very Slow")))</f>
        <v>Standard</v>
      </c>
      <c r="V25" s="10" t="str">
        <f>IF(D25&lt;=25,"18-25",IF(D25&lt;=35,"26-35",IF(D25&lt;=45,"36-45",IF(D25&lt;=55,"46-55",IF(D25&lt;=65,"56-65","66-75")))))</f>
        <v>18-25</v>
      </c>
      <c r="W25" s="3">
        <v>3</v>
      </c>
    </row>
    <row r="26" spans="1:23">
      <c r="A26" s="5" t="s">
        <v>1229</v>
      </c>
      <c r="B26" s="5" t="s">
        <v>1230</v>
      </c>
      <c r="C26" s="6">
        <v>45214</v>
      </c>
      <c r="D26" s="8">
        <v>28</v>
      </c>
      <c r="E26" s="5" t="s">
        <v>20</v>
      </c>
      <c r="F26" s="5" t="s">
        <v>27</v>
      </c>
      <c r="G26" s="5" t="s">
        <v>53</v>
      </c>
      <c r="H26" s="7">
        <v>89.32</v>
      </c>
      <c r="I26" s="3">
        <v>1</v>
      </c>
      <c r="J26" s="33">
        <f>H26*I26</f>
        <v>89.32</v>
      </c>
      <c r="K26" s="4">
        <v>0</v>
      </c>
      <c r="L26" s="9">
        <f>IF(J26=0,0,K26/J26)</f>
        <v>0</v>
      </c>
      <c r="M26" s="25">
        <v>89.32</v>
      </c>
      <c r="N26" s="5" t="s">
        <v>1231</v>
      </c>
      <c r="O26" s="5" t="s">
        <v>33</v>
      </c>
      <c r="P26" s="3">
        <v>4</v>
      </c>
      <c r="Q26" s="3">
        <v>6</v>
      </c>
      <c r="R26" s="5" t="b">
        <v>1</v>
      </c>
      <c r="S26" s="5" t="str">
        <f>IF(R26=TRUE,"Returning Customer","New Customer")</f>
        <v>Returning Customer</v>
      </c>
      <c r="T26" s="3">
        <v>10</v>
      </c>
      <c r="U26" s="12" t="str">
        <f>IF(T26&lt;=3,"Fast",IF(T26&lt;=7,"Standard",IF(T26&lt;=14,"Slow","Very Slow")))</f>
        <v>Slow</v>
      </c>
      <c r="V26" s="10" t="str">
        <f>IF(D26&lt;=25,"18-25",IF(D26&lt;=35,"26-35",IF(D26&lt;=45,"36-45",IF(D26&lt;=55,"46-55",IF(D26&lt;=65,"56-65","66-75")))))</f>
        <v>26-35</v>
      </c>
      <c r="W26" s="3">
        <v>5</v>
      </c>
    </row>
    <row r="27" spans="1:23">
      <c r="A27" s="5" t="s">
        <v>18</v>
      </c>
      <c r="B27" s="5" t="s">
        <v>19</v>
      </c>
      <c r="C27" s="6">
        <v>45028</v>
      </c>
      <c r="D27" s="8">
        <v>36</v>
      </c>
      <c r="E27" s="5" t="s">
        <v>20</v>
      </c>
      <c r="F27" s="5" t="s">
        <v>21</v>
      </c>
      <c r="G27" s="5" t="s">
        <v>22</v>
      </c>
      <c r="H27" s="7">
        <v>88.22</v>
      </c>
      <c r="I27" s="3">
        <v>2</v>
      </c>
      <c r="J27" s="33">
        <f>H27*I27</f>
        <v>176.44</v>
      </c>
      <c r="K27" s="4">
        <v>0</v>
      </c>
      <c r="L27" s="9">
        <f>IF(J27=0,0,K27/J27)</f>
        <v>0</v>
      </c>
      <c r="M27" s="25">
        <v>176.44</v>
      </c>
      <c r="N27" s="5" t="s">
        <v>23</v>
      </c>
      <c r="O27" s="5" t="s">
        <v>24</v>
      </c>
      <c r="P27" s="3">
        <v>19</v>
      </c>
      <c r="Q27" s="3">
        <v>9</v>
      </c>
      <c r="R27" s="5" t="b">
        <v>0</v>
      </c>
      <c r="S27" s="5" t="str">
        <f>IF(R27=TRUE,"Returning Customer","New Customer")</f>
        <v>New Customer</v>
      </c>
      <c r="T27" s="3">
        <v>4</v>
      </c>
      <c r="U27" s="12" t="str">
        <f>IF(T27&lt;=3,"Fast",IF(T27&lt;=7,"Standard",IF(T27&lt;=14,"Slow","Very Slow")))</f>
        <v>Standard</v>
      </c>
      <c r="V27" s="10" t="str">
        <f>IF(D27&lt;=25,"18-25",IF(D27&lt;=35,"26-35",IF(D27&lt;=45,"36-45",IF(D27&lt;=55,"46-55",IF(D27&lt;=65,"56-65","66-75")))))</f>
        <v>36-45</v>
      </c>
      <c r="W27" s="3">
        <v>2</v>
      </c>
    </row>
    <row r="28" spans="1:23">
      <c r="A28" s="5" t="s">
        <v>25</v>
      </c>
      <c r="B28" s="5" t="s">
        <v>26</v>
      </c>
      <c r="C28" s="6">
        <v>45293</v>
      </c>
      <c r="D28" s="8">
        <v>21</v>
      </c>
      <c r="E28" s="5" t="s">
        <v>20</v>
      </c>
      <c r="F28" s="5" t="s">
        <v>27</v>
      </c>
      <c r="G28" s="5" t="s">
        <v>28</v>
      </c>
      <c r="H28" s="7">
        <v>139.85</v>
      </c>
      <c r="I28" s="3">
        <v>2</v>
      </c>
      <c r="J28" s="33">
        <f>H28*I28</f>
        <v>279.7</v>
      </c>
      <c r="K28" s="4">
        <v>33.81</v>
      </c>
      <c r="L28" s="9">
        <f>IF(J28=0,0,K28/J28)</f>
        <v>0.12087951376474795</v>
      </c>
      <c r="M28" s="25">
        <v>245.89</v>
      </c>
      <c r="N28" s="5" t="s">
        <v>23</v>
      </c>
      <c r="O28" s="5" t="s">
        <v>29</v>
      </c>
      <c r="P28" s="3">
        <v>15</v>
      </c>
      <c r="Q28" s="3">
        <v>6</v>
      </c>
      <c r="R28" s="5" t="b">
        <v>0</v>
      </c>
      <c r="S28" s="5" t="str">
        <f>IF(R28=TRUE,"Returning Customer","New Customer")</f>
        <v>New Customer</v>
      </c>
      <c r="T28" s="3">
        <v>7</v>
      </c>
      <c r="U28" s="12" t="str">
        <f>IF(T28&lt;=3,"Fast",IF(T28&lt;=7,"Standard",IF(T28&lt;=14,"Slow","Very Slow")))</f>
        <v>Standard</v>
      </c>
      <c r="V28" s="10" t="str">
        <f>IF(D28&lt;=25,"18-25",IF(D28&lt;=35,"26-35",IF(D28&lt;=45,"36-45",IF(D28&lt;=55,"46-55",IF(D28&lt;=65,"56-65","66-75")))))</f>
        <v>18-25</v>
      </c>
      <c r="W28" s="3">
        <v>4</v>
      </c>
    </row>
    <row r="29" spans="1:23">
      <c r="A29" s="5" t="s">
        <v>336</v>
      </c>
      <c r="B29" s="5" t="s">
        <v>337</v>
      </c>
      <c r="C29" s="6">
        <v>45259</v>
      </c>
      <c r="D29" s="8">
        <v>39</v>
      </c>
      <c r="E29" s="5" t="s">
        <v>20</v>
      </c>
      <c r="F29" s="5" t="s">
        <v>52</v>
      </c>
      <c r="G29" s="5" t="s">
        <v>64</v>
      </c>
      <c r="H29" s="7">
        <v>604.91</v>
      </c>
      <c r="I29" s="3">
        <v>1</v>
      </c>
      <c r="J29" s="33">
        <f>H29*I29</f>
        <v>604.91</v>
      </c>
      <c r="K29" s="4">
        <v>0</v>
      </c>
      <c r="L29" s="9">
        <f>IF(J29=0,0,K29/J29)</f>
        <v>0</v>
      </c>
      <c r="M29" s="25">
        <v>604.91</v>
      </c>
      <c r="N29" s="5" t="s">
        <v>327</v>
      </c>
      <c r="O29" s="5" t="s">
        <v>24</v>
      </c>
      <c r="P29" s="3">
        <v>11</v>
      </c>
      <c r="Q29" s="3">
        <v>14</v>
      </c>
      <c r="R29" s="5" t="b">
        <v>1</v>
      </c>
      <c r="S29" s="5" t="str">
        <f>IF(R29=TRUE,"Returning Customer","New Customer")</f>
        <v>Returning Customer</v>
      </c>
      <c r="T29" s="3">
        <v>5</v>
      </c>
      <c r="U29" s="12" t="str">
        <f>IF(T29&lt;=3,"Fast",IF(T29&lt;=7,"Standard",IF(T29&lt;=14,"Slow","Very Slow")))</f>
        <v>Standard</v>
      </c>
      <c r="V29" s="10" t="str">
        <f>IF(D29&lt;=25,"18-25",IF(D29&lt;=35,"26-35",IF(D29&lt;=45,"36-45",IF(D29&lt;=55,"46-55",IF(D29&lt;=65,"56-65","66-75")))))</f>
        <v>36-45</v>
      </c>
      <c r="W29" s="3">
        <v>5</v>
      </c>
    </row>
    <row r="30" spans="1:23">
      <c r="A30" s="5" t="s">
        <v>30</v>
      </c>
      <c r="B30" s="5" t="s">
        <v>31</v>
      </c>
      <c r="C30" s="6">
        <v>45286</v>
      </c>
      <c r="D30" s="8">
        <v>27</v>
      </c>
      <c r="E30" s="5" t="s">
        <v>20</v>
      </c>
      <c r="F30" s="5" t="s">
        <v>32</v>
      </c>
      <c r="G30" s="5" t="s">
        <v>22</v>
      </c>
      <c r="H30" s="7">
        <v>230.37</v>
      </c>
      <c r="I30" s="3">
        <v>1</v>
      </c>
      <c r="J30" s="33">
        <f>H30*I30</f>
        <v>230.37</v>
      </c>
      <c r="K30" s="4">
        <v>0</v>
      </c>
      <c r="L30" s="9">
        <f>IF(J30=0,0,K30/J30)</f>
        <v>0</v>
      </c>
      <c r="M30" s="25">
        <v>230.37</v>
      </c>
      <c r="N30" s="5" t="s">
        <v>23</v>
      </c>
      <c r="O30" s="5" t="s">
        <v>33</v>
      </c>
      <c r="P30" s="3">
        <v>3</v>
      </c>
      <c r="Q30" s="3">
        <v>7</v>
      </c>
      <c r="R30" s="5" t="b">
        <v>1</v>
      </c>
      <c r="S30" s="5" t="str">
        <f>IF(R30=TRUE,"Returning Customer","New Customer")</f>
        <v>Returning Customer</v>
      </c>
      <c r="T30" s="3">
        <v>4</v>
      </c>
      <c r="U30" s="12" t="str">
        <f>IF(T30&lt;=3,"Fast",IF(T30&lt;=7,"Standard",IF(T30&lt;=14,"Slow","Very Slow")))</f>
        <v>Standard</v>
      </c>
      <c r="V30" s="10" t="str">
        <f>IF(D30&lt;=25,"18-25",IF(D30&lt;=35,"26-35",IF(D30&lt;=45,"36-45",IF(D30&lt;=55,"46-55",IF(D30&lt;=65,"56-65","66-75")))))</f>
        <v>26-35</v>
      </c>
      <c r="W30" s="3">
        <v>4</v>
      </c>
    </row>
    <row r="31" spans="1:23">
      <c r="A31" s="5" t="s">
        <v>1309</v>
      </c>
      <c r="B31" s="5" t="s">
        <v>1310</v>
      </c>
      <c r="C31" s="6">
        <v>45206</v>
      </c>
      <c r="D31" s="8">
        <v>31</v>
      </c>
      <c r="E31" s="5" t="s">
        <v>36</v>
      </c>
      <c r="F31" s="5" t="s">
        <v>27</v>
      </c>
      <c r="G31" s="5" t="s">
        <v>64</v>
      </c>
      <c r="H31" s="7">
        <v>2497.83</v>
      </c>
      <c r="I31" s="3">
        <v>1</v>
      </c>
      <c r="J31" s="33">
        <f>H31*I31</f>
        <v>2497.83</v>
      </c>
      <c r="K31" s="4">
        <v>0</v>
      </c>
      <c r="L31" s="9">
        <f>IF(J31=0,0,K31/J31)</f>
        <v>0</v>
      </c>
      <c r="M31" s="25">
        <v>2497.83</v>
      </c>
      <c r="N31" s="5" t="s">
        <v>1298</v>
      </c>
      <c r="O31" s="5" t="s">
        <v>33</v>
      </c>
      <c r="P31" s="3">
        <v>12</v>
      </c>
      <c r="Q31" s="3">
        <v>11</v>
      </c>
      <c r="R31" s="5" t="b">
        <v>1</v>
      </c>
      <c r="S31" s="5" t="str">
        <f>IF(R31=TRUE,"Returning Customer","New Customer")</f>
        <v>Returning Customer</v>
      </c>
      <c r="T31" s="3">
        <v>7</v>
      </c>
      <c r="U31" s="12" t="str">
        <f>IF(T31&lt;=3,"Fast",IF(T31&lt;=7,"Standard",IF(T31&lt;=14,"Slow","Very Slow")))</f>
        <v>Standard</v>
      </c>
      <c r="V31" s="10" t="str">
        <f>IF(D31&lt;=25,"18-25",IF(D31&lt;=35,"26-35",IF(D31&lt;=45,"36-45",IF(D31&lt;=55,"46-55",IF(D31&lt;=65,"56-65","66-75")))))</f>
        <v>26-35</v>
      </c>
      <c r="W31" s="3">
        <v>4</v>
      </c>
    </row>
    <row r="32" spans="1:23">
      <c r="A32" s="5" t="s">
        <v>338</v>
      </c>
      <c r="B32" s="5" t="s">
        <v>339</v>
      </c>
      <c r="C32" s="6">
        <v>45141</v>
      </c>
      <c r="D32" s="8">
        <v>27</v>
      </c>
      <c r="E32" s="5" t="s">
        <v>20</v>
      </c>
      <c r="F32" s="5" t="s">
        <v>21</v>
      </c>
      <c r="G32" s="5" t="s">
        <v>37</v>
      </c>
      <c r="H32" s="7">
        <v>131.13</v>
      </c>
      <c r="I32" s="3">
        <v>1</v>
      </c>
      <c r="J32" s="33">
        <f>H32*I32</f>
        <v>131.13</v>
      </c>
      <c r="K32" s="4">
        <v>0</v>
      </c>
      <c r="L32" s="9">
        <f>IF(J32=0,0,K32/J32)</f>
        <v>0</v>
      </c>
      <c r="M32" s="25">
        <v>131.13</v>
      </c>
      <c r="N32" s="5" t="s">
        <v>327</v>
      </c>
      <c r="O32" s="5" t="s">
        <v>24</v>
      </c>
      <c r="P32" s="3">
        <v>34</v>
      </c>
      <c r="Q32" s="3">
        <v>8</v>
      </c>
      <c r="R32" s="5" t="b">
        <v>0</v>
      </c>
      <c r="S32" s="5" t="str">
        <f>IF(R32=TRUE,"Returning Customer","New Customer")</f>
        <v>New Customer</v>
      </c>
      <c r="T32" s="3">
        <v>5</v>
      </c>
      <c r="U32" s="12" t="str">
        <f>IF(T32&lt;=3,"Fast",IF(T32&lt;=7,"Standard",IF(T32&lt;=14,"Slow","Very Slow")))</f>
        <v>Standard</v>
      </c>
      <c r="V32" s="10" t="str">
        <f>IF(D32&lt;=25,"18-25",IF(D32&lt;=35,"26-35",IF(D32&lt;=45,"36-45",IF(D32&lt;=55,"46-55",IF(D32&lt;=65,"56-65","66-75")))))</f>
        <v>26-35</v>
      </c>
      <c r="W32" s="3">
        <v>2</v>
      </c>
    </row>
    <row r="33" spans="1:23">
      <c r="A33" s="5" t="s">
        <v>717</v>
      </c>
      <c r="B33" s="5" t="s">
        <v>718</v>
      </c>
      <c r="C33" s="6">
        <v>45039</v>
      </c>
      <c r="D33" s="8">
        <v>57</v>
      </c>
      <c r="E33" s="5" t="s">
        <v>20</v>
      </c>
      <c r="F33" s="5" t="s">
        <v>83</v>
      </c>
      <c r="G33" s="5" t="s">
        <v>115</v>
      </c>
      <c r="H33" s="7">
        <v>88.67</v>
      </c>
      <c r="I33" s="3">
        <v>1</v>
      </c>
      <c r="J33" s="33">
        <f>H33*I33</f>
        <v>88.67</v>
      </c>
      <c r="K33" s="4">
        <v>0</v>
      </c>
      <c r="L33" s="9">
        <f>IF(J33=0,0,K33/J33)</f>
        <v>0</v>
      </c>
      <c r="M33" s="25">
        <v>88.67</v>
      </c>
      <c r="N33" s="5" t="s">
        <v>692</v>
      </c>
      <c r="O33" s="5" t="s">
        <v>24</v>
      </c>
      <c r="P33" s="3">
        <v>11</v>
      </c>
      <c r="Q33" s="3">
        <v>8</v>
      </c>
      <c r="R33" s="5" t="b">
        <v>1</v>
      </c>
      <c r="S33" s="5" t="str">
        <f>IF(R33=TRUE,"Returning Customer","New Customer")</f>
        <v>Returning Customer</v>
      </c>
      <c r="T33" s="3">
        <v>7</v>
      </c>
      <c r="U33" s="12" t="str">
        <f>IF(T33&lt;=3,"Fast",IF(T33&lt;=7,"Standard",IF(T33&lt;=14,"Slow","Very Slow")))</f>
        <v>Standard</v>
      </c>
      <c r="V33" s="10" t="str">
        <f>IF(D33&lt;=25,"18-25",IF(D33&lt;=35,"26-35",IF(D33&lt;=45,"36-45",IF(D33&lt;=55,"46-55",IF(D33&lt;=65,"56-65","66-75")))))</f>
        <v>56-65</v>
      </c>
      <c r="W33" s="3">
        <v>2</v>
      </c>
    </row>
    <row r="34" spans="1:23">
      <c r="A34" s="5" t="s">
        <v>719</v>
      </c>
      <c r="B34" s="5" t="s">
        <v>720</v>
      </c>
      <c r="C34" s="6">
        <v>45156</v>
      </c>
      <c r="D34" s="8">
        <v>34</v>
      </c>
      <c r="E34" s="5" t="s">
        <v>36</v>
      </c>
      <c r="F34" s="5" t="s">
        <v>52</v>
      </c>
      <c r="G34" s="5" t="s">
        <v>53</v>
      </c>
      <c r="H34" s="7">
        <v>20.94</v>
      </c>
      <c r="I34" s="3">
        <v>2</v>
      </c>
      <c r="J34" s="33">
        <f>H34*I34</f>
        <v>41.88</v>
      </c>
      <c r="K34" s="4">
        <v>0</v>
      </c>
      <c r="L34" s="9">
        <f>IF(J34=0,0,K34/J34)</f>
        <v>0</v>
      </c>
      <c r="M34" s="25">
        <v>41.88</v>
      </c>
      <c r="N34" s="5" t="s">
        <v>692</v>
      </c>
      <c r="O34" s="5" t="s">
        <v>24</v>
      </c>
      <c r="P34" s="3">
        <v>12</v>
      </c>
      <c r="Q34" s="3">
        <v>10</v>
      </c>
      <c r="R34" s="5" t="b">
        <v>0</v>
      </c>
      <c r="S34" s="5" t="str">
        <f>IF(R34=TRUE,"Returning Customer","New Customer")</f>
        <v>New Customer</v>
      </c>
      <c r="T34" s="3">
        <v>7</v>
      </c>
      <c r="U34" s="12" t="str">
        <f>IF(T34&lt;=3,"Fast",IF(T34&lt;=7,"Standard",IF(T34&lt;=14,"Slow","Very Slow")))</f>
        <v>Standard</v>
      </c>
      <c r="V34" s="10" t="str">
        <f>IF(D34&lt;=25,"18-25",IF(D34&lt;=35,"26-35",IF(D34&lt;=45,"36-45",IF(D34&lt;=55,"46-55",IF(D34&lt;=65,"56-65","66-75")))))</f>
        <v>26-35</v>
      </c>
      <c r="W34" s="3">
        <v>2</v>
      </c>
    </row>
    <row r="35" spans="1:23">
      <c r="A35" s="5" t="s">
        <v>340</v>
      </c>
      <c r="B35" s="5" t="s">
        <v>341</v>
      </c>
      <c r="C35" s="6">
        <v>45228</v>
      </c>
      <c r="D35" s="8">
        <v>22</v>
      </c>
      <c r="E35" s="5" t="s">
        <v>36</v>
      </c>
      <c r="F35" s="5" t="s">
        <v>76</v>
      </c>
      <c r="G35" s="5" t="s">
        <v>56</v>
      </c>
      <c r="H35" s="7">
        <v>541.80999999999995</v>
      </c>
      <c r="I35" s="3">
        <v>4</v>
      </c>
      <c r="J35" s="33">
        <f>H35*I35</f>
        <v>2167.2399999999998</v>
      </c>
      <c r="K35" s="4">
        <v>139.11000000000001</v>
      </c>
      <c r="L35" s="9">
        <f>IF(J35=0,0,K35/J35)</f>
        <v>6.4187630350122746E-2</v>
      </c>
      <c r="M35" s="25">
        <v>2028.13</v>
      </c>
      <c r="N35" s="5" t="s">
        <v>327</v>
      </c>
      <c r="O35" s="5" t="s">
        <v>33</v>
      </c>
      <c r="P35" s="3">
        <v>11</v>
      </c>
      <c r="Q35" s="3">
        <v>6</v>
      </c>
      <c r="R35" s="5" t="b">
        <v>1</v>
      </c>
      <c r="S35" s="5" t="str">
        <f>IF(R35=TRUE,"Returning Customer","New Customer")</f>
        <v>Returning Customer</v>
      </c>
      <c r="T35" s="3">
        <v>3</v>
      </c>
      <c r="U35" s="12" t="str">
        <f>IF(T35&lt;=3,"Fast",IF(T35&lt;=7,"Standard",IF(T35&lt;=14,"Slow","Very Slow")))</f>
        <v>Fast</v>
      </c>
      <c r="V35" s="10" t="str">
        <f>IF(D35&lt;=25,"18-25",IF(D35&lt;=35,"26-35",IF(D35&lt;=45,"36-45",IF(D35&lt;=55,"46-55",IF(D35&lt;=65,"56-65","66-75")))))</f>
        <v>18-25</v>
      </c>
      <c r="W35" s="3">
        <v>5</v>
      </c>
    </row>
    <row r="36" spans="1:23">
      <c r="A36" s="5" t="s">
        <v>721</v>
      </c>
      <c r="B36" s="5" t="s">
        <v>722</v>
      </c>
      <c r="C36" s="6">
        <v>45069</v>
      </c>
      <c r="D36" s="8">
        <v>44</v>
      </c>
      <c r="E36" s="5" t="s">
        <v>36</v>
      </c>
      <c r="F36" s="5" t="s">
        <v>76</v>
      </c>
      <c r="G36" s="5" t="s">
        <v>64</v>
      </c>
      <c r="H36" s="7">
        <v>4703.2299999999996</v>
      </c>
      <c r="I36" s="3">
        <v>2</v>
      </c>
      <c r="J36" s="33">
        <f>H36*I36</f>
        <v>9406.4599999999991</v>
      </c>
      <c r="K36" s="4">
        <v>0</v>
      </c>
      <c r="L36" s="9">
        <f>IF(J36=0,0,K36/J36)</f>
        <v>0</v>
      </c>
      <c r="M36" s="25">
        <v>9406.4599999999991</v>
      </c>
      <c r="N36" s="5" t="s">
        <v>692</v>
      </c>
      <c r="O36" s="5" t="s">
        <v>33</v>
      </c>
      <c r="P36" s="3">
        <v>6</v>
      </c>
      <c r="Q36" s="3">
        <v>9</v>
      </c>
      <c r="R36" s="5" t="b">
        <v>1</v>
      </c>
      <c r="S36" s="5" t="str">
        <f>IF(R36=TRUE,"Returning Customer","New Customer")</f>
        <v>Returning Customer</v>
      </c>
      <c r="T36" s="3">
        <v>10</v>
      </c>
      <c r="U36" s="12" t="str">
        <f>IF(T36&lt;=3,"Fast",IF(T36&lt;=7,"Standard",IF(T36&lt;=14,"Slow","Very Slow")))</f>
        <v>Slow</v>
      </c>
      <c r="V36" s="10" t="str">
        <f>IF(D36&lt;=25,"18-25",IF(D36&lt;=35,"26-35",IF(D36&lt;=45,"36-45",IF(D36&lt;=55,"46-55",IF(D36&lt;=65,"56-65","66-75")))))</f>
        <v>36-45</v>
      </c>
      <c r="W36" s="3">
        <v>1</v>
      </c>
    </row>
    <row r="37" spans="1:23">
      <c r="A37" s="5" t="s">
        <v>1311</v>
      </c>
      <c r="B37" s="5" t="s">
        <v>1312</v>
      </c>
      <c r="C37" s="6">
        <v>45341</v>
      </c>
      <c r="D37" s="8">
        <v>20</v>
      </c>
      <c r="E37" s="5" t="s">
        <v>20</v>
      </c>
      <c r="F37" s="5" t="s">
        <v>32</v>
      </c>
      <c r="G37" s="5" t="s">
        <v>46</v>
      </c>
      <c r="H37" s="7">
        <v>503.69</v>
      </c>
      <c r="I37" s="3">
        <v>5</v>
      </c>
      <c r="J37" s="33">
        <f>H37*I37</f>
        <v>2518.4499999999998</v>
      </c>
      <c r="K37" s="4">
        <v>93.97</v>
      </c>
      <c r="L37" s="9">
        <f>IF(J37=0,0,K37/J37)</f>
        <v>3.731263277015625E-2</v>
      </c>
      <c r="M37" s="25">
        <v>2424.48</v>
      </c>
      <c r="N37" s="5" t="s">
        <v>1298</v>
      </c>
      <c r="O37" s="5" t="s">
        <v>33</v>
      </c>
      <c r="P37" s="3">
        <v>2</v>
      </c>
      <c r="Q37" s="3">
        <v>8</v>
      </c>
      <c r="R37" s="5" t="b">
        <v>1</v>
      </c>
      <c r="S37" s="5" t="str">
        <f>IF(R37=TRUE,"Returning Customer","New Customer")</f>
        <v>Returning Customer</v>
      </c>
      <c r="T37" s="3">
        <v>11</v>
      </c>
      <c r="U37" s="12" t="str">
        <f>IF(T37&lt;=3,"Fast",IF(T37&lt;=7,"Standard",IF(T37&lt;=14,"Slow","Very Slow")))</f>
        <v>Slow</v>
      </c>
      <c r="V37" s="10" t="str">
        <f>IF(D37&lt;=25,"18-25",IF(D37&lt;=35,"26-35",IF(D37&lt;=45,"36-45",IF(D37&lt;=55,"46-55",IF(D37&lt;=65,"56-65","66-75")))))</f>
        <v>18-25</v>
      </c>
      <c r="W37" s="3">
        <v>5</v>
      </c>
    </row>
    <row r="38" spans="1:23">
      <c r="A38" s="5" t="s">
        <v>342</v>
      </c>
      <c r="B38" s="5" t="s">
        <v>343</v>
      </c>
      <c r="C38" s="6">
        <v>45372</v>
      </c>
      <c r="D38" s="8">
        <v>37</v>
      </c>
      <c r="E38" s="5" t="s">
        <v>36</v>
      </c>
      <c r="F38" s="5" t="s">
        <v>59</v>
      </c>
      <c r="G38" s="5" t="s">
        <v>115</v>
      </c>
      <c r="H38" s="7">
        <v>59.08</v>
      </c>
      <c r="I38" s="3">
        <v>1</v>
      </c>
      <c r="J38" s="33">
        <f>H38*I38</f>
        <v>59.08</v>
      </c>
      <c r="K38" s="4">
        <v>0</v>
      </c>
      <c r="L38" s="9">
        <f>IF(J38=0,0,K38/J38)</f>
        <v>0</v>
      </c>
      <c r="M38" s="25">
        <v>59.08</v>
      </c>
      <c r="N38" s="5" t="s">
        <v>327</v>
      </c>
      <c r="O38" s="5" t="s">
        <v>33</v>
      </c>
      <c r="P38" s="3">
        <v>19</v>
      </c>
      <c r="Q38" s="3">
        <v>11</v>
      </c>
      <c r="R38" s="5" t="b">
        <v>0</v>
      </c>
      <c r="S38" s="5" t="str">
        <f>IF(R38=TRUE,"Returning Customer","New Customer")</f>
        <v>New Customer</v>
      </c>
      <c r="T38" s="3">
        <v>2</v>
      </c>
      <c r="U38" s="12" t="str">
        <f>IF(T38&lt;=3,"Fast",IF(T38&lt;=7,"Standard",IF(T38&lt;=14,"Slow","Very Slow")))</f>
        <v>Fast</v>
      </c>
      <c r="V38" s="10" t="str">
        <f>IF(D38&lt;=25,"18-25",IF(D38&lt;=35,"26-35",IF(D38&lt;=45,"36-45",IF(D38&lt;=55,"46-55",IF(D38&lt;=65,"56-65","66-75")))))</f>
        <v>36-45</v>
      </c>
      <c r="W38" s="3">
        <v>5</v>
      </c>
    </row>
    <row r="39" spans="1:23">
      <c r="A39" s="5" t="s">
        <v>34</v>
      </c>
      <c r="B39" s="5" t="s">
        <v>35</v>
      </c>
      <c r="C39" s="6">
        <v>44930</v>
      </c>
      <c r="D39" s="8">
        <v>18</v>
      </c>
      <c r="E39" s="5" t="s">
        <v>36</v>
      </c>
      <c r="F39" s="5" t="s">
        <v>21</v>
      </c>
      <c r="G39" s="5" t="s">
        <v>37</v>
      </c>
      <c r="H39" s="7">
        <v>78.209999999999994</v>
      </c>
      <c r="I39" s="3">
        <v>5</v>
      </c>
      <c r="J39" s="33">
        <f>H39*I39</f>
        <v>391.04999999999995</v>
      </c>
      <c r="K39" s="4">
        <v>0</v>
      </c>
      <c r="L39" s="9">
        <f>IF(J39=0,0,K39/J39)</f>
        <v>0</v>
      </c>
      <c r="M39" s="25">
        <v>391.05</v>
      </c>
      <c r="N39" s="5" t="s">
        <v>23</v>
      </c>
      <c r="O39" s="5" t="s">
        <v>33</v>
      </c>
      <c r="P39" s="3">
        <v>9</v>
      </c>
      <c r="Q39" s="3">
        <v>7</v>
      </c>
      <c r="R39" s="5" t="b">
        <v>0</v>
      </c>
      <c r="S39" s="5" t="str">
        <f>IF(R39=TRUE,"Returning Customer","New Customer")</f>
        <v>New Customer</v>
      </c>
      <c r="T39" s="3">
        <v>8</v>
      </c>
      <c r="U39" s="12" t="str">
        <f>IF(T39&lt;=3,"Fast",IF(T39&lt;=7,"Standard",IF(T39&lt;=14,"Slow","Very Slow")))</f>
        <v>Slow</v>
      </c>
      <c r="V39" s="10" t="str">
        <f>IF(D39&lt;=25,"18-25",IF(D39&lt;=35,"26-35",IF(D39&lt;=45,"36-45",IF(D39&lt;=55,"46-55",IF(D39&lt;=65,"56-65","66-75")))))</f>
        <v>18-25</v>
      </c>
      <c r="W39" s="3">
        <v>4</v>
      </c>
    </row>
    <row r="40" spans="1:23">
      <c r="A40" s="5" t="s">
        <v>723</v>
      </c>
      <c r="B40" s="5" t="s">
        <v>724</v>
      </c>
      <c r="C40" s="6">
        <v>45315</v>
      </c>
      <c r="D40" s="8">
        <v>19</v>
      </c>
      <c r="E40" s="5" t="s">
        <v>20</v>
      </c>
      <c r="F40" s="5" t="s">
        <v>76</v>
      </c>
      <c r="G40" s="5" t="s">
        <v>46</v>
      </c>
      <c r="H40" s="7">
        <v>471.56</v>
      </c>
      <c r="I40" s="3">
        <v>1</v>
      </c>
      <c r="J40" s="33">
        <f>H40*I40</f>
        <v>471.56</v>
      </c>
      <c r="K40" s="4">
        <v>0</v>
      </c>
      <c r="L40" s="9">
        <f>IF(J40=0,0,K40/J40)</f>
        <v>0</v>
      </c>
      <c r="M40" s="25">
        <v>471.56</v>
      </c>
      <c r="N40" s="5" t="s">
        <v>692</v>
      </c>
      <c r="O40" s="5" t="s">
        <v>29</v>
      </c>
      <c r="P40" s="3">
        <v>5</v>
      </c>
      <c r="Q40" s="3">
        <v>10</v>
      </c>
      <c r="R40" s="5" t="b">
        <v>0</v>
      </c>
      <c r="S40" s="5" t="str">
        <f>IF(R40=TRUE,"Returning Customer","New Customer")</f>
        <v>New Customer</v>
      </c>
      <c r="T40" s="3">
        <v>7</v>
      </c>
      <c r="U40" s="12" t="str">
        <f>IF(T40&lt;=3,"Fast",IF(T40&lt;=7,"Standard",IF(T40&lt;=14,"Slow","Very Slow")))</f>
        <v>Standard</v>
      </c>
      <c r="V40" s="10" t="str">
        <f>IF(D40&lt;=25,"18-25",IF(D40&lt;=35,"26-35",IF(D40&lt;=45,"36-45",IF(D40&lt;=55,"46-55",IF(D40&lt;=65,"56-65","66-75")))))</f>
        <v>18-25</v>
      </c>
      <c r="W40" s="3">
        <v>5</v>
      </c>
    </row>
    <row r="41" spans="1:23">
      <c r="A41" s="5" t="s">
        <v>344</v>
      </c>
      <c r="B41" s="5" t="s">
        <v>345</v>
      </c>
      <c r="C41" s="6">
        <v>45339</v>
      </c>
      <c r="D41" s="8">
        <v>37</v>
      </c>
      <c r="E41" s="5" t="s">
        <v>20</v>
      </c>
      <c r="F41" s="5" t="s">
        <v>21</v>
      </c>
      <c r="G41" s="5" t="s">
        <v>37</v>
      </c>
      <c r="H41" s="7">
        <v>91.66</v>
      </c>
      <c r="I41" s="3">
        <v>4</v>
      </c>
      <c r="J41" s="33">
        <f>H41*I41</f>
        <v>366.64</v>
      </c>
      <c r="K41" s="4">
        <v>4.7699999999999996</v>
      </c>
      <c r="L41" s="9">
        <f>IF(J41=0,0,K41/J41)</f>
        <v>1.3010037093606807E-2</v>
      </c>
      <c r="M41" s="25">
        <v>361.87</v>
      </c>
      <c r="N41" s="5" t="s">
        <v>327</v>
      </c>
      <c r="O41" s="5" t="s">
        <v>33</v>
      </c>
      <c r="P41" s="3">
        <v>12</v>
      </c>
      <c r="Q41" s="3">
        <v>7</v>
      </c>
      <c r="R41" s="5" t="b">
        <v>0</v>
      </c>
      <c r="S41" s="5" t="str">
        <f>IF(R41=TRUE,"Returning Customer","New Customer")</f>
        <v>New Customer</v>
      </c>
      <c r="T41" s="3">
        <v>2</v>
      </c>
      <c r="U41" s="12" t="str">
        <f>IF(T41&lt;=3,"Fast",IF(T41&lt;=7,"Standard",IF(T41&lt;=14,"Slow","Very Slow")))</f>
        <v>Fast</v>
      </c>
      <c r="V41" s="10" t="str">
        <f>IF(D41&lt;=25,"18-25",IF(D41&lt;=35,"26-35",IF(D41&lt;=45,"36-45",IF(D41&lt;=55,"46-55",IF(D41&lt;=65,"56-65","66-75")))))</f>
        <v>36-45</v>
      </c>
      <c r="W41" s="3">
        <v>5</v>
      </c>
    </row>
    <row r="42" spans="1:23">
      <c r="A42" s="5" t="s">
        <v>346</v>
      </c>
      <c r="B42" s="5" t="s">
        <v>347</v>
      </c>
      <c r="C42" s="6">
        <v>45008</v>
      </c>
      <c r="D42" s="8">
        <v>43</v>
      </c>
      <c r="E42" s="5" t="s">
        <v>36</v>
      </c>
      <c r="F42" s="5" t="s">
        <v>27</v>
      </c>
      <c r="G42" s="5" t="s">
        <v>46</v>
      </c>
      <c r="H42" s="7">
        <v>1255.68</v>
      </c>
      <c r="I42" s="3">
        <v>3</v>
      </c>
      <c r="J42" s="33">
        <f>H42*I42</f>
        <v>3767.04</v>
      </c>
      <c r="K42" s="4">
        <v>0</v>
      </c>
      <c r="L42" s="9">
        <f>IF(J42=0,0,K42/J42)</f>
        <v>0</v>
      </c>
      <c r="M42" s="25">
        <v>3767.04</v>
      </c>
      <c r="N42" s="5" t="s">
        <v>327</v>
      </c>
      <c r="O42" s="5" t="s">
        <v>24</v>
      </c>
      <c r="P42" s="3">
        <v>22</v>
      </c>
      <c r="Q42" s="3">
        <v>9</v>
      </c>
      <c r="R42" s="5" t="b">
        <v>0</v>
      </c>
      <c r="S42" s="5" t="str">
        <f>IF(R42=TRUE,"Returning Customer","New Customer")</f>
        <v>New Customer</v>
      </c>
      <c r="T42" s="3">
        <v>6</v>
      </c>
      <c r="U42" s="12" t="str">
        <f>IF(T42&lt;=3,"Fast",IF(T42&lt;=7,"Standard",IF(T42&lt;=14,"Slow","Very Slow")))</f>
        <v>Standard</v>
      </c>
      <c r="V42" s="10" t="str">
        <f>IF(D42&lt;=25,"18-25",IF(D42&lt;=35,"26-35",IF(D42&lt;=45,"36-45",IF(D42&lt;=55,"46-55",IF(D42&lt;=65,"56-65","66-75")))))</f>
        <v>36-45</v>
      </c>
      <c r="W42" s="3">
        <v>4</v>
      </c>
    </row>
    <row r="43" spans="1:23">
      <c r="A43" s="5" t="s">
        <v>38</v>
      </c>
      <c r="B43" s="5" t="s">
        <v>39</v>
      </c>
      <c r="C43" s="6">
        <v>45284</v>
      </c>
      <c r="D43" s="8">
        <v>37</v>
      </c>
      <c r="E43" s="5" t="s">
        <v>36</v>
      </c>
      <c r="F43" s="5" t="s">
        <v>21</v>
      </c>
      <c r="G43" s="5" t="s">
        <v>22</v>
      </c>
      <c r="H43" s="7">
        <v>389.46</v>
      </c>
      <c r="I43" s="3">
        <v>3</v>
      </c>
      <c r="J43" s="33">
        <f>H43*I43</f>
        <v>1168.3799999999999</v>
      </c>
      <c r="K43" s="4">
        <v>109.42</v>
      </c>
      <c r="L43" s="9">
        <f>IF(J43=0,0,K43/J43)</f>
        <v>9.3651038189630095E-2</v>
      </c>
      <c r="M43" s="25">
        <v>1058.96</v>
      </c>
      <c r="N43" s="5" t="s">
        <v>23</v>
      </c>
      <c r="O43" s="5" t="s">
        <v>33</v>
      </c>
      <c r="P43" s="3">
        <v>8</v>
      </c>
      <c r="Q43" s="3">
        <v>6</v>
      </c>
      <c r="R43" s="5" t="b">
        <v>1</v>
      </c>
      <c r="S43" s="5" t="str">
        <f>IF(R43=TRUE,"Returning Customer","New Customer")</f>
        <v>Returning Customer</v>
      </c>
      <c r="T43" s="3">
        <v>6</v>
      </c>
      <c r="U43" s="12" t="str">
        <f>IF(T43&lt;=3,"Fast",IF(T43&lt;=7,"Standard",IF(T43&lt;=14,"Slow","Very Slow")))</f>
        <v>Standard</v>
      </c>
      <c r="V43" s="10" t="str">
        <f>IF(D43&lt;=25,"18-25",IF(D43&lt;=35,"26-35",IF(D43&lt;=45,"36-45",IF(D43&lt;=55,"46-55",IF(D43&lt;=65,"56-65","66-75")))))</f>
        <v>36-45</v>
      </c>
      <c r="W43" s="3">
        <v>4</v>
      </c>
    </row>
    <row r="44" spans="1:23">
      <c r="A44" s="5" t="s">
        <v>725</v>
      </c>
      <c r="B44" s="5" t="s">
        <v>726</v>
      </c>
      <c r="C44" s="6">
        <v>45143</v>
      </c>
      <c r="D44" s="8">
        <v>33</v>
      </c>
      <c r="E44" s="5" t="s">
        <v>36</v>
      </c>
      <c r="F44" s="5" t="s">
        <v>32</v>
      </c>
      <c r="G44" s="5" t="s">
        <v>28</v>
      </c>
      <c r="H44" s="7">
        <v>130.09</v>
      </c>
      <c r="I44" s="3">
        <v>5</v>
      </c>
      <c r="J44" s="33">
        <f>H44*I44</f>
        <v>650.45000000000005</v>
      </c>
      <c r="K44" s="4">
        <v>0</v>
      </c>
      <c r="L44" s="9">
        <f>IF(J44=0,0,K44/J44)</f>
        <v>0</v>
      </c>
      <c r="M44" s="25">
        <v>650.45000000000005</v>
      </c>
      <c r="N44" s="5" t="s">
        <v>692</v>
      </c>
      <c r="O44" s="5" t="s">
        <v>29</v>
      </c>
      <c r="P44" s="3">
        <v>4</v>
      </c>
      <c r="Q44" s="3">
        <v>12</v>
      </c>
      <c r="R44" s="5" t="b">
        <v>1</v>
      </c>
      <c r="S44" s="5" t="str">
        <f>IF(R44=TRUE,"Returning Customer","New Customer")</f>
        <v>Returning Customer</v>
      </c>
      <c r="T44" s="3">
        <v>3</v>
      </c>
      <c r="U44" s="12" t="str">
        <f>IF(T44&lt;=3,"Fast",IF(T44&lt;=7,"Standard",IF(T44&lt;=14,"Slow","Very Slow")))</f>
        <v>Fast</v>
      </c>
      <c r="V44" s="10" t="str">
        <f>IF(D44&lt;=25,"18-25",IF(D44&lt;=35,"26-35",IF(D44&lt;=45,"36-45",IF(D44&lt;=55,"46-55",IF(D44&lt;=65,"56-65","66-75")))))</f>
        <v>26-35</v>
      </c>
      <c r="W44" s="3">
        <v>5</v>
      </c>
    </row>
    <row r="45" spans="1:23">
      <c r="A45" s="5" t="s">
        <v>1232</v>
      </c>
      <c r="B45" s="5" t="s">
        <v>1233</v>
      </c>
      <c r="C45" s="6">
        <v>45101</v>
      </c>
      <c r="D45" s="8">
        <v>31</v>
      </c>
      <c r="E45" s="5" t="s">
        <v>36</v>
      </c>
      <c r="F45" s="5" t="s">
        <v>32</v>
      </c>
      <c r="G45" s="5" t="s">
        <v>22</v>
      </c>
      <c r="H45" s="7">
        <v>376.78</v>
      </c>
      <c r="I45" s="3">
        <v>1</v>
      </c>
      <c r="J45" s="33">
        <f>H45*I45</f>
        <v>376.78</v>
      </c>
      <c r="K45" s="4">
        <v>105.42</v>
      </c>
      <c r="L45" s="9">
        <f>IF(J45=0,0,K45/J45)</f>
        <v>0.2797919210149159</v>
      </c>
      <c r="M45" s="25">
        <v>271.36</v>
      </c>
      <c r="N45" s="5" t="s">
        <v>1231</v>
      </c>
      <c r="O45" s="5" t="s">
        <v>29</v>
      </c>
      <c r="P45" s="3">
        <v>32</v>
      </c>
      <c r="Q45" s="3">
        <v>16</v>
      </c>
      <c r="R45" s="5" t="b">
        <v>0</v>
      </c>
      <c r="S45" s="5" t="str">
        <f>IF(R45=TRUE,"Returning Customer","New Customer")</f>
        <v>New Customer</v>
      </c>
      <c r="T45" s="3">
        <v>4</v>
      </c>
      <c r="U45" s="12" t="str">
        <f>IF(T45&lt;=3,"Fast",IF(T45&lt;=7,"Standard",IF(T45&lt;=14,"Slow","Very Slow")))</f>
        <v>Standard</v>
      </c>
      <c r="V45" s="10" t="str">
        <f>IF(D45&lt;=25,"18-25",IF(D45&lt;=35,"26-35",IF(D45&lt;=45,"36-45",IF(D45&lt;=55,"46-55",IF(D45&lt;=65,"56-65","66-75")))))</f>
        <v>26-35</v>
      </c>
      <c r="W45" s="3">
        <v>5</v>
      </c>
    </row>
    <row r="46" spans="1:23">
      <c r="A46" s="5" t="s">
        <v>40</v>
      </c>
      <c r="B46" s="5" t="s">
        <v>41</v>
      </c>
      <c r="C46" s="6">
        <v>45069</v>
      </c>
      <c r="D46" s="8">
        <v>18</v>
      </c>
      <c r="E46" s="5" t="s">
        <v>36</v>
      </c>
      <c r="F46" s="5" t="s">
        <v>21</v>
      </c>
      <c r="G46" s="5" t="s">
        <v>22</v>
      </c>
      <c r="H46" s="7">
        <v>133.09</v>
      </c>
      <c r="I46" s="3">
        <v>2</v>
      </c>
      <c r="J46" s="33">
        <f>H46*I46</f>
        <v>266.18</v>
      </c>
      <c r="K46" s="4">
        <v>24.74</v>
      </c>
      <c r="L46" s="9">
        <f>IF(J46=0,0,K46/J46)</f>
        <v>9.2944623938688103E-2</v>
      </c>
      <c r="M46" s="25">
        <v>241.44</v>
      </c>
      <c r="N46" s="5" t="s">
        <v>23</v>
      </c>
      <c r="O46" s="5" t="s">
        <v>33</v>
      </c>
      <c r="P46" s="3">
        <v>12</v>
      </c>
      <c r="Q46" s="3">
        <v>7</v>
      </c>
      <c r="R46" s="5" t="b">
        <v>1</v>
      </c>
      <c r="S46" s="5" t="str">
        <f>IF(R46=TRUE,"Returning Customer","New Customer")</f>
        <v>Returning Customer</v>
      </c>
      <c r="T46" s="3">
        <v>4</v>
      </c>
      <c r="U46" s="12" t="str">
        <f>IF(T46&lt;=3,"Fast",IF(T46&lt;=7,"Standard",IF(T46&lt;=14,"Slow","Very Slow")))</f>
        <v>Standard</v>
      </c>
      <c r="V46" s="10" t="str">
        <f>IF(D46&lt;=25,"18-25",IF(D46&lt;=35,"26-35",IF(D46&lt;=45,"36-45",IF(D46&lt;=55,"46-55",IF(D46&lt;=65,"56-65","66-75")))))</f>
        <v>18-25</v>
      </c>
      <c r="W46" s="3">
        <v>5</v>
      </c>
    </row>
    <row r="47" spans="1:23">
      <c r="A47" s="5" t="s">
        <v>42</v>
      </c>
      <c r="B47" s="5" t="s">
        <v>43</v>
      </c>
      <c r="C47" s="6">
        <v>45006</v>
      </c>
      <c r="D47" s="8">
        <v>26</v>
      </c>
      <c r="E47" s="5" t="s">
        <v>36</v>
      </c>
      <c r="F47" s="5" t="s">
        <v>27</v>
      </c>
      <c r="G47" s="5" t="s">
        <v>28</v>
      </c>
      <c r="H47" s="7">
        <v>140.24</v>
      </c>
      <c r="I47" s="3">
        <v>1</v>
      </c>
      <c r="J47" s="33">
        <f>H47*I47</f>
        <v>140.24</v>
      </c>
      <c r="K47" s="4">
        <v>0</v>
      </c>
      <c r="L47" s="9">
        <f>IF(J47=0,0,K47/J47)</f>
        <v>0</v>
      </c>
      <c r="M47" s="25">
        <v>140.24</v>
      </c>
      <c r="N47" s="5" t="s">
        <v>23</v>
      </c>
      <c r="O47" s="5" t="s">
        <v>24</v>
      </c>
      <c r="P47" s="3">
        <v>19</v>
      </c>
      <c r="Q47" s="3">
        <v>8</v>
      </c>
      <c r="R47" s="5" t="b">
        <v>1</v>
      </c>
      <c r="S47" s="5" t="str">
        <f>IF(R47=TRUE,"Returning Customer","New Customer")</f>
        <v>Returning Customer</v>
      </c>
      <c r="T47" s="3">
        <v>5</v>
      </c>
      <c r="U47" s="12" t="str">
        <f>IF(T47&lt;=3,"Fast",IF(T47&lt;=7,"Standard",IF(T47&lt;=14,"Slow","Very Slow")))</f>
        <v>Standard</v>
      </c>
      <c r="V47" s="10" t="str">
        <f>IF(D47&lt;=25,"18-25",IF(D47&lt;=35,"26-35",IF(D47&lt;=45,"36-45",IF(D47&lt;=55,"46-55",IF(D47&lt;=65,"56-65","66-75")))))</f>
        <v>26-35</v>
      </c>
      <c r="W47" s="3">
        <v>3</v>
      </c>
    </row>
    <row r="48" spans="1:23">
      <c r="A48" s="5" t="s">
        <v>1313</v>
      </c>
      <c r="B48" s="5" t="s">
        <v>1314</v>
      </c>
      <c r="C48" s="6">
        <v>45037</v>
      </c>
      <c r="D48" s="8">
        <v>29</v>
      </c>
      <c r="E48" s="5" t="s">
        <v>20</v>
      </c>
      <c r="F48" s="5" t="s">
        <v>73</v>
      </c>
      <c r="G48" s="5" t="s">
        <v>37</v>
      </c>
      <c r="H48" s="7">
        <v>67.209999999999994</v>
      </c>
      <c r="I48" s="3">
        <v>3</v>
      </c>
      <c r="J48" s="33">
        <f>H48*I48</f>
        <v>201.63</v>
      </c>
      <c r="K48" s="4">
        <v>18.55</v>
      </c>
      <c r="L48" s="9">
        <f>IF(J48=0,0,K48/J48)</f>
        <v>9.2000198383177106E-2</v>
      </c>
      <c r="M48" s="25">
        <v>183.08</v>
      </c>
      <c r="N48" s="5" t="s">
        <v>1298</v>
      </c>
      <c r="O48" s="5" t="s">
        <v>24</v>
      </c>
      <c r="P48" s="3">
        <v>22</v>
      </c>
      <c r="Q48" s="3">
        <v>12</v>
      </c>
      <c r="R48" s="5" t="b">
        <v>1</v>
      </c>
      <c r="S48" s="5" t="str">
        <f>IF(R48=TRUE,"Returning Customer","New Customer")</f>
        <v>Returning Customer</v>
      </c>
      <c r="T48" s="3">
        <v>4</v>
      </c>
      <c r="U48" s="12" t="str">
        <f>IF(T48&lt;=3,"Fast",IF(T48&lt;=7,"Standard",IF(T48&lt;=14,"Slow","Very Slow")))</f>
        <v>Standard</v>
      </c>
      <c r="V48" s="10" t="str">
        <f>IF(D48&lt;=25,"18-25",IF(D48&lt;=35,"26-35",IF(D48&lt;=45,"36-45",IF(D48&lt;=55,"46-55",IF(D48&lt;=65,"56-65","66-75")))))</f>
        <v>26-35</v>
      </c>
      <c r="W48" s="3">
        <v>4</v>
      </c>
    </row>
    <row r="49" spans="1:23">
      <c r="A49" s="5" t="s">
        <v>1234</v>
      </c>
      <c r="B49" s="5" t="s">
        <v>1235</v>
      </c>
      <c r="C49" s="6">
        <v>45317</v>
      </c>
      <c r="D49" s="8">
        <v>47</v>
      </c>
      <c r="E49" s="5" t="s">
        <v>20</v>
      </c>
      <c r="F49" s="5" t="s">
        <v>49</v>
      </c>
      <c r="G49" s="5" t="s">
        <v>37</v>
      </c>
      <c r="H49" s="7">
        <v>139.34</v>
      </c>
      <c r="I49" s="3">
        <v>1</v>
      </c>
      <c r="J49" s="33">
        <f>H49*I49</f>
        <v>139.34</v>
      </c>
      <c r="K49" s="4">
        <v>0</v>
      </c>
      <c r="L49" s="9">
        <f>IF(J49=0,0,K49/J49)</f>
        <v>0</v>
      </c>
      <c r="M49" s="25">
        <v>139.34</v>
      </c>
      <c r="N49" s="5" t="s">
        <v>1231</v>
      </c>
      <c r="O49" s="5" t="s">
        <v>33</v>
      </c>
      <c r="P49" s="3">
        <v>4</v>
      </c>
      <c r="Q49" s="3">
        <v>7</v>
      </c>
      <c r="R49" s="5" t="b">
        <v>1</v>
      </c>
      <c r="S49" s="5" t="str">
        <f>IF(R49=TRUE,"Returning Customer","New Customer")</f>
        <v>Returning Customer</v>
      </c>
      <c r="T49" s="3">
        <v>4</v>
      </c>
      <c r="U49" s="12" t="str">
        <f>IF(T49&lt;=3,"Fast",IF(T49&lt;=7,"Standard",IF(T49&lt;=14,"Slow","Very Slow")))</f>
        <v>Standard</v>
      </c>
      <c r="V49" s="10" t="str">
        <f>IF(D49&lt;=25,"18-25",IF(D49&lt;=35,"26-35",IF(D49&lt;=45,"36-45",IF(D49&lt;=55,"46-55",IF(D49&lt;=65,"56-65","66-75")))))</f>
        <v>46-55</v>
      </c>
      <c r="W49" s="3">
        <v>4</v>
      </c>
    </row>
    <row r="50" spans="1:23">
      <c r="A50" s="5" t="s">
        <v>727</v>
      </c>
      <c r="B50" s="5" t="s">
        <v>728</v>
      </c>
      <c r="C50" s="6">
        <v>45099</v>
      </c>
      <c r="D50" s="8">
        <v>39</v>
      </c>
      <c r="E50" s="5" t="s">
        <v>20</v>
      </c>
      <c r="F50" s="5" t="s">
        <v>52</v>
      </c>
      <c r="G50" s="5" t="s">
        <v>28</v>
      </c>
      <c r="H50" s="7">
        <v>133.13999999999999</v>
      </c>
      <c r="I50" s="3">
        <v>2</v>
      </c>
      <c r="J50" s="33">
        <f>H50*I50</f>
        <v>266.27999999999997</v>
      </c>
      <c r="K50" s="4">
        <v>0</v>
      </c>
      <c r="L50" s="9">
        <f>IF(J50=0,0,K50/J50)</f>
        <v>0</v>
      </c>
      <c r="M50" s="25">
        <v>266.27999999999997</v>
      </c>
      <c r="N50" s="5" t="s">
        <v>692</v>
      </c>
      <c r="O50" s="5" t="s">
        <v>33</v>
      </c>
      <c r="P50" s="3">
        <v>7</v>
      </c>
      <c r="Q50" s="3">
        <v>11</v>
      </c>
      <c r="R50" s="5" t="b">
        <v>1</v>
      </c>
      <c r="S50" s="5" t="str">
        <f>IF(R50=TRUE,"Returning Customer","New Customer")</f>
        <v>Returning Customer</v>
      </c>
      <c r="T50" s="3">
        <v>2</v>
      </c>
      <c r="U50" s="12" t="str">
        <f>IF(T50&lt;=3,"Fast",IF(T50&lt;=7,"Standard",IF(T50&lt;=14,"Slow","Very Slow")))</f>
        <v>Fast</v>
      </c>
      <c r="V50" s="10" t="str">
        <f>IF(D50&lt;=25,"18-25",IF(D50&lt;=35,"26-35",IF(D50&lt;=45,"36-45",IF(D50&lt;=55,"46-55",IF(D50&lt;=65,"56-65","66-75")))))</f>
        <v>36-45</v>
      </c>
      <c r="W50" s="3">
        <v>5</v>
      </c>
    </row>
    <row r="51" spans="1:23">
      <c r="A51" s="5" t="s">
        <v>44</v>
      </c>
      <c r="B51" s="5" t="s">
        <v>45</v>
      </c>
      <c r="C51" s="6">
        <v>44979</v>
      </c>
      <c r="D51" s="8">
        <v>18</v>
      </c>
      <c r="E51" s="5" t="s">
        <v>36</v>
      </c>
      <c r="F51" s="5" t="s">
        <v>21</v>
      </c>
      <c r="G51" s="5" t="s">
        <v>46</v>
      </c>
      <c r="H51" s="7">
        <v>466.79</v>
      </c>
      <c r="I51" s="3">
        <v>2</v>
      </c>
      <c r="J51" s="33">
        <f>H51*I51</f>
        <v>933.58</v>
      </c>
      <c r="K51" s="4">
        <v>0</v>
      </c>
      <c r="L51" s="9">
        <f>IF(J51=0,0,K51/J51)</f>
        <v>0</v>
      </c>
      <c r="M51" s="25">
        <v>933.58</v>
      </c>
      <c r="N51" s="5" t="s">
        <v>23</v>
      </c>
      <c r="O51" s="5" t="s">
        <v>33</v>
      </c>
      <c r="P51" s="3">
        <v>13</v>
      </c>
      <c r="Q51" s="3">
        <v>10</v>
      </c>
      <c r="R51" s="5" t="b">
        <v>1</v>
      </c>
      <c r="S51" s="5" t="str">
        <f>IF(R51=TRUE,"Returning Customer","New Customer")</f>
        <v>Returning Customer</v>
      </c>
      <c r="T51" s="3">
        <v>9</v>
      </c>
      <c r="U51" s="12" t="str">
        <f>IF(T51&lt;=3,"Fast",IF(T51&lt;=7,"Standard",IF(T51&lt;=14,"Slow","Very Slow")))</f>
        <v>Slow</v>
      </c>
      <c r="V51" s="10" t="str">
        <f>IF(D51&lt;=25,"18-25",IF(D51&lt;=35,"26-35",IF(D51&lt;=45,"36-45",IF(D51&lt;=55,"46-55",IF(D51&lt;=65,"56-65","66-75")))))</f>
        <v>18-25</v>
      </c>
      <c r="W51" s="3">
        <v>5</v>
      </c>
    </row>
    <row r="52" spans="1:23">
      <c r="A52" s="5" t="s">
        <v>729</v>
      </c>
      <c r="B52" s="5" t="s">
        <v>730</v>
      </c>
      <c r="C52" s="6">
        <v>44974</v>
      </c>
      <c r="D52" s="8">
        <v>38</v>
      </c>
      <c r="E52" s="5" t="s">
        <v>36</v>
      </c>
      <c r="F52" s="5" t="s">
        <v>32</v>
      </c>
      <c r="G52" s="5" t="s">
        <v>64</v>
      </c>
      <c r="H52" s="7">
        <v>1222.3699999999999</v>
      </c>
      <c r="I52" s="3">
        <v>1</v>
      </c>
      <c r="J52" s="33">
        <f>H52*I52</f>
        <v>1222.3699999999999</v>
      </c>
      <c r="K52" s="4">
        <v>0</v>
      </c>
      <c r="L52" s="9">
        <f>IF(J52=0,0,K52/J52)</f>
        <v>0</v>
      </c>
      <c r="M52" s="25">
        <v>1222.3699999999999</v>
      </c>
      <c r="N52" s="5" t="s">
        <v>692</v>
      </c>
      <c r="O52" s="5" t="s">
        <v>33</v>
      </c>
      <c r="P52" s="3">
        <v>10</v>
      </c>
      <c r="Q52" s="3">
        <v>10</v>
      </c>
      <c r="R52" s="5" t="b">
        <v>0</v>
      </c>
      <c r="S52" s="5" t="str">
        <f>IF(R52=TRUE,"Returning Customer","New Customer")</f>
        <v>New Customer</v>
      </c>
      <c r="T52" s="3">
        <v>4</v>
      </c>
      <c r="U52" s="12" t="str">
        <f>IF(T52&lt;=3,"Fast",IF(T52&lt;=7,"Standard",IF(T52&lt;=14,"Slow","Very Slow")))</f>
        <v>Standard</v>
      </c>
      <c r="V52" s="10" t="str">
        <f>IF(D52&lt;=25,"18-25",IF(D52&lt;=35,"26-35",IF(D52&lt;=45,"36-45",IF(D52&lt;=55,"46-55",IF(D52&lt;=65,"56-65","66-75")))))</f>
        <v>36-45</v>
      </c>
      <c r="W52" s="3">
        <v>4</v>
      </c>
    </row>
    <row r="53" spans="1:23">
      <c r="A53" s="5" t="s">
        <v>348</v>
      </c>
      <c r="B53" s="5" t="s">
        <v>349</v>
      </c>
      <c r="C53" s="6">
        <v>45121</v>
      </c>
      <c r="D53" s="8">
        <v>30</v>
      </c>
      <c r="E53" s="5" t="s">
        <v>36</v>
      </c>
      <c r="F53" s="5" t="s">
        <v>59</v>
      </c>
      <c r="G53" s="5" t="s">
        <v>37</v>
      </c>
      <c r="H53" s="7">
        <v>114.86</v>
      </c>
      <c r="I53" s="3">
        <v>1</v>
      </c>
      <c r="J53" s="33">
        <f>H53*I53</f>
        <v>114.86</v>
      </c>
      <c r="K53" s="4">
        <v>13.4</v>
      </c>
      <c r="L53" s="9">
        <f>IF(J53=0,0,K53/J53)</f>
        <v>0.11666376458297058</v>
      </c>
      <c r="M53" s="25">
        <v>101.46</v>
      </c>
      <c r="N53" s="5" t="s">
        <v>327</v>
      </c>
      <c r="O53" s="5" t="s">
        <v>33</v>
      </c>
      <c r="P53" s="3">
        <v>7</v>
      </c>
      <c r="Q53" s="3">
        <v>11</v>
      </c>
      <c r="R53" s="5" t="b">
        <v>1</v>
      </c>
      <c r="S53" s="5" t="str">
        <f>IF(R53=TRUE,"Returning Customer","New Customer")</f>
        <v>Returning Customer</v>
      </c>
      <c r="T53" s="3">
        <v>5</v>
      </c>
      <c r="U53" s="12" t="str">
        <f>IF(T53&lt;=3,"Fast",IF(T53&lt;=7,"Standard",IF(T53&lt;=14,"Slow","Very Slow")))</f>
        <v>Standard</v>
      </c>
      <c r="V53" s="10" t="str">
        <f>IF(D53&lt;=25,"18-25",IF(D53&lt;=35,"26-35",IF(D53&lt;=45,"36-45",IF(D53&lt;=55,"46-55",IF(D53&lt;=65,"56-65","66-75")))))</f>
        <v>26-35</v>
      </c>
      <c r="W53" s="3">
        <v>5</v>
      </c>
    </row>
    <row r="54" spans="1:23">
      <c r="A54" s="5" t="s">
        <v>731</v>
      </c>
      <c r="B54" s="5" t="s">
        <v>732</v>
      </c>
      <c r="C54" s="6">
        <v>44976</v>
      </c>
      <c r="D54" s="8">
        <v>26</v>
      </c>
      <c r="E54" s="5" t="s">
        <v>20</v>
      </c>
      <c r="F54" s="5" t="s">
        <v>83</v>
      </c>
      <c r="G54" s="5" t="s">
        <v>46</v>
      </c>
      <c r="H54" s="7">
        <v>675.54</v>
      </c>
      <c r="I54" s="3">
        <v>2</v>
      </c>
      <c r="J54" s="33">
        <f>H54*I54</f>
        <v>1351.08</v>
      </c>
      <c r="K54" s="4">
        <v>0</v>
      </c>
      <c r="L54" s="9">
        <f>IF(J54=0,0,K54/J54)</f>
        <v>0</v>
      </c>
      <c r="M54" s="25">
        <v>1351.08</v>
      </c>
      <c r="N54" s="5" t="s">
        <v>692</v>
      </c>
      <c r="O54" s="5" t="s">
        <v>33</v>
      </c>
      <c r="P54" s="3">
        <v>16</v>
      </c>
      <c r="Q54" s="3">
        <v>8</v>
      </c>
      <c r="R54" s="5" t="b">
        <v>1</v>
      </c>
      <c r="S54" s="5" t="str">
        <f>IF(R54=TRUE,"Returning Customer","New Customer")</f>
        <v>Returning Customer</v>
      </c>
      <c r="T54" s="3">
        <v>11</v>
      </c>
      <c r="U54" s="12" t="str">
        <f>IF(T54&lt;=3,"Fast",IF(T54&lt;=7,"Standard",IF(T54&lt;=14,"Slow","Very Slow")))</f>
        <v>Slow</v>
      </c>
      <c r="V54" s="10" t="str">
        <f>IF(D54&lt;=25,"18-25",IF(D54&lt;=35,"26-35",IF(D54&lt;=45,"36-45",IF(D54&lt;=55,"46-55",IF(D54&lt;=65,"56-65","66-75")))))</f>
        <v>26-35</v>
      </c>
      <c r="W54" s="3">
        <v>1</v>
      </c>
    </row>
    <row r="55" spans="1:23">
      <c r="A55" s="5" t="s">
        <v>350</v>
      </c>
      <c r="B55" s="5" t="s">
        <v>351</v>
      </c>
      <c r="C55" s="6">
        <v>45110</v>
      </c>
      <c r="D55" s="8">
        <v>42</v>
      </c>
      <c r="E55" s="5" t="s">
        <v>36</v>
      </c>
      <c r="F55" s="5" t="s">
        <v>21</v>
      </c>
      <c r="G55" s="5" t="s">
        <v>64</v>
      </c>
      <c r="H55" s="7">
        <v>3314.93</v>
      </c>
      <c r="I55" s="3">
        <v>1</v>
      </c>
      <c r="J55" s="33">
        <f>H55*I55</f>
        <v>3314.93</v>
      </c>
      <c r="K55" s="4">
        <v>0</v>
      </c>
      <c r="L55" s="9">
        <f>IF(J55=0,0,K55/J55)</f>
        <v>0</v>
      </c>
      <c r="M55" s="25">
        <v>3314.93</v>
      </c>
      <c r="N55" s="5" t="s">
        <v>327</v>
      </c>
      <c r="O55" s="5" t="s">
        <v>33</v>
      </c>
      <c r="P55" s="3">
        <v>16</v>
      </c>
      <c r="Q55" s="3">
        <v>8</v>
      </c>
      <c r="R55" s="5" t="b">
        <v>1</v>
      </c>
      <c r="S55" s="5" t="str">
        <f>IF(R55=TRUE,"Returning Customer","New Customer")</f>
        <v>Returning Customer</v>
      </c>
      <c r="T55" s="3">
        <v>3</v>
      </c>
      <c r="U55" s="12" t="str">
        <f>IF(T55&lt;=3,"Fast",IF(T55&lt;=7,"Standard",IF(T55&lt;=14,"Slow","Very Slow")))</f>
        <v>Fast</v>
      </c>
      <c r="V55" s="10" t="str">
        <f>IF(D55&lt;=25,"18-25",IF(D55&lt;=35,"26-35",IF(D55&lt;=45,"36-45",IF(D55&lt;=55,"46-55",IF(D55&lt;=65,"56-65","66-75")))))</f>
        <v>36-45</v>
      </c>
      <c r="W55" s="3">
        <v>5</v>
      </c>
    </row>
    <row r="56" spans="1:23">
      <c r="A56" s="5" t="s">
        <v>352</v>
      </c>
      <c r="B56" s="5" t="s">
        <v>353</v>
      </c>
      <c r="C56" s="6">
        <v>45360</v>
      </c>
      <c r="D56" s="8">
        <v>47</v>
      </c>
      <c r="E56" s="5" t="s">
        <v>20</v>
      </c>
      <c r="F56" s="5" t="s">
        <v>32</v>
      </c>
      <c r="G56" s="5" t="s">
        <v>28</v>
      </c>
      <c r="H56" s="7">
        <v>117.66</v>
      </c>
      <c r="I56" s="3">
        <v>5</v>
      </c>
      <c r="J56" s="33">
        <f>H56*I56</f>
        <v>588.29999999999995</v>
      </c>
      <c r="K56" s="4">
        <v>21.1</v>
      </c>
      <c r="L56" s="9">
        <f>IF(J56=0,0,K56/J56)</f>
        <v>3.5866054733979268E-2</v>
      </c>
      <c r="M56" s="25">
        <v>567.20000000000005</v>
      </c>
      <c r="N56" s="5" t="s">
        <v>327</v>
      </c>
      <c r="O56" s="5" t="s">
        <v>24</v>
      </c>
      <c r="P56" s="3">
        <v>15</v>
      </c>
      <c r="Q56" s="3">
        <v>14</v>
      </c>
      <c r="R56" s="5" t="b">
        <v>1</v>
      </c>
      <c r="S56" s="5" t="str">
        <f>IF(R56=TRUE,"Returning Customer","New Customer")</f>
        <v>Returning Customer</v>
      </c>
      <c r="T56" s="3">
        <v>4</v>
      </c>
      <c r="U56" s="12" t="str">
        <f>IF(T56&lt;=3,"Fast",IF(T56&lt;=7,"Standard",IF(T56&lt;=14,"Slow","Very Slow")))</f>
        <v>Standard</v>
      </c>
      <c r="V56" s="10" t="str">
        <f>IF(D56&lt;=25,"18-25",IF(D56&lt;=35,"26-35",IF(D56&lt;=45,"36-45",IF(D56&lt;=55,"46-55",IF(D56&lt;=65,"56-65","66-75")))))</f>
        <v>46-55</v>
      </c>
      <c r="W56" s="3">
        <v>3</v>
      </c>
    </row>
    <row r="57" spans="1:23">
      <c r="A57" s="5" t="s">
        <v>354</v>
      </c>
      <c r="B57" s="5" t="s">
        <v>355</v>
      </c>
      <c r="C57" s="6">
        <v>45103</v>
      </c>
      <c r="D57" s="8">
        <v>46</v>
      </c>
      <c r="E57" s="5" t="s">
        <v>20</v>
      </c>
      <c r="F57" s="5" t="s">
        <v>32</v>
      </c>
      <c r="G57" s="5" t="s">
        <v>22</v>
      </c>
      <c r="H57" s="7">
        <v>112.19</v>
      </c>
      <c r="I57" s="3">
        <v>2</v>
      </c>
      <c r="J57" s="33">
        <f>H57*I57</f>
        <v>224.38</v>
      </c>
      <c r="K57" s="4">
        <v>24.94</v>
      </c>
      <c r="L57" s="9">
        <f>IF(J57=0,0,K57/J57)</f>
        <v>0.11115072644620734</v>
      </c>
      <c r="M57" s="25">
        <v>199.44</v>
      </c>
      <c r="N57" s="5" t="s">
        <v>327</v>
      </c>
      <c r="O57" s="5" t="s">
        <v>33</v>
      </c>
      <c r="P57" s="3">
        <v>14</v>
      </c>
      <c r="Q57" s="3">
        <v>6</v>
      </c>
      <c r="R57" s="5" t="b">
        <v>1</v>
      </c>
      <c r="S57" s="5" t="str">
        <f>IF(R57=TRUE,"Returning Customer","New Customer")</f>
        <v>Returning Customer</v>
      </c>
      <c r="T57" s="3">
        <v>7</v>
      </c>
      <c r="U57" s="12" t="str">
        <f>IF(T57&lt;=3,"Fast",IF(T57&lt;=7,"Standard",IF(T57&lt;=14,"Slow","Very Slow")))</f>
        <v>Standard</v>
      </c>
      <c r="V57" s="10" t="str">
        <f>IF(D57&lt;=25,"18-25",IF(D57&lt;=35,"26-35",IF(D57&lt;=45,"36-45",IF(D57&lt;=55,"46-55",IF(D57&lt;=65,"56-65","66-75")))))</f>
        <v>46-55</v>
      </c>
      <c r="W57" s="3">
        <v>5</v>
      </c>
    </row>
    <row r="58" spans="1:23">
      <c r="A58" s="5" t="s">
        <v>47</v>
      </c>
      <c r="B58" s="5" t="s">
        <v>48</v>
      </c>
      <c r="C58" s="6">
        <v>45236</v>
      </c>
      <c r="D58" s="8">
        <v>24</v>
      </c>
      <c r="E58" s="5" t="s">
        <v>36</v>
      </c>
      <c r="F58" s="5" t="s">
        <v>49</v>
      </c>
      <c r="G58" s="5" t="s">
        <v>37</v>
      </c>
      <c r="H58" s="7">
        <v>118.75</v>
      </c>
      <c r="I58" s="3">
        <v>1</v>
      </c>
      <c r="J58" s="33">
        <f>H58*I58</f>
        <v>118.75</v>
      </c>
      <c r="K58" s="4">
        <v>20.87</v>
      </c>
      <c r="L58" s="9">
        <f>IF(J58=0,0,K58/J58)</f>
        <v>0.17574736842105265</v>
      </c>
      <c r="M58" s="25">
        <v>97.88</v>
      </c>
      <c r="N58" s="5" t="s">
        <v>23</v>
      </c>
      <c r="O58" s="5" t="s">
        <v>29</v>
      </c>
      <c r="P58" s="3">
        <v>16</v>
      </c>
      <c r="Q58" s="3">
        <v>9</v>
      </c>
      <c r="R58" s="5" t="b">
        <v>0</v>
      </c>
      <c r="S58" s="5" t="str">
        <f>IF(R58=TRUE,"Returning Customer","New Customer")</f>
        <v>New Customer</v>
      </c>
      <c r="T58" s="3">
        <v>8</v>
      </c>
      <c r="U58" s="12" t="str">
        <f>IF(T58&lt;=3,"Fast",IF(T58&lt;=7,"Standard",IF(T58&lt;=14,"Slow","Very Slow")))</f>
        <v>Slow</v>
      </c>
      <c r="V58" s="10" t="str">
        <f>IF(D58&lt;=25,"18-25",IF(D58&lt;=35,"26-35",IF(D58&lt;=45,"36-45",IF(D58&lt;=55,"46-55",IF(D58&lt;=65,"56-65","66-75")))))</f>
        <v>18-25</v>
      </c>
      <c r="W58" s="3">
        <v>2</v>
      </c>
    </row>
    <row r="59" spans="1:23">
      <c r="A59" s="5" t="s">
        <v>356</v>
      </c>
      <c r="B59" s="5" t="s">
        <v>357</v>
      </c>
      <c r="C59" s="6">
        <v>45062</v>
      </c>
      <c r="D59" s="8">
        <v>31</v>
      </c>
      <c r="E59" s="5" t="s">
        <v>36</v>
      </c>
      <c r="F59" s="5" t="s">
        <v>73</v>
      </c>
      <c r="G59" s="5" t="s">
        <v>56</v>
      </c>
      <c r="H59" s="7">
        <v>211.08</v>
      </c>
      <c r="I59" s="3">
        <v>4</v>
      </c>
      <c r="J59" s="33">
        <f>H59*I59</f>
        <v>844.32</v>
      </c>
      <c r="K59" s="4">
        <v>0</v>
      </c>
      <c r="L59" s="9">
        <f>IF(J59=0,0,K59/J59)</f>
        <v>0</v>
      </c>
      <c r="M59" s="25">
        <v>844.32</v>
      </c>
      <c r="N59" s="5" t="s">
        <v>327</v>
      </c>
      <c r="O59" s="5" t="s">
        <v>33</v>
      </c>
      <c r="P59" s="3">
        <v>21</v>
      </c>
      <c r="Q59" s="3">
        <v>11</v>
      </c>
      <c r="R59" s="5" t="b">
        <v>1</v>
      </c>
      <c r="S59" s="5" t="str">
        <f>IF(R59=TRUE,"Returning Customer","New Customer")</f>
        <v>Returning Customer</v>
      </c>
      <c r="T59" s="3">
        <v>3</v>
      </c>
      <c r="U59" s="12" t="str">
        <f>IF(T59&lt;=3,"Fast",IF(T59&lt;=7,"Standard",IF(T59&lt;=14,"Slow","Very Slow")))</f>
        <v>Fast</v>
      </c>
      <c r="V59" s="10" t="str">
        <f>IF(D59&lt;=25,"18-25",IF(D59&lt;=35,"26-35",IF(D59&lt;=45,"36-45",IF(D59&lt;=55,"46-55",IF(D59&lt;=65,"56-65","66-75")))))</f>
        <v>26-35</v>
      </c>
      <c r="W59" s="3">
        <v>2</v>
      </c>
    </row>
    <row r="60" spans="1:23">
      <c r="A60" s="5" t="s">
        <v>733</v>
      </c>
      <c r="B60" s="5" t="s">
        <v>734</v>
      </c>
      <c r="C60" s="6">
        <v>45340</v>
      </c>
      <c r="D60" s="8">
        <v>38</v>
      </c>
      <c r="E60" s="5" t="s">
        <v>122</v>
      </c>
      <c r="F60" s="5" t="s">
        <v>59</v>
      </c>
      <c r="G60" s="5" t="s">
        <v>22</v>
      </c>
      <c r="H60" s="7">
        <v>187.42</v>
      </c>
      <c r="I60" s="3">
        <v>1</v>
      </c>
      <c r="J60" s="33">
        <f>H60*I60</f>
        <v>187.42</v>
      </c>
      <c r="K60" s="4">
        <v>0</v>
      </c>
      <c r="L60" s="9">
        <f>IF(J60=0,0,K60/J60)</f>
        <v>0</v>
      </c>
      <c r="M60" s="25">
        <v>187.42</v>
      </c>
      <c r="N60" s="5" t="s">
        <v>692</v>
      </c>
      <c r="O60" s="5" t="s">
        <v>24</v>
      </c>
      <c r="P60" s="3">
        <v>9</v>
      </c>
      <c r="Q60" s="3">
        <v>9</v>
      </c>
      <c r="R60" s="5" t="b">
        <v>0</v>
      </c>
      <c r="S60" s="5" t="str">
        <f>IF(R60=TRUE,"Returning Customer","New Customer")</f>
        <v>New Customer</v>
      </c>
      <c r="T60" s="3">
        <v>6</v>
      </c>
      <c r="U60" s="12" t="str">
        <f>IF(T60&lt;=3,"Fast",IF(T60&lt;=7,"Standard",IF(T60&lt;=14,"Slow","Very Slow")))</f>
        <v>Standard</v>
      </c>
      <c r="V60" s="10" t="str">
        <f>IF(D60&lt;=25,"18-25",IF(D60&lt;=35,"26-35",IF(D60&lt;=45,"36-45",IF(D60&lt;=55,"46-55",IF(D60&lt;=65,"56-65","66-75")))))</f>
        <v>36-45</v>
      </c>
      <c r="W60" s="3">
        <v>1</v>
      </c>
    </row>
    <row r="61" spans="1:23">
      <c r="A61" s="5" t="s">
        <v>50</v>
      </c>
      <c r="B61" s="5" t="s">
        <v>51</v>
      </c>
      <c r="C61" s="6">
        <v>44949</v>
      </c>
      <c r="D61" s="8">
        <v>46</v>
      </c>
      <c r="E61" s="5" t="s">
        <v>20</v>
      </c>
      <c r="F61" s="5" t="s">
        <v>52</v>
      </c>
      <c r="G61" s="5" t="s">
        <v>53</v>
      </c>
      <c r="H61" s="7">
        <v>19.739999999999998</v>
      </c>
      <c r="I61" s="3">
        <v>1</v>
      </c>
      <c r="J61" s="33">
        <f>H61*I61</f>
        <v>19.739999999999998</v>
      </c>
      <c r="K61" s="4">
        <v>0</v>
      </c>
      <c r="L61" s="9">
        <f>IF(J61=0,0,K61/J61)</f>
        <v>0</v>
      </c>
      <c r="M61" s="25">
        <v>19.739999999999998</v>
      </c>
      <c r="N61" s="5" t="s">
        <v>23</v>
      </c>
      <c r="O61" s="5" t="s">
        <v>33</v>
      </c>
      <c r="P61" s="3">
        <v>28</v>
      </c>
      <c r="Q61" s="3">
        <v>8</v>
      </c>
      <c r="R61" s="5" t="b">
        <v>1</v>
      </c>
      <c r="S61" s="5" t="str">
        <f>IF(R61=TRUE,"Returning Customer","New Customer")</f>
        <v>Returning Customer</v>
      </c>
      <c r="T61" s="3">
        <v>3</v>
      </c>
      <c r="U61" s="12" t="str">
        <f>IF(T61&lt;=3,"Fast",IF(T61&lt;=7,"Standard",IF(T61&lt;=14,"Slow","Very Slow")))</f>
        <v>Fast</v>
      </c>
      <c r="V61" s="10" t="str">
        <f>IF(D61&lt;=25,"18-25",IF(D61&lt;=35,"26-35",IF(D61&lt;=45,"36-45",IF(D61&lt;=55,"46-55",IF(D61&lt;=65,"56-65","66-75")))))</f>
        <v>46-55</v>
      </c>
      <c r="W61" s="3">
        <v>5</v>
      </c>
    </row>
    <row r="62" spans="1:23">
      <c r="A62" s="5" t="s">
        <v>358</v>
      </c>
      <c r="B62" s="5" t="s">
        <v>359</v>
      </c>
      <c r="C62" s="6">
        <v>45300</v>
      </c>
      <c r="D62" s="8">
        <v>29</v>
      </c>
      <c r="E62" s="5" t="s">
        <v>36</v>
      </c>
      <c r="F62" s="5" t="s">
        <v>27</v>
      </c>
      <c r="G62" s="5" t="s">
        <v>64</v>
      </c>
      <c r="H62" s="7">
        <v>7159.45</v>
      </c>
      <c r="I62" s="3">
        <v>3</v>
      </c>
      <c r="J62" s="33">
        <f>H62*I62</f>
        <v>21478.35</v>
      </c>
      <c r="K62" s="4">
        <v>0</v>
      </c>
      <c r="L62" s="9">
        <f>IF(J62=0,0,K62/J62)</f>
        <v>0</v>
      </c>
      <c r="M62" s="25">
        <v>21478.35</v>
      </c>
      <c r="N62" s="5" t="s">
        <v>327</v>
      </c>
      <c r="O62" s="5" t="s">
        <v>33</v>
      </c>
      <c r="P62" s="3">
        <v>9</v>
      </c>
      <c r="Q62" s="3">
        <v>8</v>
      </c>
      <c r="R62" s="5" t="b">
        <v>1</v>
      </c>
      <c r="S62" s="5" t="str">
        <f>IF(R62=TRUE,"Returning Customer","New Customer")</f>
        <v>Returning Customer</v>
      </c>
      <c r="T62" s="3">
        <v>3</v>
      </c>
      <c r="U62" s="12" t="str">
        <f>IF(T62&lt;=3,"Fast",IF(T62&lt;=7,"Standard",IF(T62&lt;=14,"Slow","Very Slow")))</f>
        <v>Fast</v>
      </c>
      <c r="V62" s="10" t="str">
        <f>IF(D62&lt;=25,"18-25",IF(D62&lt;=35,"26-35",IF(D62&lt;=45,"36-45",IF(D62&lt;=55,"46-55",IF(D62&lt;=65,"56-65","66-75")))))</f>
        <v>26-35</v>
      </c>
      <c r="W62" s="3">
        <v>4</v>
      </c>
    </row>
    <row r="63" spans="1:23">
      <c r="A63" s="5" t="s">
        <v>360</v>
      </c>
      <c r="B63" s="5" t="s">
        <v>361</v>
      </c>
      <c r="C63" s="6">
        <v>45162</v>
      </c>
      <c r="D63" s="8">
        <v>32</v>
      </c>
      <c r="E63" s="5" t="s">
        <v>20</v>
      </c>
      <c r="F63" s="5" t="s">
        <v>49</v>
      </c>
      <c r="G63" s="5" t="s">
        <v>56</v>
      </c>
      <c r="H63" s="7">
        <v>1218.98</v>
      </c>
      <c r="I63" s="3">
        <v>1</v>
      </c>
      <c r="J63" s="33">
        <f>H63*I63</f>
        <v>1218.98</v>
      </c>
      <c r="K63" s="4">
        <v>0</v>
      </c>
      <c r="L63" s="9">
        <f>IF(J63=0,0,K63/J63)</f>
        <v>0</v>
      </c>
      <c r="M63" s="25">
        <v>1218.98</v>
      </c>
      <c r="N63" s="5" t="s">
        <v>327</v>
      </c>
      <c r="O63" s="5" t="s">
        <v>33</v>
      </c>
      <c r="P63" s="3">
        <v>3</v>
      </c>
      <c r="Q63" s="3">
        <v>11</v>
      </c>
      <c r="R63" s="5" t="b">
        <v>1</v>
      </c>
      <c r="S63" s="5" t="str">
        <f>IF(R63=TRUE,"Returning Customer","New Customer")</f>
        <v>Returning Customer</v>
      </c>
      <c r="T63" s="3">
        <v>10</v>
      </c>
      <c r="U63" s="12" t="str">
        <f>IF(T63&lt;=3,"Fast",IF(T63&lt;=7,"Standard",IF(T63&lt;=14,"Slow","Very Slow")))</f>
        <v>Slow</v>
      </c>
      <c r="V63" s="10" t="str">
        <f>IF(D63&lt;=25,"18-25",IF(D63&lt;=35,"26-35",IF(D63&lt;=45,"36-45",IF(D63&lt;=55,"46-55",IF(D63&lt;=65,"56-65","66-75")))))</f>
        <v>26-35</v>
      </c>
      <c r="W63" s="3">
        <v>4</v>
      </c>
    </row>
    <row r="64" spans="1:23">
      <c r="A64" s="5" t="s">
        <v>1236</v>
      </c>
      <c r="B64" s="5" t="s">
        <v>1237</v>
      </c>
      <c r="C64" s="6">
        <v>45201</v>
      </c>
      <c r="D64" s="8">
        <v>21</v>
      </c>
      <c r="E64" s="5" t="s">
        <v>20</v>
      </c>
      <c r="F64" s="5" t="s">
        <v>52</v>
      </c>
      <c r="G64" s="5" t="s">
        <v>22</v>
      </c>
      <c r="H64" s="7">
        <v>461.3</v>
      </c>
      <c r="I64" s="3">
        <v>2</v>
      </c>
      <c r="J64" s="33">
        <f>H64*I64</f>
        <v>922.6</v>
      </c>
      <c r="K64" s="4">
        <v>0</v>
      </c>
      <c r="L64" s="9">
        <f>IF(J64=0,0,K64/J64)</f>
        <v>0</v>
      </c>
      <c r="M64" s="25">
        <v>922.6</v>
      </c>
      <c r="N64" s="5" t="s">
        <v>1231</v>
      </c>
      <c r="O64" s="5" t="s">
        <v>24</v>
      </c>
      <c r="P64" s="3">
        <v>13</v>
      </c>
      <c r="Q64" s="3">
        <v>8</v>
      </c>
      <c r="R64" s="5" t="b">
        <v>1</v>
      </c>
      <c r="S64" s="5" t="str">
        <f>IF(R64=TRUE,"Returning Customer","New Customer")</f>
        <v>Returning Customer</v>
      </c>
      <c r="T64" s="3">
        <v>4</v>
      </c>
      <c r="U64" s="12" t="str">
        <f>IF(T64&lt;=3,"Fast",IF(T64&lt;=7,"Standard",IF(T64&lt;=14,"Slow","Very Slow")))</f>
        <v>Standard</v>
      </c>
      <c r="V64" s="10" t="str">
        <f>IF(D64&lt;=25,"18-25",IF(D64&lt;=35,"26-35",IF(D64&lt;=45,"36-45",IF(D64&lt;=55,"46-55",IF(D64&lt;=65,"56-65","66-75")))))</f>
        <v>18-25</v>
      </c>
      <c r="W64" s="3">
        <v>5</v>
      </c>
    </row>
    <row r="65" spans="1:23">
      <c r="A65" s="5" t="s">
        <v>735</v>
      </c>
      <c r="B65" s="5" t="s">
        <v>736</v>
      </c>
      <c r="C65" s="6">
        <v>44990</v>
      </c>
      <c r="D65" s="8">
        <v>20</v>
      </c>
      <c r="E65" s="5" t="s">
        <v>36</v>
      </c>
      <c r="F65" s="5" t="s">
        <v>73</v>
      </c>
      <c r="G65" s="5" t="s">
        <v>115</v>
      </c>
      <c r="H65" s="7">
        <v>137.93</v>
      </c>
      <c r="I65" s="3">
        <v>3</v>
      </c>
      <c r="J65" s="33">
        <f>H65*I65</f>
        <v>413.79</v>
      </c>
      <c r="K65" s="4">
        <v>36.19</v>
      </c>
      <c r="L65" s="9">
        <f>IF(J65=0,0,K65/J65)</f>
        <v>8.7459822615336275E-2</v>
      </c>
      <c r="M65" s="25">
        <v>377.6</v>
      </c>
      <c r="N65" s="5" t="s">
        <v>692</v>
      </c>
      <c r="O65" s="5" t="s">
        <v>33</v>
      </c>
      <c r="P65" s="3">
        <v>11</v>
      </c>
      <c r="Q65" s="3">
        <v>14</v>
      </c>
      <c r="R65" s="5" t="b">
        <v>1</v>
      </c>
      <c r="S65" s="5" t="str">
        <f>IF(R65=TRUE,"Returning Customer","New Customer")</f>
        <v>Returning Customer</v>
      </c>
      <c r="T65" s="3">
        <v>11</v>
      </c>
      <c r="U65" s="12" t="str">
        <f>IF(T65&lt;=3,"Fast",IF(T65&lt;=7,"Standard",IF(T65&lt;=14,"Slow","Very Slow")))</f>
        <v>Slow</v>
      </c>
      <c r="V65" s="10" t="str">
        <f>IF(D65&lt;=25,"18-25",IF(D65&lt;=35,"26-35",IF(D65&lt;=45,"36-45",IF(D65&lt;=55,"46-55",IF(D65&lt;=65,"56-65","66-75")))))</f>
        <v>18-25</v>
      </c>
      <c r="W65" s="3">
        <v>4</v>
      </c>
    </row>
    <row r="66" spans="1:23">
      <c r="A66" s="5" t="s">
        <v>362</v>
      </c>
      <c r="B66" s="5" t="s">
        <v>363</v>
      </c>
      <c r="C66" s="6">
        <v>45120</v>
      </c>
      <c r="D66" s="8">
        <v>44</v>
      </c>
      <c r="E66" s="5" t="s">
        <v>36</v>
      </c>
      <c r="F66" s="5" t="s">
        <v>32</v>
      </c>
      <c r="G66" s="5" t="s">
        <v>37</v>
      </c>
      <c r="H66" s="7">
        <v>164.43</v>
      </c>
      <c r="I66" s="3">
        <v>1</v>
      </c>
      <c r="J66" s="33">
        <f>H66*I66</f>
        <v>164.43</v>
      </c>
      <c r="K66" s="4">
        <v>0</v>
      </c>
      <c r="L66" s="9">
        <f>IF(J66=0,0,K66/J66)</f>
        <v>0</v>
      </c>
      <c r="M66" s="25">
        <v>164.43</v>
      </c>
      <c r="N66" s="5" t="s">
        <v>327</v>
      </c>
      <c r="O66" s="5" t="s">
        <v>24</v>
      </c>
      <c r="P66" s="3">
        <v>6</v>
      </c>
      <c r="Q66" s="3">
        <v>10</v>
      </c>
      <c r="R66" s="5" t="b">
        <v>1</v>
      </c>
      <c r="S66" s="5" t="str">
        <f>IF(R66=TRUE,"Returning Customer","New Customer")</f>
        <v>Returning Customer</v>
      </c>
      <c r="T66" s="3">
        <v>3</v>
      </c>
      <c r="U66" s="12" t="str">
        <f>IF(T66&lt;=3,"Fast",IF(T66&lt;=7,"Standard",IF(T66&lt;=14,"Slow","Very Slow")))</f>
        <v>Fast</v>
      </c>
      <c r="V66" s="10" t="str">
        <f>IF(D66&lt;=25,"18-25",IF(D66&lt;=35,"26-35",IF(D66&lt;=45,"36-45",IF(D66&lt;=55,"46-55",IF(D66&lt;=65,"56-65","66-75")))))</f>
        <v>36-45</v>
      </c>
      <c r="W66" s="3">
        <v>4</v>
      </c>
    </row>
    <row r="67" spans="1:23">
      <c r="A67" s="5" t="s">
        <v>54</v>
      </c>
      <c r="B67" s="5" t="s">
        <v>55</v>
      </c>
      <c r="C67" s="6">
        <v>44967</v>
      </c>
      <c r="D67" s="8">
        <v>51</v>
      </c>
      <c r="E67" s="5" t="s">
        <v>36</v>
      </c>
      <c r="F67" s="5" t="s">
        <v>21</v>
      </c>
      <c r="G67" s="5" t="s">
        <v>56</v>
      </c>
      <c r="H67" s="7">
        <v>672.23</v>
      </c>
      <c r="I67" s="3">
        <v>2</v>
      </c>
      <c r="J67" s="33">
        <f>H67*I67</f>
        <v>1344.46</v>
      </c>
      <c r="K67" s="4">
        <v>0</v>
      </c>
      <c r="L67" s="9">
        <f>IF(J67=0,0,K67/J67)</f>
        <v>0</v>
      </c>
      <c r="M67" s="25">
        <v>1344.46</v>
      </c>
      <c r="N67" s="5" t="s">
        <v>23</v>
      </c>
      <c r="O67" s="5" t="s">
        <v>24</v>
      </c>
      <c r="P67" s="3">
        <v>33</v>
      </c>
      <c r="Q67" s="3">
        <v>10</v>
      </c>
      <c r="R67" s="5" t="b">
        <v>1</v>
      </c>
      <c r="S67" s="5" t="str">
        <f>IF(R67=TRUE,"Returning Customer","New Customer")</f>
        <v>Returning Customer</v>
      </c>
      <c r="T67" s="3">
        <v>7</v>
      </c>
      <c r="U67" s="12" t="str">
        <f>IF(T67&lt;=3,"Fast",IF(T67&lt;=7,"Standard",IF(T67&lt;=14,"Slow","Very Slow")))</f>
        <v>Standard</v>
      </c>
      <c r="V67" s="10" t="str">
        <f>IF(D67&lt;=25,"18-25",IF(D67&lt;=35,"26-35",IF(D67&lt;=45,"36-45",IF(D67&lt;=55,"46-55",IF(D67&lt;=65,"56-65","66-75")))))</f>
        <v>46-55</v>
      </c>
      <c r="W67" s="3">
        <v>4</v>
      </c>
    </row>
    <row r="68" spans="1:23">
      <c r="A68" s="5" t="s">
        <v>737</v>
      </c>
      <c r="B68" s="5" t="s">
        <v>738</v>
      </c>
      <c r="C68" s="6">
        <v>45209</v>
      </c>
      <c r="D68" s="8">
        <v>34</v>
      </c>
      <c r="E68" s="5" t="s">
        <v>20</v>
      </c>
      <c r="F68" s="5" t="s">
        <v>88</v>
      </c>
      <c r="G68" s="5" t="s">
        <v>46</v>
      </c>
      <c r="H68" s="7">
        <v>515.91999999999996</v>
      </c>
      <c r="I68" s="3">
        <v>3</v>
      </c>
      <c r="J68" s="33">
        <f>H68*I68</f>
        <v>1547.7599999999998</v>
      </c>
      <c r="K68" s="4">
        <v>0</v>
      </c>
      <c r="L68" s="9">
        <f>IF(J68=0,0,K68/J68)</f>
        <v>0</v>
      </c>
      <c r="M68" s="25">
        <v>1547.76</v>
      </c>
      <c r="N68" s="5" t="s">
        <v>692</v>
      </c>
      <c r="O68" s="5" t="s">
        <v>33</v>
      </c>
      <c r="P68" s="3">
        <v>14</v>
      </c>
      <c r="Q68" s="3">
        <v>7</v>
      </c>
      <c r="R68" s="5" t="b">
        <v>1</v>
      </c>
      <c r="S68" s="5" t="str">
        <f>IF(R68=TRUE,"Returning Customer","New Customer")</f>
        <v>Returning Customer</v>
      </c>
      <c r="T68" s="3">
        <v>3</v>
      </c>
      <c r="U68" s="12" t="str">
        <f>IF(T68&lt;=3,"Fast",IF(T68&lt;=7,"Standard",IF(T68&lt;=14,"Slow","Very Slow")))</f>
        <v>Fast</v>
      </c>
      <c r="V68" s="10" t="str">
        <f>IF(D68&lt;=25,"18-25",IF(D68&lt;=35,"26-35",IF(D68&lt;=45,"36-45",IF(D68&lt;=55,"46-55",IF(D68&lt;=65,"56-65","66-75")))))</f>
        <v>26-35</v>
      </c>
      <c r="W68" s="3">
        <v>1</v>
      </c>
    </row>
    <row r="69" spans="1:23">
      <c r="A69" s="5" t="s">
        <v>739</v>
      </c>
      <c r="B69" s="5" t="s">
        <v>740</v>
      </c>
      <c r="C69" s="6">
        <v>45077</v>
      </c>
      <c r="D69" s="8">
        <v>47</v>
      </c>
      <c r="E69" s="5" t="s">
        <v>36</v>
      </c>
      <c r="F69" s="5" t="s">
        <v>21</v>
      </c>
      <c r="G69" s="5" t="s">
        <v>64</v>
      </c>
      <c r="H69" s="7">
        <v>3208.37</v>
      </c>
      <c r="I69" s="3">
        <v>1</v>
      </c>
      <c r="J69" s="33">
        <f>H69*I69</f>
        <v>3208.37</v>
      </c>
      <c r="K69" s="4">
        <v>595.11</v>
      </c>
      <c r="L69" s="9">
        <f>IF(J69=0,0,K69/J69)</f>
        <v>0.1854867113207018</v>
      </c>
      <c r="M69" s="25">
        <v>2613.2600000000002</v>
      </c>
      <c r="N69" s="5" t="s">
        <v>692</v>
      </c>
      <c r="O69" s="5" t="s">
        <v>29</v>
      </c>
      <c r="P69" s="3">
        <v>14</v>
      </c>
      <c r="Q69" s="3">
        <v>13</v>
      </c>
      <c r="R69" s="5" t="b">
        <v>1</v>
      </c>
      <c r="S69" s="5" t="str">
        <f>IF(R69=TRUE,"Returning Customer","New Customer")</f>
        <v>Returning Customer</v>
      </c>
      <c r="T69" s="3">
        <v>5</v>
      </c>
      <c r="U69" s="12" t="str">
        <f>IF(T69&lt;=3,"Fast",IF(T69&lt;=7,"Standard",IF(T69&lt;=14,"Slow","Very Slow")))</f>
        <v>Standard</v>
      </c>
      <c r="V69" s="10" t="str">
        <f>IF(D69&lt;=25,"18-25",IF(D69&lt;=35,"26-35",IF(D69&lt;=45,"36-45",IF(D69&lt;=55,"46-55",IF(D69&lt;=65,"56-65","66-75")))))</f>
        <v>46-55</v>
      </c>
      <c r="W69" s="3">
        <v>3</v>
      </c>
    </row>
    <row r="70" spans="1:23">
      <c r="A70" s="5" t="s">
        <v>57</v>
      </c>
      <c r="B70" s="5" t="s">
        <v>58</v>
      </c>
      <c r="C70" s="6">
        <v>45351</v>
      </c>
      <c r="D70" s="8">
        <v>39</v>
      </c>
      <c r="E70" s="5" t="s">
        <v>20</v>
      </c>
      <c r="F70" s="5" t="s">
        <v>59</v>
      </c>
      <c r="G70" s="5" t="s">
        <v>53</v>
      </c>
      <c r="H70" s="7">
        <v>103.32</v>
      </c>
      <c r="I70" s="3">
        <v>1</v>
      </c>
      <c r="J70" s="33">
        <f>H70*I70</f>
        <v>103.32</v>
      </c>
      <c r="K70" s="4">
        <v>0</v>
      </c>
      <c r="L70" s="9">
        <f>IF(J70=0,0,K70/J70)</f>
        <v>0</v>
      </c>
      <c r="M70" s="25">
        <v>103.32</v>
      </c>
      <c r="N70" s="5" t="s">
        <v>23</v>
      </c>
      <c r="O70" s="5" t="s">
        <v>33</v>
      </c>
      <c r="P70" s="3">
        <v>18</v>
      </c>
      <c r="Q70" s="3">
        <v>8</v>
      </c>
      <c r="R70" s="5" t="b">
        <v>1</v>
      </c>
      <c r="S70" s="5" t="str">
        <f>IF(R70=TRUE,"Returning Customer","New Customer")</f>
        <v>Returning Customer</v>
      </c>
      <c r="T70" s="3">
        <v>1</v>
      </c>
      <c r="U70" s="12" t="str">
        <f>IF(T70&lt;=3,"Fast",IF(T70&lt;=7,"Standard",IF(T70&lt;=14,"Slow","Very Slow")))</f>
        <v>Fast</v>
      </c>
      <c r="V70" s="10" t="str">
        <f>IF(D70&lt;=25,"18-25",IF(D70&lt;=35,"26-35",IF(D70&lt;=45,"36-45",IF(D70&lt;=55,"46-55",IF(D70&lt;=65,"56-65","66-75")))))</f>
        <v>36-45</v>
      </c>
      <c r="W70" s="3">
        <v>2</v>
      </c>
    </row>
    <row r="71" spans="1:23">
      <c r="A71" s="5" t="s">
        <v>741</v>
      </c>
      <c r="B71" s="5" t="s">
        <v>742</v>
      </c>
      <c r="C71" s="6">
        <v>45248</v>
      </c>
      <c r="D71" s="8">
        <v>27</v>
      </c>
      <c r="E71" s="5" t="s">
        <v>36</v>
      </c>
      <c r="F71" s="5" t="s">
        <v>73</v>
      </c>
      <c r="G71" s="5" t="s">
        <v>46</v>
      </c>
      <c r="H71" s="7">
        <v>213.31</v>
      </c>
      <c r="I71" s="3">
        <v>1</v>
      </c>
      <c r="J71" s="33">
        <f>H71*I71</f>
        <v>213.31</v>
      </c>
      <c r="K71" s="4">
        <v>19.59</v>
      </c>
      <c r="L71" s="9">
        <f>IF(J71=0,0,K71/J71)</f>
        <v>9.1838169799821859E-2</v>
      </c>
      <c r="M71" s="25">
        <v>193.72</v>
      </c>
      <c r="N71" s="5" t="s">
        <v>692</v>
      </c>
      <c r="O71" s="5" t="s">
        <v>33</v>
      </c>
      <c r="P71" s="3">
        <v>27</v>
      </c>
      <c r="Q71" s="3">
        <v>8</v>
      </c>
      <c r="R71" s="5" t="b">
        <v>1</v>
      </c>
      <c r="S71" s="5" t="str">
        <f>IF(R71=TRUE,"Returning Customer","New Customer")</f>
        <v>Returning Customer</v>
      </c>
      <c r="T71" s="3">
        <v>7</v>
      </c>
      <c r="U71" s="12" t="str">
        <f>IF(T71&lt;=3,"Fast",IF(T71&lt;=7,"Standard",IF(T71&lt;=14,"Slow","Very Slow")))</f>
        <v>Standard</v>
      </c>
      <c r="V71" s="10" t="str">
        <f>IF(D71&lt;=25,"18-25",IF(D71&lt;=35,"26-35",IF(D71&lt;=45,"36-45",IF(D71&lt;=55,"46-55",IF(D71&lt;=65,"56-65","66-75")))))</f>
        <v>26-35</v>
      </c>
      <c r="W71" s="3">
        <v>5</v>
      </c>
    </row>
    <row r="72" spans="1:23">
      <c r="A72" s="5" t="s">
        <v>364</v>
      </c>
      <c r="B72" s="5" t="s">
        <v>365</v>
      </c>
      <c r="C72" s="6">
        <v>45243</v>
      </c>
      <c r="D72" s="8">
        <v>39</v>
      </c>
      <c r="E72" s="5" t="s">
        <v>20</v>
      </c>
      <c r="F72" s="5" t="s">
        <v>32</v>
      </c>
      <c r="G72" s="5" t="s">
        <v>115</v>
      </c>
      <c r="H72" s="7">
        <v>52.97</v>
      </c>
      <c r="I72" s="3">
        <v>1</v>
      </c>
      <c r="J72" s="33">
        <f>H72*I72</f>
        <v>52.97</v>
      </c>
      <c r="K72" s="4">
        <v>0</v>
      </c>
      <c r="L72" s="9">
        <f>IF(J72=0,0,K72/J72)</f>
        <v>0</v>
      </c>
      <c r="M72" s="25">
        <v>52.97</v>
      </c>
      <c r="N72" s="5" t="s">
        <v>327</v>
      </c>
      <c r="O72" s="5" t="s">
        <v>33</v>
      </c>
      <c r="P72" s="3">
        <v>12</v>
      </c>
      <c r="Q72" s="3">
        <v>6</v>
      </c>
      <c r="R72" s="5" t="b">
        <v>1</v>
      </c>
      <c r="S72" s="5" t="str">
        <f>IF(R72=TRUE,"Returning Customer","New Customer")</f>
        <v>Returning Customer</v>
      </c>
      <c r="T72" s="3">
        <v>4</v>
      </c>
      <c r="U72" s="12" t="str">
        <f>IF(T72&lt;=3,"Fast",IF(T72&lt;=7,"Standard",IF(T72&lt;=14,"Slow","Very Slow")))</f>
        <v>Standard</v>
      </c>
      <c r="V72" s="10" t="str">
        <f>IF(D72&lt;=25,"18-25",IF(D72&lt;=35,"26-35",IF(D72&lt;=45,"36-45",IF(D72&lt;=55,"46-55",IF(D72&lt;=65,"56-65","66-75")))))</f>
        <v>36-45</v>
      </c>
      <c r="W72" s="3">
        <v>3</v>
      </c>
    </row>
    <row r="73" spans="1:23">
      <c r="A73" s="5" t="s">
        <v>366</v>
      </c>
      <c r="B73" s="5" t="s">
        <v>367</v>
      </c>
      <c r="C73" s="6">
        <v>45368</v>
      </c>
      <c r="D73" s="8">
        <v>53</v>
      </c>
      <c r="E73" s="5" t="s">
        <v>20</v>
      </c>
      <c r="F73" s="5" t="s">
        <v>73</v>
      </c>
      <c r="G73" s="5" t="s">
        <v>56</v>
      </c>
      <c r="H73" s="7">
        <v>604.92999999999995</v>
      </c>
      <c r="I73" s="3">
        <v>1</v>
      </c>
      <c r="J73" s="33">
        <f>H73*I73</f>
        <v>604.92999999999995</v>
      </c>
      <c r="K73" s="4">
        <v>0</v>
      </c>
      <c r="L73" s="9">
        <f>IF(J73=0,0,K73/J73)</f>
        <v>0</v>
      </c>
      <c r="M73" s="25">
        <v>604.92999999999995</v>
      </c>
      <c r="N73" s="5" t="s">
        <v>327</v>
      </c>
      <c r="O73" s="5" t="s">
        <v>33</v>
      </c>
      <c r="P73" s="3">
        <v>9</v>
      </c>
      <c r="Q73" s="3">
        <v>12</v>
      </c>
      <c r="R73" s="5" t="b">
        <v>1</v>
      </c>
      <c r="S73" s="5" t="str">
        <f>IF(R73=TRUE,"Returning Customer","New Customer")</f>
        <v>Returning Customer</v>
      </c>
      <c r="T73" s="3">
        <v>5</v>
      </c>
      <c r="U73" s="12" t="str">
        <f>IF(T73&lt;=3,"Fast",IF(T73&lt;=7,"Standard",IF(T73&lt;=14,"Slow","Very Slow")))</f>
        <v>Standard</v>
      </c>
      <c r="V73" s="10" t="str">
        <f>IF(D73&lt;=25,"18-25",IF(D73&lt;=35,"26-35",IF(D73&lt;=45,"36-45",IF(D73&lt;=55,"46-55",IF(D73&lt;=65,"56-65","66-75")))))</f>
        <v>46-55</v>
      </c>
      <c r="W73" s="3">
        <v>4</v>
      </c>
    </row>
    <row r="74" spans="1:23">
      <c r="A74" s="5" t="s">
        <v>60</v>
      </c>
      <c r="B74" s="5" t="s">
        <v>61</v>
      </c>
      <c r="C74" s="6">
        <v>45112</v>
      </c>
      <c r="D74" s="8">
        <v>34</v>
      </c>
      <c r="E74" s="5" t="s">
        <v>36</v>
      </c>
      <c r="F74" s="5" t="s">
        <v>21</v>
      </c>
      <c r="G74" s="5" t="s">
        <v>22</v>
      </c>
      <c r="H74" s="7">
        <v>437.59</v>
      </c>
      <c r="I74" s="3">
        <v>2</v>
      </c>
      <c r="J74" s="33">
        <f>H74*I74</f>
        <v>875.18</v>
      </c>
      <c r="K74" s="4">
        <v>0</v>
      </c>
      <c r="L74" s="9">
        <f>IF(J74=0,0,K74/J74)</f>
        <v>0</v>
      </c>
      <c r="M74" s="25">
        <v>875.18</v>
      </c>
      <c r="N74" s="5" t="s">
        <v>23</v>
      </c>
      <c r="O74" s="5" t="s">
        <v>33</v>
      </c>
      <c r="P74" s="3">
        <v>10</v>
      </c>
      <c r="Q74" s="3">
        <v>11</v>
      </c>
      <c r="R74" s="5" t="b">
        <v>1</v>
      </c>
      <c r="S74" s="5" t="str">
        <f>IF(R74=TRUE,"Returning Customer","New Customer")</f>
        <v>Returning Customer</v>
      </c>
      <c r="T74" s="3">
        <v>4</v>
      </c>
      <c r="U74" s="12" t="str">
        <f>IF(T74&lt;=3,"Fast",IF(T74&lt;=7,"Standard",IF(T74&lt;=14,"Slow","Very Slow")))</f>
        <v>Standard</v>
      </c>
      <c r="V74" s="10" t="str">
        <f>IF(D74&lt;=25,"18-25",IF(D74&lt;=35,"26-35",IF(D74&lt;=45,"36-45",IF(D74&lt;=55,"46-55",IF(D74&lt;=65,"56-65","66-75")))))</f>
        <v>26-35</v>
      </c>
      <c r="W74" s="3">
        <v>4</v>
      </c>
    </row>
    <row r="75" spans="1:23">
      <c r="A75" s="5" t="s">
        <v>62</v>
      </c>
      <c r="B75" s="5" t="s">
        <v>63</v>
      </c>
      <c r="C75" s="6">
        <v>45222</v>
      </c>
      <c r="D75" s="8">
        <v>53</v>
      </c>
      <c r="E75" s="5" t="s">
        <v>36</v>
      </c>
      <c r="F75" s="5" t="s">
        <v>52</v>
      </c>
      <c r="G75" s="5" t="s">
        <v>64</v>
      </c>
      <c r="H75" s="7">
        <v>772.83</v>
      </c>
      <c r="I75" s="3">
        <v>2</v>
      </c>
      <c r="J75" s="33">
        <f>H75*I75</f>
        <v>1545.66</v>
      </c>
      <c r="K75" s="4">
        <v>0</v>
      </c>
      <c r="L75" s="9">
        <f>IF(J75=0,0,K75/J75)</f>
        <v>0</v>
      </c>
      <c r="M75" s="25">
        <v>1545.66</v>
      </c>
      <c r="N75" s="5" t="s">
        <v>23</v>
      </c>
      <c r="O75" s="5" t="s">
        <v>33</v>
      </c>
      <c r="P75" s="3">
        <v>27</v>
      </c>
      <c r="Q75" s="3">
        <v>7</v>
      </c>
      <c r="R75" s="5" t="b">
        <v>0</v>
      </c>
      <c r="S75" s="5" t="str">
        <f>IF(R75=TRUE,"Returning Customer","New Customer")</f>
        <v>New Customer</v>
      </c>
      <c r="T75" s="3">
        <v>7</v>
      </c>
      <c r="U75" s="12" t="str">
        <f>IF(T75&lt;=3,"Fast",IF(T75&lt;=7,"Standard",IF(T75&lt;=14,"Slow","Very Slow")))</f>
        <v>Standard</v>
      </c>
      <c r="V75" s="10" t="str">
        <f>IF(D75&lt;=25,"18-25",IF(D75&lt;=35,"26-35",IF(D75&lt;=45,"36-45",IF(D75&lt;=55,"46-55",IF(D75&lt;=65,"56-65","66-75")))))</f>
        <v>46-55</v>
      </c>
      <c r="W75" s="3">
        <v>3</v>
      </c>
    </row>
    <row r="76" spans="1:23">
      <c r="A76" s="5" t="s">
        <v>1315</v>
      </c>
      <c r="B76" s="5" t="s">
        <v>1316</v>
      </c>
      <c r="C76" s="6">
        <v>45025</v>
      </c>
      <c r="D76" s="8">
        <v>18</v>
      </c>
      <c r="E76" s="5" t="s">
        <v>20</v>
      </c>
      <c r="F76" s="5" t="s">
        <v>32</v>
      </c>
      <c r="G76" s="5" t="s">
        <v>37</v>
      </c>
      <c r="H76" s="7">
        <v>52.78</v>
      </c>
      <c r="I76" s="3">
        <v>5</v>
      </c>
      <c r="J76" s="33">
        <f>H76*I76</f>
        <v>263.89999999999998</v>
      </c>
      <c r="K76" s="4">
        <v>13.58</v>
      </c>
      <c r="L76" s="9">
        <f>IF(J76=0,0,K76/J76)</f>
        <v>5.1458885941644564E-2</v>
      </c>
      <c r="M76" s="25">
        <v>250.32</v>
      </c>
      <c r="N76" s="5" t="s">
        <v>1298</v>
      </c>
      <c r="O76" s="5" t="s">
        <v>33</v>
      </c>
      <c r="P76" s="3">
        <v>24</v>
      </c>
      <c r="Q76" s="3">
        <v>9</v>
      </c>
      <c r="R76" s="5" t="b">
        <v>0</v>
      </c>
      <c r="S76" s="5" t="str">
        <f>IF(R76=TRUE,"Returning Customer","New Customer")</f>
        <v>New Customer</v>
      </c>
      <c r="T76" s="3">
        <v>4</v>
      </c>
      <c r="U76" s="12" t="str">
        <f>IF(T76&lt;=3,"Fast",IF(T76&lt;=7,"Standard",IF(T76&lt;=14,"Slow","Very Slow")))</f>
        <v>Standard</v>
      </c>
      <c r="V76" s="10" t="str">
        <f>IF(D76&lt;=25,"18-25",IF(D76&lt;=35,"26-35",IF(D76&lt;=45,"36-45",IF(D76&lt;=55,"46-55",IF(D76&lt;=65,"56-65","66-75")))))</f>
        <v>18-25</v>
      </c>
      <c r="W76" s="3">
        <v>5</v>
      </c>
    </row>
    <row r="77" spans="1:23">
      <c r="A77" s="5" t="s">
        <v>743</v>
      </c>
      <c r="B77" s="5" t="s">
        <v>744</v>
      </c>
      <c r="C77" s="6">
        <v>45287</v>
      </c>
      <c r="D77" s="8">
        <v>44</v>
      </c>
      <c r="E77" s="5" t="s">
        <v>20</v>
      </c>
      <c r="F77" s="5" t="s">
        <v>21</v>
      </c>
      <c r="G77" s="5" t="s">
        <v>53</v>
      </c>
      <c r="H77" s="7">
        <v>21.9</v>
      </c>
      <c r="I77" s="3">
        <v>4</v>
      </c>
      <c r="J77" s="33">
        <f>H77*I77</f>
        <v>87.6</v>
      </c>
      <c r="K77" s="4">
        <v>4.97</v>
      </c>
      <c r="L77" s="9">
        <f>IF(J77=0,0,K77/J77)</f>
        <v>5.6735159817351596E-2</v>
      </c>
      <c r="M77" s="25">
        <v>82.63</v>
      </c>
      <c r="N77" s="5" t="s">
        <v>692</v>
      </c>
      <c r="O77" s="5" t="s">
        <v>29</v>
      </c>
      <c r="P77" s="3">
        <v>34</v>
      </c>
      <c r="Q77" s="3">
        <v>14</v>
      </c>
      <c r="R77" s="5" t="b">
        <v>1</v>
      </c>
      <c r="S77" s="5" t="str">
        <f>IF(R77=TRUE,"Returning Customer","New Customer")</f>
        <v>Returning Customer</v>
      </c>
      <c r="T77" s="3">
        <v>6</v>
      </c>
      <c r="U77" s="12" t="str">
        <f>IF(T77&lt;=3,"Fast",IF(T77&lt;=7,"Standard",IF(T77&lt;=14,"Slow","Very Slow")))</f>
        <v>Standard</v>
      </c>
      <c r="V77" s="10" t="str">
        <f>IF(D77&lt;=25,"18-25",IF(D77&lt;=35,"26-35",IF(D77&lt;=45,"36-45",IF(D77&lt;=55,"46-55",IF(D77&lt;=65,"56-65","66-75")))))</f>
        <v>36-45</v>
      </c>
      <c r="W77" s="3">
        <v>5</v>
      </c>
    </row>
    <row r="78" spans="1:23">
      <c r="A78" s="5" t="s">
        <v>65</v>
      </c>
      <c r="B78" s="5" t="s">
        <v>66</v>
      </c>
      <c r="C78" s="6">
        <v>44962</v>
      </c>
      <c r="D78" s="8">
        <v>36</v>
      </c>
      <c r="E78" s="5" t="s">
        <v>36</v>
      </c>
      <c r="F78" s="5" t="s">
        <v>32</v>
      </c>
      <c r="G78" s="5" t="s">
        <v>22</v>
      </c>
      <c r="H78" s="7">
        <v>165.02</v>
      </c>
      <c r="I78" s="3">
        <v>1</v>
      </c>
      <c r="J78" s="33">
        <f>H78*I78</f>
        <v>165.02</v>
      </c>
      <c r="K78" s="4">
        <v>0</v>
      </c>
      <c r="L78" s="9">
        <f>IF(J78=0,0,K78/J78)</f>
        <v>0</v>
      </c>
      <c r="M78" s="25">
        <v>165.02</v>
      </c>
      <c r="N78" s="5" t="s">
        <v>23</v>
      </c>
      <c r="O78" s="5" t="s">
        <v>24</v>
      </c>
      <c r="P78" s="3">
        <v>7</v>
      </c>
      <c r="Q78" s="3">
        <v>13</v>
      </c>
      <c r="R78" s="5" t="b">
        <v>1</v>
      </c>
      <c r="S78" s="5" t="str">
        <f>IF(R78=TRUE,"Returning Customer","New Customer")</f>
        <v>Returning Customer</v>
      </c>
      <c r="T78" s="3">
        <v>3</v>
      </c>
      <c r="U78" s="12" t="str">
        <f>IF(T78&lt;=3,"Fast",IF(T78&lt;=7,"Standard",IF(T78&lt;=14,"Slow","Very Slow")))</f>
        <v>Fast</v>
      </c>
      <c r="V78" s="10" t="str">
        <f>IF(D78&lt;=25,"18-25",IF(D78&lt;=35,"26-35",IF(D78&lt;=45,"36-45",IF(D78&lt;=55,"46-55",IF(D78&lt;=65,"56-65","66-75")))))</f>
        <v>36-45</v>
      </c>
      <c r="W78" s="3">
        <v>2</v>
      </c>
    </row>
    <row r="79" spans="1:23">
      <c r="A79" s="5" t="s">
        <v>67</v>
      </c>
      <c r="B79" s="5" t="s">
        <v>68</v>
      </c>
      <c r="C79" s="6">
        <v>44950</v>
      </c>
      <c r="D79" s="8">
        <v>31</v>
      </c>
      <c r="E79" s="5" t="s">
        <v>20</v>
      </c>
      <c r="F79" s="5" t="s">
        <v>32</v>
      </c>
      <c r="G79" s="5" t="s">
        <v>53</v>
      </c>
      <c r="H79" s="7">
        <v>39.770000000000003</v>
      </c>
      <c r="I79" s="3">
        <v>1</v>
      </c>
      <c r="J79" s="33">
        <f>H79*I79</f>
        <v>39.770000000000003</v>
      </c>
      <c r="K79" s="4">
        <v>0</v>
      </c>
      <c r="L79" s="9">
        <f>IF(J79=0,0,K79/J79)</f>
        <v>0</v>
      </c>
      <c r="M79" s="25">
        <v>39.770000000000003</v>
      </c>
      <c r="N79" s="5" t="s">
        <v>23</v>
      </c>
      <c r="O79" s="5" t="s">
        <v>33</v>
      </c>
      <c r="P79" s="3">
        <v>12</v>
      </c>
      <c r="Q79" s="3">
        <v>6</v>
      </c>
      <c r="R79" s="5" t="b">
        <v>0</v>
      </c>
      <c r="S79" s="5" t="str">
        <f>IF(R79=TRUE,"Returning Customer","New Customer")</f>
        <v>New Customer</v>
      </c>
      <c r="T79" s="3">
        <v>9</v>
      </c>
      <c r="U79" s="12" t="str">
        <f>IF(T79&lt;=3,"Fast",IF(T79&lt;=7,"Standard",IF(T79&lt;=14,"Slow","Very Slow")))</f>
        <v>Slow</v>
      </c>
      <c r="V79" s="10" t="str">
        <f>IF(D79&lt;=25,"18-25",IF(D79&lt;=35,"26-35",IF(D79&lt;=45,"36-45",IF(D79&lt;=55,"46-55",IF(D79&lt;=65,"56-65","66-75")))))</f>
        <v>26-35</v>
      </c>
      <c r="W79" s="3">
        <v>5</v>
      </c>
    </row>
    <row r="80" spans="1:23">
      <c r="A80" s="5" t="s">
        <v>745</v>
      </c>
      <c r="B80" s="5" t="s">
        <v>746</v>
      </c>
      <c r="C80" s="6">
        <v>45265</v>
      </c>
      <c r="D80" s="8">
        <v>36</v>
      </c>
      <c r="E80" s="5" t="s">
        <v>20</v>
      </c>
      <c r="F80" s="5" t="s">
        <v>21</v>
      </c>
      <c r="G80" s="5" t="s">
        <v>37</v>
      </c>
      <c r="H80" s="7">
        <v>232.93</v>
      </c>
      <c r="I80" s="3">
        <v>2</v>
      </c>
      <c r="J80" s="33">
        <f>H80*I80</f>
        <v>465.86</v>
      </c>
      <c r="K80" s="4">
        <v>0</v>
      </c>
      <c r="L80" s="9">
        <f>IF(J80=0,0,K80/J80)</f>
        <v>0</v>
      </c>
      <c r="M80" s="25">
        <v>465.86</v>
      </c>
      <c r="N80" s="5" t="s">
        <v>692</v>
      </c>
      <c r="O80" s="5" t="s">
        <v>33</v>
      </c>
      <c r="P80" s="3">
        <v>11</v>
      </c>
      <c r="Q80" s="3">
        <v>6</v>
      </c>
      <c r="R80" s="5" t="b">
        <v>1</v>
      </c>
      <c r="S80" s="5" t="str">
        <f>IF(R80=TRUE,"Returning Customer","New Customer")</f>
        <v>Returning Customer</v>
      </c>
      <c r="T80" s="3">
        <v>4</v>
      </c>
      <c r="U80" s="12" t="str">
        <f>IF(T80&lt;=3,"Fast",IF(T80&lt;=7,"Standard",IF(T80&lt;=14,"Slow","Very Slow")))</f>
        <v>Standard</v>
      </c>
      <c r="V80" s="10" t="str">
        <f>IF(D80&lt;=25,"18-25",IF(D80&lt;=35,"26-35",IF(D80&lt;=45,"36-45",IF(D80&lt;=55,"46-55",IF(D80&lt;=65,"56-65","66-75")))))</f>
        <v>36-45</v>
      </c>
      <c r="W80" s="3">
        <v>4</v>
      </c>
    </row>
    <row r="81" spans="1:23">
      <c r="A81" s="5" t="s">
        <v>1238</v>
      </c>
      <c r="B81" s="5" t="s">
        <v>1239</v>
      </c>
      <c r="C81" s="6">
        <v>45043</v>
      </c>
      <c r="D81" s="8">
        <v>18</v>
      </c>
      <c r="E81" s="5" t="s">
        <v>20</v>
      </c>
      <c r="F81" s="5" t="s">
        <v>52</v>
      </c>
      <c r="G81" s="5" t="s">
        <v>28</v>
      </c>
      <c r="H81" s="7">
        <v>252.16</v>
      </c>
      <c r="I81" s="3">
        <v>1</v>
      </c>
      <c r="J81" s="33">
        <f>H81*I81</f>
        <v>252.16</v>
      </c>
      <c r="K81" s="4">
        <v>0</v>
      </c>
      <c r="L81" s="9">
        <f>IF(J81=0,0,K81/J81)</f>
        <v>0</v>
      </c>
      <c r="M81" s="25">
        <v>252.16</v>
      </c>
      <c r="N81" s="5" t="s">
        <v>1231</v>
      </c>
      <c r="O81" s="5" t="s">
        <v>24</v>
      </c>
      <c r="P81" s="3">
        <v>47</v>
      </c>
      <c r="Q81" s="3">
        <v>9</v>
      </c>
      <c r="R81" s="5" t="b">
        <v>1</v>
      </c>
      <c r="S81" s="5" t="str">
        <f>IF(R81=TRUE,"Returning Customer","New Customer")</f>
        <v>Returning Customer</v>
      </c>
      <c r="T81" s="3">
        <v>6</v>
      </c>
      <c r="U81" s="12" t="str">
        <f>IF(T81&lt;=3,"Fast",IF(T81&lt;=7,"Standard",IF(T81&lt;=14,"Slow","Very Slow")))</f>
        <v>Standard</v>
      </c>
      <c r="V81" s="10" t="str">
        <f>IF(D81&lt;=25,"18-25",IF(D81&lt;=35,"26-35",IF(D81&lt;=45,"36-45",IF(D81&lt;=55,"46-55",IF(D81&lt;=65,"56-65","66-75")))))</f>
        <v>18-25</v>
      </c>
      <c r="W81" s="3">
        <v>5</v>
      </c>
    </row>
    <row r="82" spans="1:23">
      <c r="A82" s="5" t="s">
        <v>1317</v>
      </c>
      <c r="B82" s="5" t="s">
        <v>1318</v>
      </c>
      <c r="C82" s="6">
        <v>45322</v>
      </c>
      <c r="D82" s="8">
        <v>32</v>
      </c>
      <c r="E82" s="5" t="s">
        <v>20</v>
      </c>
      <c r="F82" s="5" t="s">
        <v>76</v>
      </c>
      <c r="G82" s="5" t="s">
        <v>64</v>
      </c>
      <c r="H82" s="7">
        <v>2699.1</v>
      </c>
      <c r="I82" s="3">
        <v>2</v>
      </c>
      <c r="J82" s="33">
        <f>H82*I82</f>
        <v>5398.2</v>
      </c>
      <c r="K82" s="4">
        <v>480.87</v>
      </c>
      <c r="L82" s="9">
        <f>IF(J82=0,0,K82/J82)</f>
        <v>8.9079693231077034E-2</v>
      </c>
      <c r="M82" s="25">
        <v>4917.33</v>
      </c>
      <c r="N82" s="5" t="s">
        <v>1298</v>
      </c>
      <c r="O82" s="5" t="s">
        <v>24</v>
      </c>
      <c r="P82" s="3">
        <v>23</v>
      </c>
      <c r="Q82" s="3">
        <v>8</v>
      </c>
      <c r="R82" s="5" t="b">
        <v>0</v>
      </c>
      <c r="S82" s="5" t="str">
        <f>IF(R82=TRUE,"Returning Customer","New Customer")</f>
        <v>New Customer</v>
      </c>
      <c r="T82" s="3">
        <v>11</v>
      </c>
      <c r="U82" s="12" t="str">
        <f>IF(T82&lt;=3,"Fast",IF(T82&lt;=7,"Standard",IF(T82&lt;=14,"Slow","Very Slow")))</f>
        <v>Slow</v>
      </c>
      <c r="V82" s="10" t="str">
        <f>IF(D82&lt;=25,"18-25",IF(D82&lt;=35,"26-35",IF(D82&lt;=45,"36-45",IF(D82&lt;=55,"46-55",IF(D82&lt;=65,"56-65","66-75")))))</f>
        <v>26-35</v>
      </c>
      <c r="W82" s="3">
        <v>3</v>
      </c>
    </row>
    <row r="83" spans="1:23">
      <c r="A83" s="5" t="s">
        <v>747</v>
      </c>
      <c r="B83" s="5" t="s">
        <v>748</v>
      </c>
      <c r="C83" s="6">
        <v>45075</v>
      </c>
      <c r="D83" s="8">
        <v>39</v>
      </c>
      <c r="E83" s="5" t="s">
        <v>36</v>
      </c>
      <c r="F83" s="5" t="s">
        <v>52</v>
      </c>
      <c r="G83" s="5" t="s">
        <v>56</v>
      </c>
      <c r="H83" s="7">
        <v>255.73</v>
      </c>
      <c r="I83" s="3">
        <v>5</v>
      </c>
      <c r="J83" s="33">
        <f>H83*I83</f>
        <v>1278.6499999999999</v>
      </c>
      <c r="K83" s="4">
        <v>0</v>
      </c>
      <c r="L83" s="9">
        <f>IF(J83=0,0,K83/J83)</f>
        <v>0</v>
      </c>
      <c r="M83" s="25">
        <v>1278.6500000000001</v>
      </c>
      <c r="N83" s="5" t="s">
        <v>692</v>
      </c>
      <c r="O83" s="5" t="s">
        <v>33</v>
      </c>
      <c r="P83" s="3">
        <v>12</v>
      </c>
      <c r="Q83" s="3">
        <v>6</v>
      </c>
      <c r="R83" s="5" t="b">
        <v>0</v>
      </c>
      <c r="S83" s="5" t="str">
        <f>IF(R83=TRUE,"Returning Customer","New Customer")</f>
        <v>New Customer</v>
      </c>
      <c r="T83" s="3">
        <v>6</v>
      </c>
      <c r="U83" s="12" t="str">
        <f>IF(T83&lt;=3,"Fast",IF(T83&lt;=7,"Standard",IF(T83&lt;=14,"Slow","Very Slow")))</f>
        <v>Standard</v>
      </c>
      <c r="V83" s="10" t="str">
        <f>IF(D83&lt;=25,"18-25",IF(D83&lt;=35,"26-35",IF(D83&lt;=45,"36-45",IF(D83&lt;=55,"46-55",IF(D83&lt;=65,"56-65","66-75")))))</f>
        <v>36-45</v>
      </c>
      <c r="W83" s="3">
        <v>3</v>
      </c>
    </row>
    <row r="84" spans="1:23">
      <c r="A84" s="5" t="s">
        <v>69</v>
      </c>
      <c r="B84" s="5" t="s">
        <v>70</v>
      </c>
      <c r="C84" s="6">
        <v>44967</v>
      </c>
      <c r="D84" s="8">
        <v>52</v>
      </c>
      <c r="E84" s="5" t="s">
        <v>36</v>
      </c>
      <c r="F84" s="5" t="s">
        <v>27</v>
      </c>
      <c r="G84" s="5" t="s">
        <v>53</v>
      </c>
      <c r="H84" s="7">
        <v>42.89</v>
      </c>
      <c r="I84" s="3">
        <v>1</v>
      </c>
      <c r="J84" s="33">
        <f>H84*I84</f>
        <v>42.89</v>
      </c>
      <c r="K84" s="4">
        <v>0</v>
      </c>
      <c r="L84" s="9">
        <f>IF(J84=0,0,K84/J84)</f>
        <v>0</v>
      </c>
      <c r="M84" s="25">
        <v>42.89</v>
      </c>
      <c r="N84" s="5" t="s">
        <v>23</v>
      </c>
      <c r="O84" s="5" t="s">
        <v>24</v>
      </c>
      <c r="P84" s="3">
        <v>26</v>
      </c>
      <c r="Q84" s="3">
        <v>10</v>
      </c>
      <c r="R84" s="5" t="b">
        <v>1</v>
      </c>
      <c r="S84" s="5" t="str">
        <f>IF(R84=TRUE,"Returning Customer","New Customer")</f>
        <v>Returning Customer</v>
      </c>
      <c r="T84" s="3">
        <v>8</v>
      </c>
      <c r="U84" s="12" t="str">
        <f>IF(T84&lt;=3,"Fast",IF(T84&lt;=7,"Standard",IF(T84&lt;=14,"Slow","Very Slow")))</f>
        <v>Slow</v>
      </c>
      <c r="V84" s="10" t="str">
        <f>IF(D84&lt;=25,"18-25",IF(D84&lt;=35,"26-35",IF(D84&lt;=45,"36-45",IF(D84&lt;=55,"46-55",IF(D84&lt;=65,"56-65","66-75")))))</f>
        <v>46-55</v>
      </c>
      <c r="W84" s="3">
        <v>5</v>
      </c>
    </row>
    <row r="85" spans="1:23">
      <c r="A85" s="5" t="s">
        <v>71</v>
      </c>
      <c r="B85" s="5" t="s">
        <v>72</v>
      </c>
      <c r="C85" s="6">
        <v>45364</v>
      </c>
      <c r="D85" s="8">
        <v>28</v>
      </c>
      <c r="E85" s="5" t="s">
        <v>36</v>
      </c>
      <c r="F85" s="5" t="s">
        <v>73</v>
      </c>
      <c r="G85" s="5" t="s">
        <v>64</v>
      </c>
      <c r="H85" s="7">
        <v>2289.9</v>
      </c>
      <c r="I85" s="3">
        <v>1</v>
      </c>
      <c r="J85" s="33">
        <f>H85*I85</f>
        <v>2289.9</v>
      </c>
      <c r="K85" s="4">
        <v>0</v>
      </c>
      <c r="L85" s="9">
        <f>IF(J85=0,0,K85/J85)</f>
        <v>0</v>
      </c>
      <c r="M85" s="25">
        <v>2289.9</v>
      </c>
      <c r="N85" s="5" t="s">
        <v>23</v>
      </c>
      <c r="O85" s="5" t="s">
        <v>33</v>
      </c>
      <c r="P85" s="3">
        <v>11</v>
      </c>
      <c r="Q85" s="3">
        <v>8</v>
      </c>
      <c r="R85" s="5" t="b">
        <v>0</v>
      </c>
      <c r="S85" s="5" t="str">
        <f>IF(R85=TRUE,"Returning Customer","New Customer")</f>
        <v>New Customer</v>
      </c>
      <c r="T85" s="3">
        <v>6</v>
      </c>
      <c r="U85" s="12" t="str">
        <f>IF(T85&lt;=3,"Fast",IF(T85&lt;=7,"Standard",IF(T85&lt;=14,"Slow","Very Slow")))</f>
        <v>Standard</v>
      </c>
      <c r="V85" s="10" t="str">
        <f>IF(D85&lt;=25,"18-25",IF(D85&lt;=35,"26-35",IF(D85&lt;=45,"36-45",IF(D85&lt;=55,"46-55",IF(D85&lt;=65,"56-65","66-75")))))</f>
        <v>26-35</v>
      </c>
      <c r="W85" s="3">
        <v>5</v>
      </c>
    </row>
    <row r="86" spans="1:23">
      <c r="A86" s="5" t="s">
        <v>368</v>
      </c>
      <c r="B86" s="5" t="s">
        <v>369</v>
      </c>
      <c r="C86" s="6">
        <v>45046</v>
      </c>
      <c r="D86" s="8">
        <v>25</v>
      </c>
      <c r="E86" s="5" t="s">
        <v>122</v>
      </c>
      <c r="F86" s="5" t="s">
        <v>27</v>
      </c>
      <c r="G86" s="5" t="s">
        <v>53</v>
      </c>
      <c r="H86" s="7">
        <v>53.09</v>
      </c>
      <c r="I86" s="3">
        <v>5</v>
      </c>
      <c r="J86" s="33">
        <f>H86*I86</f>
        <v>265.45000000000005</v>
      </c>
      <c r="K86" s="4">
        <v>0</v>
      </c>
      <c r="L86" s="9">
        <f>IF(J86=0,0,K86/J86)</f>
        <v>0</v>
      </c>
      <c r="M86" s="25">
        <v>265.45</v>
      </c>
      <c r="N86" s="5" t="s">
        <v>327</v>
      </c>
      <c r="O86" s="5" t="s">
        <v>33</v>
      </c>
      <c r="P86" s="3">
        <v>5</v>
      </c>
      <c r="Q86" s="3">
        <v>3</v>
      </c>
      <c r="R86" s="5" t="b">
        <v>0</v>
      </c>
      <c r="S86" s="5" t="str">
        <f>IF(R86=TRUE,"Returning Customer","New Customer")</f>
        <v>New Customer</v>
      </c>
      <c r="T86" s="3">
        <v>6</v>
      </c>
      <c r="U86" s="12" t="str">
        <f>IF(T86&lt;=3,"Fast",IF(T86&lt;=7,"Standard",IF(T86&lt;=14,"Slow","Very Slow")))</f>
        <v>Standard</v>
      </c>
      <c r="V86" s="10" t="str">
        <f>IF(D86&lt;=25,"18-25",IF(D86&lt;=35,"26-35",IF(D86&lt;=45,"36-45",IF(D86&lt;=55,"46-55",IF(D86&lt;=65,"56-65","66-75")))))</f>
        <v>18-25</v>
      </c>
      <c r="W86" s="3">
        <v>4</v>
      </c>
    </row>
    <row r="87" spans="1:23">
      <c r="A87" s="5" t="s">
        <v>1319</v>
      </c>
      <c r="B87" s="5" t="s">
        <v>1320</v>
      </c>
      <c r="C87" s="6">
        <v>45370</v>
      </c>
      <c r="D87" s="8">
        <v>28</v>
      </c>
      <c r="E87" s="5" t="s">
        <v>20</v>
      </c>
      <c r="F87" s="5" t="s">
        <v>52</v>
      </c>
      <c r="G87" s="5" t="s">
        <v>22</v>
      </c>
      <c r="H87" s="7">
        <v>331.93</v>
      </c>
      <c r="I87" s="3">
        <v>1</v>
      </c>
      <c r="J87" s="33">
        <f>H87*I87</f>
        <v>331.93</v>
      </c>
      <c r="K87" s="4">
        <v>57.9</v>
      </c>
      <c r="L87" s="9">
        <f>IF(J87=0,0,K87/J87)</f>
        <v>0.17443436869219414</v>
      </c>
      <c r="M87" s="25">
        <v>274.02999999999997</v>
      </c>
      <c r="N87" s="5" t="s">
        <v>1298</v>
      </c>
      <c r="O87" s="5" t="s">
        <v>24</v>
      </c>
      <c r="P87" s="3">
        <v>15</v>
      </c>
      <c r="Q87" s="3">
        <v>17</v>
      </c>
      <c r="R87" s="5" t="b">
        <v>0</v>
      </c>
      <c r="S87" s="5" t="str">
        <f>IF(R87=TRUE,"Returning Customer","New Customer")</f>
        <v>New Customer</v>
      </c>
      <c r="T87" s="3">
        <v>5</v>
      </c>
      <c r="U87" s="12" t="str">
        <f>IF(T87&lt;=3,"Fast",IF(T87&lt;=7,"Standard",IF(T87&lt;=14,"Slow","Very Slow")))</f>
        <v>Standard</v>
      </c>
      <c r="V87" s="10" t="str">
        <f>IF(D87&lt;=25,"18-25",IF(D87&lt;=35,"26-35",IF(D87&lt;=45,"36-45",IF(D87&lt;=55,"46-55",IF(D87&lt;=65,"56-65","66-75")))))</f>
        <v>26-35</v>
      </c>
      <c r="W87" s="3">
        <v>5</v>
      </c>
    </row>
    <row r="88" spans="1:23">
      <c r="A88" s="5" t="s">
        <v>74</v>
      </c>
      <c r="B88" s="5" t="s">
        <v>75</v>
      </c>
      <c r="C88" s="6">
        <v>44978</v>
      </c>
      <c r="D88" s="8">
        <v>45</v>
      </c>
      <c r="E88" s="5" t="s">
        <v>20</v>
      </c>
      <c r="F88" s="5" t="s">
        <v>76</v>
      </c>
      <c r="G88" s="5" t="s">
        <v>53</v>
      </c>
      <c r="H88" s="7">
        <v>22.1</v>
      </c>
      <c r="I88" s="3">
        <v>2</v>
      </c>
      <c r="J88" s="33">
        <f>H88*I88</f>
        <v>44.2</v>
      </c>
      <c r="K88" s="4">
        <v>4.92</v>
      </c>
      <c r="L88" s="9">
        <f>IF(J88=0,0,K88/J88)</f>
        <v>0.11131221719457013</v>
      </c>
      <c r="M88" s="25">
        <v>39.28</v>
      </c>
      <c r="N88" s="5" t="s">
        <v>23</v>
      </c>
      <c r="O88" s="5" t="s">
        <v>24</v>
      </c>
      <c r="P88" s="3">
        <v>9</v>
      </c>
      <c r="Q88" s="3">
        <v>7</v>
      </c>
      <c r="R88" s="5" t="b">
        <v>0</v>
      </c>
      <c r="S88" s="5" t="str">
        <f>IF(R88=TRUE,"Returning Customer","New Customer")</f>
        <v>New Customer</v>
      </c>
      <c r="T88" s="3">
        <v>2</v>
      </c>
      <c r="U88" s="12" t="str">
        <f>IF(T88&lt;=3,"Fast",IF(T88&lt;=7,"Standard",IF(T88&lt;=14,"Slow","Very Slow")))</f>
        <v>Fast</v>
      </c>
      <c r="V88" s="10" t="str">
        <f>IF(D88&lt;=25,"18-25",IF(D88&lt;=35,"26-35",IF(D88&lt;=45,"36-45",IF(D88&lt;=55,"46-55",IF(D88&lt;=65,"56-65","66-75")))))</f>
        <v>36-45</v>
      </c>
      <c r="W88" s="3">
        <v>5</v>
      </c>
    </row>
    <row r="89" spans="1:23">
      <c r="A89" s="5" t="s">
        <v>77</v>
      </c>
      <c r="B89" s="5" t="s">
        <v>78</v>
      </c>
      <c r="C89" s="6">
        <v>45121</v>
      </c>
      <c r="D89" s="8">
        <v>38</v>
      </c>
      <c r="E89" s="5" t="s">
        <v>20</v>
      </c>
      <c r="F89" s="5" t="s">
        <v>73</v>
      </c>
      <c r="G89" s="5" t="s">
        <v>28</v>
      </c>
      <c r="H89" s="7">
        <v>156.28</v>
      </c>
      <c r="I89" s="3">
        <v>5</v>
      </c>
      <c r="J89" s="33">
        <f>H89*I89</f>
        <v>781.4</v>
      </c>
      <c r="K89" s="4">
        <v>0</v>
      </c>
      <c r="L89" s="9">
        <f>IF(J89=0,0,K89/J89)</f>
        <v>0</v>
      </c>
      <c r="M89" s="25">
        <v>781.4</v>
      </c>
      <c r="N89" s="5" t="s">
        <v>23</v>
      </c>
      <c r="O89" s="5" t="s">
        <v>24</v>
      </c>
      <c r="P89" s="3">
        <v>6</v>
      </c>
      <c r="Q89" s="3">
        <v>7</v>
      </c>
      <c r="R89" s="5" t="b">
        <v>1</v>
      </c>
      <c r="S89" s="5" t="str">
        <f>IF(R89=TRUE,"Returning Customer","New Customer")</f>
        <v>Returning Customer</v>
      </c>
      <c r="T89" s="3">
        <v>4</v>
      </c>
      <c r="U89" s="12" t="str">
        <f>IF(T89&lt;=3,"Fast",IF(T89&lt;=7,"Standard",IF(T89&lt;=14,"Slow","Very Slow")))</f>
        <v>Standard</v>
      </c>
      <c r="V89" s="10" t="str">
        <f>IF(D89&lt;=25,"18-25",IF(D89&lt;=35,"26-35",IF(D89&lt;=45,"36-45",IF(D89&lt;=55,"46-55",IF(D89&lt;=65,"56-65","66-75")))))</f>
        <v>36-45</v>
      </c>
      <c r="W89" s="3">
        <v>3</v>
      </c>
    </row>
    <row r="90" spans="1:23">
      <c r="A90" s="5" t="s">
        <v>749</v>
      </c>
      <c r="B90" s="5" t="s">
        <v>750</v>
      </c>
      <c r="C90" s="6">
        <v>45069</v>
      </c>
      <c r="D90" s="8">
        <v>28</v>
      </c>
      <c r="E90" s="5" t="s">
        <v>20</v>
      </c>
      <c r="F90" s="5" t="s">
        <v>59</v>
      </c>
      <c r="G90" s="5" t="s">
        <v>22</v>
      </c>
      <c r="H90" s="7">
        <v>386.18</v>
      </c>
      <c r="I90" s="3">
        <v>2</v>
      </c>
      <c r="J90" s="33">
        <f>H90*I90</f>
        <v>772.36</v>
      </c>
      <c r="K90" s="4">
        <v>83.42</v>
      </c>
      <c r="L90" s="9">
        <f>IF(J90=0,0,K90/J90)</f>
        <v>0.10800662903309338</v>
      </c>
      <c r="M90" s="25">
        <v>688.94</v>
      </c>
      <c r="N90" s="5" t="s">
        <v>692</v>
      </c>
      <c r="O90" s="5" t="s">
        <v>33</v>
      </c>
      <c r="P90" s="3">
        <v>7</v>
      </c>
      <c r="Q90" s="3">
        <v>10</v>
      </c>
      <c r="R90" s="5" t="b">
        <v>1</v>
      </c>
      <c r="S90" s="5" t="str">
        <f>IF(R90=TRUE,"Returning Customer","New Customer")</f>
        <v>Returning Customer</v>
      </c>
      <c r="T90" s="3">
        <v>3</v>
      </c>
      <c r="U90" s="12" t="str">
        <f>IF(T90&lt;=3,"Fast",IF(T90&lt;=7,"Standard",IF(T90&lt;=14,"Slow","Very Slow")))</f>
        <v>Fast</v>
      </c>
      <c r="V90" s="10" t="str">
        <f>IF(D90&lt;=25,"18-25",IF(D90&lt;=35,"26-35",IF(D90&lt;=45,"36-45",IF(D90&lt;=55,"46-55",IF(D90&lt;=65,"56-65","66-75")))))</f>
        <v>26-35</v>
      </c>
      <c r="W90" s="3">
        <v>4</v>
      </c>
    </row>
    <row r="91" spans="1:23">
      <c r="A91" s="5" t="s">
        <v>370</v>
      </c>
      <c r="B91" s="5" t="s">
        <v>371</v>
      </c>
      <c r="C91" s="6">
        <v>45159</v>
      </c>
      <c r="D91" s="8">
        <v>41</v>
      </c>
      <c r="E91" s="5" t="s">
        <v>20</v>
      </c>
      <c r="F91" s="5" t="s">
        <v>52</v>
      </c>
      <c r="G91" s="5" t="s">
        <v>22</v>
      </c>
      <c r="H91" s="7">
        <v>112.21</v>
      </c>
      <c r="I91" s="3">
        <v>1</v>
      </c>
      <c r="J91" s="33">
        <f>H91*I91</f>
        <v>112.21</v>
      </c>
      <c r="K91" s="4">
        <v>0</v>
      </c>
      <c r="L91" s="9">
        <f>IF(J91=0,0,K91/J91)</f>
        <v>0</v>
      </c>
      <c r="M91" s="25">
        <v>112.21</v>
      </c>
      <c r="N91" s="5" t="s">
        <v>327</v>
      </c>
      <c r="O91" s="5" t="s">
        <v>33</v>
      </c>
      <c r="P91" s="3">
        <v>24</v>
      </c>
      <c r="Q91" s="3">
        <v>8</v>
      </c>
      <c r="R91" s="5" t="b">
        <v>1</v>
      </c>
      <c r="S91" s="5" t="str">
        <f>IF(R91=TRUE,"Returning Customer","New Customer")</f>
        <v>Returning Customer</v>
      </c>
      <c r="T91" s="3">
        <v>5</v>
      </c>
      <c r="U91" s="12" t="str">
        <f>IF(T91&lt;=3,"Fast",IF(T91&lt;=7,"Standard",IF(T91&lt;=14,"Slow","Very Slow")))</f>
        <v>Standard</v>
      </c>
      <c r="V91" s="10" t="str">
        <f>IF(D91&lt;=25,"18-25",IF(D91&lt;=35,"26-35",IF(D91&lt;=45,"36-45",IF(D91&lt;=55,"46-55",IF(D91&lt;=65,"56-65","66-75")))))</f>
        <v>36-45</v>
      </c>
      <c r="W91" s="3">
        <v>3</v>
      </c>
    </row>
    <row r="92" spans="1:23">
      <c r="A92" s="5" t="s">
        <v>372</v>
      </c>
      <c r="B92" s="5" t="s">
        <v>373</v>
      </c>
      <c r="C92" s="6">
        <v>45252</v>
      </c>
      <c r="D92" s="8">
        <v>36</v>
      </c>
      <c r="E92" s="5" t="s">
        <v>36</v>
      </c>
      <c r="F92" s="5" t="s">
        <v>32</v>
      </c>
      <c r="G92" s="5" t="s">
        <v>64</v>
      </c>
      <c r="H92" s="7">
        <v>305.23</v>
      </c>
      <c r="I92" s="3">
        <v>5</v>
      </c>
      <c r="J92" s="33">
        <f>H92*I92</f>
        <v>1526.15</v>
      </c>
      <c r="K92" s="4">
        <v>0</v>
      </c>
      <c r="L92" s="9">
        <f>IF(J92=0,0,K92/J92)</f>
        <v>0</v>
      </c>
      <c r="M92" s="25">
        <v>1526.15</v>
      </c>
      <c r="N92" s="5" t="s">
        <v>327</v>
      </c>
      <c r="O92" s="5" t="s">
        <v>24</v>
      </c>
      <c r="P92" s="3">
        <v>46</v>
      </c>
      <c r="Q92" s="3">
        <v>5</v>
      </c>
      <c r="R92" s="5" t="b">
        <v>0</v>
      </c>
      <c r="S92" s="5" t="str">
        <f>IF(R92=TRUE,"Returning Customer","New Customer")</f>
        <v>New Customer</v>
      </c>
      <c r="T92" s="3">
        <v>2</v>
      </c>
      <c r="U92" s="12" t="str">
        <f>IF(T92&lt;=3,"Fast",IF(T92&lt;=7,"Standard",IF(T92&lt;=14,"Slow","Very Slow")))</f>
        <v>Fast</v>
      </c>
      <c r="V92" s="10" t="str">
        <f>IF(D92&lt;=25,"18-25",IF(D92&lt;=35,"26-35",IF(D92&lt;=45,"36-45",IF(D92&lt;=55,"46-55",IF(D92&lt;=65,"56-65","66-75")))))</f>
        <v>36-45</v>
      </c>
      <c r="W92" s="3">
        <v>5</v>
      </c>
    </row>
    <row r="93" spans="1:23">
      <c r="A93" s="5" t="s">
        <v>79</v>
      </c>
      <c r="B93" s="5" t="s">
        <v>80</v>
      </c>
      <c r="C93" s="6">
        <v>45354</v>
      </c>
      <c r="D93" s="8">
        <v>46</v>
      </c>
      <c r="E93" s="5" t="s">
        <v>36</v>
      </c>
      <c r="F93" s="5" t="s">
        <v>49</v>
      </c>
      <c r="G93" s="5" t="s">
        <v>46</v>
      </c>
      <c r="H93" s="7">
        <v>192.94</v>
      </c>
      <c r="I93" s="3">
        <v>3</v>
      </c>
      <c r="J93" s="33">
        <f>H93*I93</f>
        <v>578.81999999999994</v>
      </c>
      <c r="K93" s="4">
        <v>22.26</v>
      </c>
      <c r="L93" s="9">
        <f>IF(J93=0,0,K93/J93)</f>
        <v>3.8457551570436413E-2</v>
      </c>
      <c r="M93" s="25">
        <v>556.55999999999995</v>
      </c>
      <c r="N93" s="5" t="s">
        <v>23</v>
      </c>
      <c r="O93" s="5" t="s">
        <v>29</v>
      </c>
      <c r="P93" s="3">
        <v>9</v>
      </c>
      <c r="Q93" s="3">
        <v>6</v>
      </c>
      <c r="R93" s="5" t="b">
        <v>1</v>
      </c>
      <c r="S93" s="5" t="str">
        <f>IF(R93=TRUE,"Returning Customer","New Customer")</f>
        <v>Returning Customer</v>
      </c>
      <c r="T93" s="3">
        <v>5</v>
      </c>
      <c r="U93" s="12" t="str">
        <f>IF(T93&lt;=3,"Fast",IF(T93&lt;=7,"Standard",IF(T93&lt;=14,"Slow","Very Slow")))</f>
        <v>Standard</v>
      </c>
      <c r="V93" s="10" t="str">
        <f>IF(D93&lt;=25,"18-25",IF(D93&lt;=35,"26-35",IF(D93&lt;=45,"36-45",IF(D93&lt;=55,"46-55",IF(D93&lt;=65,"56-65","66-75")))))</f>
        <v>46-55</v>
      </c>
      <c r="W93" s="3">
        <v>5</v>
      </c>
    </row>
    <row r="94" spans="1:23">
      <c r="A94" s="5" t="s">
        <v>374</v>
      </c>
      <c r="B94" s="5" t="s">
        <v>375</v>
      </c>
      <c r="C94" s="6">
        <v>45113</v>
      </c>
      <c r="D94" s="8">
        <v>26</v>
      </c>
      <c r="E94" s="5" t="s">
        <v>20</v>
      </c>
      <c r="F94" s="5" t="s">
        <v>32</v>
      </c>
      <c r="G94" s="5" t="s">
        <v>37</v>
      </c>
      <c r="H94" s="7">
        <v>195.25</v>
      </c>
      <c r="I94" s="3">
        <v>3</v>
      </c>
      <c r="J94" s="33">
        <f>H94*I94</f>
        <v>585.75</v>
      </c>
      <c r="K94" s="4">
        <v>46.36</v>
      </c>
      <c r="L94" s="9">
        <f>IF(J94=0,0,K94/J94)</f>
        <v>7.9146393512590701E-2</v>
      </c>
      <c r="M94" s="25">
        <v>539.39</v>
      </c>
      <c r="N94" s="5" t="s">
        <v>327</v>
      </c>
      <c r="O94" s="5" t="s">
        <v>33</v>
      </c>
      <c r="P94" s="3">
        <v>21</v>
      </c>
      <c r="Q94" s="3">
        <v>12</v>
      </c>
      <c r="R94" s="5" t="b">
        <v>1</v>
      </c>
      <c r="S94" s="5" t="str">
        <f>IF(R94=TRUE,"Returning Customer","New Customer")</f>
        <v>Returning Customer</v>
      </c>
      <c r="T94" s="3">
        <v>11</v>
      </c>
      <c r="U94" s="12" t="str">
        <f>IF(T94&lt;=3,"Fast",IF(T94&lt;=7,"Standard",IF(T94&lt;=14,"Slow","Very Slow")))</f>
        <v>Slow</v>
      </c>
      <c r="V94" s="10" t="str">
        <f>IF(D94&lt;=25,"18-25",IF(D94&lt;=35,"26-35",IF(D94&lt;=45,"36-45",IF(D94&lt;=55,"46-55",IF(D94&lt;=65,"56-65","66-75")))))</f>
        <v>26-35</v>
      </c>
      <c r="W94" s="3">
        <v>4</v>
      </c>
    </row>
    <row r="95" spans="1:23">
      <c r="A95" s="5" t="s">
        <v>751</v>
      </c>
      <c r="B95" s="5" t="s">
        <v>752</v>
      </c>
      <c r="C95" s="6">
        <v>45010</v>
      </c>
      <c r="D95" s="8">
        <v>31</v>
      </c>
      <c r="E95" s="5" t="s">
        <v>36</v>
      </c>
      <c r="F95" s="5" t="s">
        <v>21</v>
      </c>
      <c r="G95" s="5" t="s">
        <v>53</v>
      </c>
      <c r="H95" s="7">
        <v>23.79</v>
      </c>
      <c r="I95" s="3">
        <v>4</v>
      </c>
      <c r="J95" s="33">
        <f>H95*I95</f>
        <v>95.16</v>
      </c>
      <c r="K95" s="4">
        <v>6.27</v>
      </c>
      <c r="L95" s="9">
        <f>IF(J95=0,0,K95/J95)</f>
        <v>6.5889029003783101E-2</v>
      </c>
      <c r="M95" s="25">
        <v>88.89</v>
      </c>
      <c r="N95" s="5" t="s">
        <v>692</v>
      </c>
      <c r="O95" s="5" t="s">
        <v>33</v>
      </c>
      <c r="P95" s="3">
        <v>15</v>
      </c>
      <c r="Q95" s="3">
        <v>9</v>
      </c>
      <c r="R95" s="5" t="b">
        <v>0</v>
      </c>
      <c r="S95" s="5" t="str">
        <f>IF(R95=TRUE,"Returning Customer","New Customer")</f>
        <v>New Customer</v>
      </c>
      <c r="T95" s="3">
        <v>11</v>
      </c>
      <c r="U95" s="12" t="str">
        <f>IF(T95&lt;=3,"Fast",IF(T95&lt;=7,"Standard",IF(T95&lt;=14,"Slow","Very Slow")))</f>
        <v>Slow</v>
      </c>
      <c r="V95" s="10" t="str">
        <f>IF(D95&lt;=25,"18-25",IF(D95&lt;=35,"26-35",IF(D95&lt;=45,"36-45",IF(D95&lt;=55,"46-55",IF(D95&lt;=65,"56-65","66-75")))))</f>
        <v>26-35</v>
      </c>
      <c r="W95" s="3">
        <v>5</v>
      </c>
    </row>
    <row r="96" spans="1:23">
      <c r="A96" s="5" t="s">
        <v>753</v>
      </c>
      <c r="B96" s="5" t="s">
        <v>754</v>
      </c>
      <c r="C96" s="6">
        <v>45116</v>
      </c>
      <c r="D96" s="8">
        <v>30</v>
      </c>
      <c r="E96" s="5" t="s">
        <v>36</v>
      </c>
      <c r="F96" s="5" t="s">
        <v>32</v>
      </c>
      <c r="G96" s="5" t="s">
        <v>56</v>
      </c>
      <c r="H96" s="7">
        <v>583.94000000000005</v>
      </c>
      <c r="I96" s="3">
        <v>2</v>
      </c>
      <c r="J96" s="33">
        <f>H96*I96</f>
        <v>1167.8800000000001</v>
      </c>
      <c r="K96" s="4">
        <v>0</v>
      </c>
      <c r="L96" s="9">
        <f>IF(J96=0,0,K96/J96)</f>
        <v>0</v>
      </c>
      <c r="M96" s="25">
        <v>1167.8800000000001</v>
      </c>
      <c r="N96" s="5" t="s">
        <v>692</v>
      </c>
      <c r="O96" s="5" t="s">
        <v>24</v>
      </c>
      <c r="P96" s="3">
        <v>4</v>
      </c>
      <c r="Q96" s="3">
        <v>8</v>
      </c>
      <c r="R96" s="5" t="b">
        <v>0</v>
      </c>
      <c r="S96" s="5" t="str">
        <f>IF(R96=TRUE,"Returning Customer","New Customer")</f>
        <v>New Customer</v>
      </c>
      <c r="T96" s="3">
        <v>7</v>
      </c>
      <c r="U96" s="12" t="str">
        <f>IF(T96&lt;=3,"Fast",IF(T96&lt;=7,"Standard",IF(T96&lt;=14,"Slow","Very Slow")))</f>
        <v>Standard</v>
      </c>
      <c r="V96" s="10" t="str">
        <f>IF(D96&lt;=25,"18-25",IF(D96&lt;=35,"26-35",IF(D96&lt;=45,"36-45",IF(D96&lt;=55,"46-55",IF(D96&lt;=65,"56-65","66-75")))))</f>
        <v>26-35</v>
      </c>
      <c r="W96" s="3">
        <v>5</v>
      </c>
    </row>
    <row r="97" spans="1:23">
      <c r="A97" s="5" t="s">
        <v>376</v>
      </c>
      <c r="B97" s="5" t="s">
        <v>377</v>
      </c>
      <c r="C97" s="6">
        <v>45108</v>
      </c>
      <c r="D97" s="8">
        <v>18</v>
      </c>
      <c r="E97" s="5" t="s">
        <v>36</v>
      </c>
      <c r="F97" s="5" t="s">
        <v>49</v>
      </c>
      <c r="G97" s="5" t="s">
        <v>115</v>
      </c>
      <c r="H97" s="7">
        <v>14.65</v>
      </c>
      <c r="I97" s="3">
        <v>1</v>
      </c>
      <c r="J97" s="33">
        <f>H97*I97</f>
        <v>14.65</v>
      </c>
      <c r="K97" s="4">
        <v>0</v>
      </c>
      <c r="L97" s="9">
        <f>IF(J97=0,0,K97/J97)</f>
        <v>0</v>
      </c>
      <c r="M97" s="25">
        <v>14.65</v>
      </c>
      <c r="N97" s="5" t="s">
        <v>327</v>
      </c>
      <c r="O97" s="5" t="s">
        <v>33</v>
      </c>
      <c r="P97" s="3">
        <v>37</v>
      </c>
      <c r="Q97" s="3">
        <v>7</v>
      </c>
      <c r="R97" s="5" t="b">
        <v>1</v>
      </c>
      <c r="S97" s="5" t="str">
        <f>IF(R97=TRUE,"Returning Customer","New Customer")</f>
        <v>Returning Customer</v>
      </c>
      <c r="T97" s="3">
        <v>4</v>
      </c>
      <c r="U97" s="12" t="str">
        <f>IF(T97&lt;=3,"Fast",IF(T97&lt;=7,"Standard",IF(T97&lt;=14,"Slow","Very Slow")))</f>
        <v>Standard</v>
      </c>
      <c r="V97" s="10" t="str">
        <f>IF(D97&lt;=25,"18-25",IF(D97&lt;=35,"26-35",IF(D97&lt;=45,"36-45",IF(D97&lt;=55,"46-55",IF(D97&lt;=65,"56-65","66-75")))))</f>
        <v>18-25</v>
      </c>
      <c r="W97" s="3">
        <v>3</v>
      </c>
    </row>
    <row r="98" spans="1:23">
      <c r="A98" s="5" t="s">
        <v>81</v>
      </c>
      <c r="B98" s="5" t="s">
        <v>82</v>
      </c>
      <c r="C98" s="6">
        <v>45034</v>
      </c>
      <c r="D98" s="8">
        <v>38</v>
      </c>
      <c r="E98" s="5" t="s">
        <v>36</v>
      </c>
      <c r="F98" s="5" t="s">
        <v>83</v>
      </c>
      <c r="G98" s="5" t="s">
        <v>22</v>
      </c>
      <c r="H98" s="7">
        <v>123.37</v>
      </c>
      <c r="I98" s="3">
        <v>5</v>
      </c>
      <c r="J98" s="33">
        <f>H98*I98</f>
        <v>616.85</v>
      </c>
      <c r="K98" s="4">
        <v>0</v>
      </c>
      <c r="L98" s="9">
        <f>IF(J98=0,0,K98/J98)</f>
        <v>0</v>
      </c>
      <c r="M98" s="25">
        <v>616.85</v>
      </c>
      <c r="N98" s="5" t="s">
        <v>23</v>
      </c>
      <c r="O98" s="5" t="s">
        <v>33</v>
      </c>
      <c r="P98" s="3">
        <v>30</v>
      </c>
      <c r="Q98" s="3">
        <v>11</v>
      </c>
      <c r="R98" s="5" t="b">
        <v>1</v>
      </c>
      <c r="S98" s="5" t="str">
        <f>IF(R98=TRUE,"Returning Customer","New Customer")</f>
        <v>Returning Customer</v>
      </c>
      <c r="T98" s="3">
        <v>5</v>
      </c>
      <c r="U98" s="12" t="str">
        <f>IF(T98&lt;=3,"Fast",IF(T98&lt;=7,"Standard",IF(T98&lt;=14,"Slow","Very Slow")))</f>
        <v>Standard</v>
      </c>
      <c r="V98" s="10" t="str">
        <f>IF(D98&lt;=25,"18-25",IF(D98&lt;=35,"26-35",IF(D98&lt;=45,"36-45",IF(D98&lt;=55,"46-55",IF(D98&lt;=65,"56-65","66-75")))))</f>
        <v>36-45</v>
      </c>
      <c r="W98" s="3">
        <v>4</v>
      </c>
    </row>
    <row r="99" spans="1:23">
      <c r="A99" s="5" t="s">
        <v>84</v>
      </c>
      <c r="B99" s="5" t="s">
        <v>85</v>
      </c>
      <c r="C99" s="6">
        <v>45270</v>
      </c>
      <c r="D99" s="8">
        <v>38</v>
      </c>
      <c r="E99" s="5" t="s">
        <v>36</v>
      </c>
      <c r="F99" s="5" t="s">
        <v>21</v>
      </c>
      <c r="G99" s="5" t="s">
        <v>46</v>
      </c>
      <c r="H99" s="7">
        <v>499.36</v>
      </c>
      <c r="I99" s="3">
        <v>1</v>
      </c>
      <c r="J99" s="33">
        <f>H99*I99</f>
        <v>499.36</v>
      </c>
      <c r="K99" s="4">
        <v>54.45</v>
      </c>
      <c r="L99" s="9">
        <f>IF(J99=0,0,K99/J99)</f>
        <v>0.10903957065043256</v>
      </c>
      <c r="M99" s="25">
        <v>444.91</v>
      </c>
      <c r="N99" s="5" t="s">
        <v>23</v>
      </c>
      <c r="O99" s="5" t="s">
        <v>33</v>
      </c>
      <c r="P99" s="3">
        <v>13</v>
      </c>
      <c r="Q99" s="3">
        <v>13</v>
      </c>
      <c r="R99" s="5" t="b">
        <v>1</v>
      </c>
      <c r="S99" s="5" t="str">
        <f>IF(R99=TRUE,"Returning Customer","New Customer")</f>
        <v>Returning Customer</v>
      </c>
      <c r="T99" s="3">
        <v>9</v>
      </c>
      <c r="U99" s="12" t="str">
        <f>IF(T99&lt;=3,"Fast",IF(T99&lt;=7,"Standard",IF(T99&lt;=14,"Slow","Very Slow")))</f>
        <v>Slow</v>
      </c>
      <c r="V99" s="10" t="str">
        <f>IF(D99&lt;=25,"18-25",IF(D99&lt;=35,"26-35",IF(D99&lt;=45,"36-45",IF(D99&lt;=55,"46-55",IF(D99&lt;=65,"56-65","66-75")))))</f>
        <v>36-45</v>
      </c>
      <c r="W99" s="3">
        <v>4</v>
      </c>
    </row>
    <row r="100" spans="1:23">
      <c r="A100" s="5" t="s">
        <v>378</v>
      </c>
      <c r="B100" s="5" t="s">
        <v>379</v>
      </c>
      <c r="C100" s="6">
        <v>45063</v>
      </c>
      <c r="D100" s="8">
        <v>35</v>
      </c>
      <c r="E100" s="5" t="s">
        <v>36</v>
      </c>
      <c r="F100" s="5" t="s">
        <v>59</v>
      </c>
      <c r="G100" s="5" t="s">
        <v>22</v>
      </c>
      <c r="H100" s="7">
        <v>235.59</v>
      </c>
      <c r="I100" s="3">
        <v>1</v>
      </c>
      <c r="J100" s="33">
        <f>H100*I100</f>
        <v>235.59</v>
      </c>
      <c r="K100" s="4">
        <v>0</v>
      </c>
      <c r="L100" s="9">
        <f>IF(J100=0,0,K100/J100)</f>
        <v>0</v>
      </c>
      <c r="M100" s="25">
        <v>235.59</v>
      </c>
      <c r="N100" s="5" t="s">
        <v>327</v>
      </c>
      <c r="O100" s="5" t="s">
        <v>24</v>
      </c>
      <c r="P100" s="3">
        <v>14</v>
      </c>
      <c r="Q100" s="3">
        <v>8</v>
      </c>
      <c r="R100" s="5" t="b">
        <v>1</v>
      </c>
      <c r="S100" s="5" t="str">
        <f>IF(R100=TRUE,"Returning Customer","New Customer")</f>
        <v>Returning Customer</v>
      </c>
      <c r="T100" s="3">
        <v>6</v>
      </c>
      <c r="U100" s="12" t="str">
        <f>IF(T100&lt;=3,"Fast",IF(T100&lt;=7,"Standard",IF(T100&lt;=14,"Slow","Very Slow")))</f>
        <v>Standard</v>
      </c>
      <c r="V100" s="10" t="str">
        <f>IF(D100&lt;=25,"18-25",IF(D100&lt;=35,"26-35",IF(D100&lt;=45,"36-45",IF(D100&lt;=55,"46-55",IF(D100&lt;=65,"56-65","66-75")))))</f>
        <v>26-35</v>
      </c>
      <c r="W100" s="3">
        <v>4</v>
      </c>
    </row>
    <row r="101" spans="1:23">
      <c r="A101" s="5" t="s">
        <v>755</v>
      </c>
      <c r="B101" s="5" t="s">
        <v>756</v>
      </c>
      <c r="C101" s="6">
        <v>45286</v>
      </c>
      <c r="D101" s="8">
        <v>32</v>
      </c>
      <c r="E101" s="5" t="s">
        <v>36</v>
      </c>
      <c r="F101" s="5" t="s">
        <v>21</v>
      </c>
      <c r="G101" s="5" t="s">
        <v>46</v>
      </c>
      <c r="H101" s="7">
        <v>861.36</v>
      </c>
      <c r="I101" s="3">
        <v>2</v>
      </c>
      <c r="J101" s="33">
        <f>H101*I101</f>
        <v>1722.72</v>
      </c>
      <c r="K101" s="4">
        <v>0</v>
      </c>
      <c r="L101" s="9">
        <f>IF(J101=0,0,K101/J101)</f>
        <v>0</v>
      </c>
      <c r="M101" s="25">
        <v>1722.72</v>
      </c>
      <c r="N101" s="5" t="s">
        <v>692</v>
      </c>
      <c r="O101" s="5" t="s">
        <v>33</v>
      </c>
      <c r="P101" s="3">
        <v>21</v>
      </c>
      <c r="Q101" s="3">
        <v>6</v>
      </c>
      <c r="R101" s="5" t="b">
        <v>0</v>
      </c>
      <c r="S101" s="5" t="str">
        <f>IF(R101=TRUE,"Returning Customer","New Customer")</f>
        <v>New Customer</v>
      </c>
      <c r="T101" s="3">
        <v>14</v>
      </c>
      <c r="U101" s="12" t="str">
        <f>IF(T101&lt;=3,"Fast",IF(T101&lt;=7,"Standard",IF(T101&lt;=14,"Slow","Very Slow")))</f>
        <v>Slow</v>
      </c>
      <c r="V101" s="10" t="str">
        <f>IF(D101&lt;=25,"18-25",IF(D101&lt;=35,"26-35",IF(D101&lt;=45,"36-45",IF(D101&lt;=55,"46-55",IF(D101&lt;=65,"56-65","66-75")))))</f>
        <v>26-35</v>
      </c>
      <c r="W101" s="3">
        <v>5</v>
      </c>
    </row>
    <row r="102" spans="1:23">
      <c r="A102" s="5" t="s">
        <v>757</v>
      </c>
      <c r="B102" s="5" t="s">
        <v>758</v>
      </c>
      <c r="C102" s="6">
        <v>45276</v>
      </c>
      <c r="D102" s="8">
        <v>18</v>
      </c>
      <c r="E102" s="5" t="s">
        <v>36</v>
      </c>
      <c r="F102" s="5" t="s">
        <v>21</v>
      </c>
      <c r="G102" s="5" t="s">
        <v>46</v>
      </c>
      <c r="H102" s="7">
        <v>572.97</v>
      </c>
      <c r="I102" s="3">
        <v>4</v>
      </c>
      <c r="J102" s="33">
        <f>H102*I102</f>
        <v>2291.88</v>
      </c>
      <c r="K102" s="4">
        <v>0</v>
      </c>
      <c r="L102" s="9">
        <f>IF(J102=0,0,K102/J102)</f>
        <v>0</v>
      </c>
      <c r="M102" s="25">
        <v>2291.88</v>
      </c>
      <c r="N102" s="5" t="s">
        <v>692</v>
      </c>
      <c r="O102" s="5" t="s">
        <v>33</v>
      </c>
      <c r="P102" s="3">
        <v>64</v>
      </c>
      <c r="Q102" s="3">
        <v>6</v>
      </c>
      <c r="R102" s="5" t="b">
        <v>1</v>
      </c>
      <c r="S102" s="5" t="str">
        <f>IF(R102=TRUE,"Returning Customer","New Customer")</f>
        <v>Returning Customer</v>
      </c>
      <c r="T102" s="3">
        <v>7</v>
      </c>
      <c r="U102" s="12" t="str">
        <f>IF(T102&lt;=3,"Fast",IF(T102&lt;=7,"Standard",IF(T102&lt;=14,"Slow","Very Slow")))</f>
        <v>Standard</v>
      </c>
      <c r="V102" s="10" t="str">
        <f>IF(D102&lt;=25,"18-25",IF(D102&lt;=35,"26-35",IF(D102&lt;=45,"36-45",IF(D102&lt;=55,"46-55",IF(D102&lt;=65,"56-65","66-75")))))</f>
        <v>18-25</v>
      </c>
      <c r="W102" s="3">
        <v>3</v>
      </c>
    </row>
    <row r="103" spans="1:23">
      <c r="A103" s="5" t="s">
        <v>759</v>
      </c>
      <c r="B103" s="5" t="s">
        <v>760</v>
      </c>
      <c r="C103" s="6">
        <v>45258</v>
      </c>
      <c r="D103" s="8">
        <v>29</v>
      </c>
      <c r="E103" s="5" t="s">
        <v>20</v>
      </c>
      <c r="F103" s="5" t="s">
        <v>76</v>
      </c>
      <c r="G103" s="5" t="s">
        <v>56</v>
      </c>
      <c r="H103" s="7">
        <v>262.87</v>
      </c>
      <c r="I103" s="3">
        <v>1</v>
      </c>
      <c r="J103" s="33">
        <f>H103*I103</f>
        <v>262.87</v>
      </c>
      <c r="K103" s="4">
        <v>42.7</v>
      </c>
      <c r="L103" s="9">
        <f>IF(J103=0,0,K103/J103)</f>
        <v>0.16243770685129533</v>
      </c>
      <c r="M103" s="25">
        <v>220.17</v>
      </c>
      <c r="N103" s="5" t="s">
        <v>692</v>
      </c>
      <c r="O103" s="5" t="s">
        <v>33</v>
      </c>
      <c r="P103" s="3">
        <v>17</v>
      </c>
      <c r="Q103" s="3">
        <v>8</v>
      </c>
      <c r="R103" s="5" t="b">
        <v>1</v>
      </c>
      <c r="S103" s="5" t="str">
        <f>IF(R103=TRUE,"Returning Customer","New Customer")</f>
        <v>Returning Customer</v>
      </c>
      <c r="T103" s="3">
        <v>7</v>
      </c>
      <c r="U103" s="12" t="str">
        <f>IF(T103&lt;=3,"Fast",IF(T103&lt;=7,"Standard",IF(T103&lt;=14,"Slow","Very Slow")))</f>
        <v>Standard</v>
      </c>
      <c r="V103" s="10" t="str">
        <f>IF(D103&lt;=25,"18-25",IF(D103&lt;=35,"26-35",IF(D103&lt;=45,"36-45",IF(D103&lt;=55,"46-55",IF(D103&lt;=65,"56-65","66-75")))))</f>
        <v>26-35</v>
      </c>
      <c r="W103" s="3">
        <v>4</v>
      </c>
    </row>
    <row r="104" spans="1:23">
      <c r="A104" s="5" t="s">
        <v>86</v>
      </c>
      <c r="B104" s="5" t="s">
        <v>87</v>
      </c>
      <c r="C104" s="6">
        <v>44963</v>
      </c>
      <c r="D104" s="8">
        <v>30</v>
      </c>
      <c r="E104" s="5" t="s">
        <v>20</v>
      </c>
      <c r="F104" s="5" t="s">
        <v>88</v>
      </c>
      <c r="G104" s="5" t="s">
        <v>46</v>
      </c>
      <c r="H104" s="7">
        <v>367.4</v>
      </c>
      <c r="I104" s="3">
        <v>2</v>
      </c>
      <c r="J104" s="33">
        <f>H104*I104</f>
        <v>734.8</v>
      </c>
      <c r="K104" s="4">
        <v>0</v>
      </c>
      <c r="L104" s="9">
        <f>IF(J104=0,0,K104/J104)</f>
        <v>0</v>
      </c>
      <c r="M104" s="25">
        <v>734.8</v>
      </c>
      <c r="N104" s="5" t="s">
        <v>23</v>
      </c>
      <c r="O104" s="5" t="s">
        <v>33</v>
      </c>
      <c r="P104" s="3">
        <v>22</v>
      </c>
      <c r="Q104" s="3">
        <v>9</v>
      </c>
      <c r="R104" s="5" t="b">
        <v>1</v>
      </c>
      <c r="S104" s="5" t="str">
        <f>IF(R104=TRUE,"Returning Customer","New Customer")</f>
        <v>Returning Customer</v>
      </c>
      <c r="T104" s="3">
        <v>7</v>
      </c>
      <c r="U104" s="12" t="str">
        <f>IF(T104&lt;=3,"Fast",IF(T104&lt;=7,"Standard",IF(T104&lt;=14,"Slow","Very Slow")))</f>
        <v>Standard</v>
      </c>
      <c r="V104" s="10" t="str">
        <f>IF(D104&lt;=25,"18-25",IF(D104&lt;=35,"26-35",IF(D104&lt;=45,"36-45",IF(D104&lt;=55,"46-55",IF(D104&lt;=65,"56-65","66-75")))))</f>
        <v>26-35</v>
      </c>
      <c r="W104" s="3">
        <v>5</v>
      </c>
    </row>
    <row r="105" spans="1:23">
      <c r="A105" s="5" t="s">
        <v>761</v>
      </c>
      <c r="B105" s="5" t="s">
        <v>762</v>
      </c>
      <c r="C105" s="6">
        <v>45238</v>
      </c>
      <c r="D105" s="8">
        <v>25</v>
      </c>
      <c r="E105" s="5" t="s">
        <v>36</v>
      </c>
      <c r="F105" s="5" t="s">
        <v>59</v>
      </c>
      <c r="G105" s="5" t="s">
        <v>56</v>
      </c>
      <c r="H105" s="7">
        <v>417.84</v>
      </c>
      <c r="I105" s="3">
        <v>5</v>
      </c>
      <c r="J105" s="33">
        <f>H105*I105</f>
        <v>2089.1999999999998</v>
      </c>
      <c r="K105" s="4">
        <v>52.71</v>
      </c>
      <c r="L105" s="9">
        <f>IF(J105=0,0,K105/J105)</f>
        <v>2.5229753015508331E-2</v>
      </c>
      <c r="M105" s="25">
        <v>2036.49</v>
      </c>
      <c r="N105" s="5" t="s">
        <v>692</v>
      </c>
      <c r="O105" s="5" t="s">
        <v>24</v>
      </c>
      <c r="P105" s="3">
        <v>6</v>
      </c>
      <c r="Q105" s="3">
        <v>14</v>
      </c>
      <c r="R105" s="5" t="b">
        <v>1</v>
      </c>
      <c r="S105" s="5" t="str">
        <f>IF(R105=TRUE,"Returning Customer","New Customer")</f>
        <v>Returning Customer</v>
      </c>
      <c r="T105" s="3">
        <v>6</v>
      </c>
      <c r="U105" s="12" t="str">
        <f>IF(T105&lt;=3,"Fast",IF(T105&lt;=7,"Standard",IF(T105&lt;=14,"Slow","Very Slow")))</f>
        <v>Standard</v>
      </c>
      <c r="V105" s="10" t="str">
        <f>IF(D105&lt;=25,"18-25",IF(D105&lt;=35,"26-35",IF(D105&lt;=45,"36-45",IF(D105&lt;=55,"46-55",IF(D105&lt;=65,"56-65","66-75")))))</f>
        <v>18-25</v>
      </c>
      <c r="W105" s="3">
        <v>2</v>
      </c>
    </row>
    <row r="106" spans="1:23">
      <c r="A106" s="5" t="s">
        <v>380</v>
      </c>
      <c r="B106" s="5" t="s">
        <v>381</v>
      </c>
      <c r="C106" s="6">
        <v>45252</v>
      </c>
      <c r="D106" s="8">
        <v>33</v>
      </c>
      <c r="E106" s="5" t="s">
        <v>20</v>
      </c>
      <c r="F106" s="5" t="s">
        <v>52</v>
      </c>
      <c r="G106" s="5" t="s">
        <v>64</v>
      </c>
      <c r="H106" s="7">
        <v>187.58</v>
      </c>
      <c r="I106" s="3">
        <v>1</v>
      </c>
      <c r="J106" s="33">
        <f>H106*I106</f>
        <v>187.58</v>
      </c>
      <c r="K106" s="4">
        <v>17.72</v>
      </c>
      <c r="L106" s="9">
        <f>IF(J106=0,0,K106/J106)</f>
        <v>9.4466361019298423E-2</v>
      </c>
      <c r="M106" s="25">
        <v>169.86</v>
      </c>
      <c r="N106" s="5" t="s">
        <v>327</v>
      </c>
      <c r="O106" s="5" t="s">
        <v>33</v>
      </c>
      <c r="P106" s="3">
        <v>5</v>
      </c>
      <c r="Q106" s="3">
        <v>6</v>
      </c>
      <c r="R106" s="5" t="b">
        <v>0</v>
      </c>
      <c r="S106" s="5" t="str">
        <f>IF(R106=TRUE,"Returning Customer","New Customer")</f>
        <v>New Customer</v>
      </c>
      <c r="T106" s="3">
        <v>6</v>
      </c>
      <c r="U106" s="12" t="str">
        <f>IF(T106&lt;=3,"Fast",IF(T106&lt;=7,"Standard",IF(T106&lt;=14,"Slow","Very Slow")))</f>
        <v>Standard</v>
      </c>
      <c r="V106" s="10" t="str">
        <f>IF(D106&lt;=25,"18-25",IF(D106&lt;=35,"26-35",IF(D106&lt;=45,"36-45",IF(D106&lt;=55,"46-55",IF(D106&lt;=65,"56-65","66-75")))))</f>
        <v>26-35</v>
      </c>
      <c r="W106" s="3">
        <v>4</v>
      </c>
    </row>
    <row r="107" spans="1:23">
      <c r="A107" s="5" t="s">
        <v>89</v>
      </c>
      <c r="B107" s="5" t="s">
        <v>90</v>
      </c>
      <c r="C107" s="6">
        <v>45014</v>
      </c>
      <c r="D107" s="8">
        <v>39</v>
      </c>
      <c r="E107" s="5" t="s">
        <v>20</v>
      </c>
      <c r="F107" s="5" t="s">
        <v>73</v>
      </c>
      <c r="G107" s="5" t="s">
        <v>22</v>
      </c>
      <c r="H107" s="7">
        <v>626.76</v>
      </c>
      <c r="I107" s="3">
        <v>4</v>
      </c>
      <c r="J107" s="33">
        <f>H107*I107</f>
        <v>2507.04</v>
      </c>
      <c r="K107" s="4">
        <v>0</v>
      </c>
      <c r="L107" s="9">
        <f>IF(J107=0,0,K107/J107)</f>
        <v>0</v>
      </c>
      <c r="M107" s="25">
        <v>2507.04</v>
      </c>
      <c r="N107" s="5" t="s">
        <v>23</v>
      </c>
      <c r="O107" s="5" t="s">
        <v>33</v>
      </c>
      <c r="P107" s="3">
        <v>29</v>
      </c>
      <c r="Q107" s="3">
        <v>8</v>
      </c>
      <c r="R107" s="5" t="b">
        <v>1</v>
      </c>
      <c r="S107" s="5" t="str">
        <f>IF(R107=TRUE,"Returning Customer","New Customer")</f>
        <v>Returning Customer</v>
      </c>
      <c r="T107" s="3">
        <v>6</v>
      </c>
      <c r="U107" s="12" t="str">
        <f>IF(T107&lt;=3,"Fast",IF(T107&lt;=7,"Standard",IF(T107&lt;=14,"Slow","Very Slow")))</f>
        <v>Standard</v>
      </c>
      <c r="V107" s="10" t="str">
        <f>IF(D107&lt;=25,"18-25",IF(D107&lt;=35,"26-35",IF(D107&lt;=45,"36-45",IF(D107&lt;=55,"46-55",IF(D107&lt;=65,"56-65","66-75")))))</f>
        <v>36-45</v>
      </c>
      <c r="W107" s="3">
        <v>3</v>
      </c>
    </row>
    <row r="108" spans="1:23">
      <c r="A108" s="5" t="s">
        <v>1240</v>
      </c>
      <c r="B108" s="5" t="s">
        <v>1241</v>
      </c>
      <c r="C108" s="6">
        <v>45200</v>
      </c>
      <c r="D108" s="8">
        <v>57</v>
      </c>
      <c r="E108" s="5" t="s">
        <v>36</v>
      </c>
      <c r="F108" s="5" t="s">
        <v>32</v>
      </c>
      <c r="G108" s="5" t="s">
        <v>56</v>
      </c>
      <c r="H108" s="7">
        <v>593.52</v>
      </c>
      <c r="I108" s="3">
        <v>3</v>
      </c>
      <c r="J108" s="33">
        <f>H108*I108</f>
        <v>1780.56</v>
      </c>
      <c r="K108" s="4">
        <v>0</v>
      </c>
      <c r="L108" s="9">
        <f>IF(J108=0,0,K108/J108)</f>
        <v>0</v>
      </c>
      <c r="M108" s="25">
        <v>1780.56</v>
      </c>
      <c r="N108" s="5" t="s">
        <v>1231</v>
      </c>
      <c r="O108" s="5" t="s">
        <v>33</v>
      </c>
      <c r="P108" s="3">
        <v>12</v>
      </c>
      <c r="Q108" s="3">
        <v>14</v>
      </c>
      <c r="R108" s="5" t="b">
        <v>1</v>
      </c>
      <c r="S108" s="5" t="str">
        <f>IF(R108=TRUE,"Returning Customer","New Customer")</f>
        <v>Returning Customer</v>
      </c>
      <c r="T108" s="3">
        <v>6</v>
      </c>
      <c r="U108" s="12" t="str">
        <f>IF(T108&lt;=3,"Fast",IF(T108&lt;=7,"Standard",IF(T108&lt;=14,"Slow","Very Slow")))</f>
        <v>Standard</v>
      </c>
      <c r="V108" s="10" t="str">
        <f>IF(D108&lt;=25,"18-25",IF(D108&lt;=35,"26-35",IF(D108&lt;=45,"36-45",IF(D108&lt;=55,"46-55",IF(D108&lt;=65,"56-65","66-75")))))</f>
        <v>56-65</v>
      </c>
      <c r="W108" s="3">
        <v>4</v>
      </c>
    </row>
    <row r="109" spans="1:23">
      <c r="A109" s="5" t="s">
        <v>1242</v>
      </c>
      <c r="B109" s="5" t="s">
        <v>1243</v>
      </c>
      <c r="C109" s="6">
        <v>45300</v>
      </c>
      <c r="D109" s="8">
        <v>37</v>
      </c>
      <c r="E109" s="5" t="s">
        <v>20</v>
      </c>
      <c r="F109" s="5" t="s">
        <v>21</v>
      </c>
      <c r="G109" s="5" t="s">
        <v>37</v>
      </c>
      <c r="H109" s="7">
        <v>107.61</v>
      </c>
      <c r="I109" s="3">
        <v>1</v>
      </c>
      <c r="J109" s="33">
        <f>H109*I109</f>
        <v>107.61</v>
      </c>
      <c r="K109" s="4">
        <v>0</v>
      </c>
      <c r="L109" s="9">
        <f>IF(J109=0,0,K109/J109)</f>
        <v>0</v>
      </c>
      <c r="M109" s="25">
        <v>107.61</v>
      </c>
      <c r="N109" s="5" t="s">
        <v>1231</v>
      </c>
      <c r="O109" s="5" t="s">
        <v>29</v>
      </c>
      <c r="P109" s="3">
        <v>26</v>
      </c>
      <c r="Q109" s="3">
        <v>5</v>
      </c>
      <c r="R109" s="5" t="b">
        <v>1</v>
      </c>
      <c r="S109" s="5" t="str">
        <f>IF(R109=TRUE,"Returning Customer","New Customer")</f>
        <v>Returning Customer</v>
      </c>
      <c r="T109" s="3">
        <v>2</v>
      </c>
      <c r="U109" s="12" t="str">
        <f>IF(T109&lt;=3,"Fast",IF(T109&lt;=7,"Standard",IF(T109&lt;=14,"Slow","Very Slow")))</f>
        <v>Fast</v>
      </c>
      <c r="V109" s="10" t="str">
        <f>IF(D109&lt;=25,"18-25",IF(D109&lt;=35,"26-35",IF(D109&lt;=45,"36-45",IF(D109&lt;=55,"46-55",IF(D109&lt;=65,"56-65","66-75")))))</f>
        <v>36-45</v>
      </c>
      <c r="W109" s="3">
        <v>5</v>
      </c>
    </row>
    <row r="110" spans="1:23">
      <c r="A110" s="5" t="s">
        <v>1244</v>
      </c>
      <c r="B110" s="5" t="s">
        <v>1245</v>
      </c>
      <c r="C110" s="6">
        <v>45052</v>
      </c>
      <c r="D110" s="8">
        <v>38</v>
      </c>
      <c r="E110" s="5" t="s">
        <v>36</v>
      </c>
      <c r="F110" s="5" t="s">
        <v>21</v>
      </c>
      <c r="G110" s="5" t="s">
        <v>28</v>
      </c>
      <c r="H110" s="7">
        <v>226.86</v>
      </c>
      <c r="I110" s="3">
        <v>1</v>
      </c>
      <c r="J110" s="33">
        <f>H110*I110</f>
        <v>226.86</v>
      </c>
      <c r="K110" s="4">
        <v>0</v>
      </c>
      <c r="L110" s="9">
        <f>IF(J110=0,0,K110/J110)</f>
        <v>0</v>
      </c>
      <c r="M110" s="25">
        <v>226.86</v>
      </c>
      <c r="N110" s="5" t="s">
        <v>1231</v>
      </c>
      <c r="O110" s="5" t="s">
        <v>33</v>
      </c>
      <c r="P110" s="3">
        <v>23</v>
      </c>
      <c r="Q110" s="3">
        <v>7</v>
      </c>
      <c r="R110" s="5" t="b">
        <v>1</v>
      </c>
      <c r="S110" s="5" t="str">
        <f>IF(R110=TRUE,"Returning Customer","New Customer")</f>
        <v>Returning Customer</v>
      </c>
      <c r="T110" s="3">
        <v>1</v>
      </c>
      <c r="U110" s="12" t="str">
        <f>IF(T110&lt;=3,"Fast",IF(T110&lt;=7,"Standard",IF(T110&lt;=14,"Slow","Very Slow")))</f>
        <v>Fast</v>
      </c>
      <c r="V110" s="10" t="str">
        <f>IF(D110&lt;=25,"18-25",IF(D110&lt;=35,"26-35",IF(D110&lt;=45,"36-45",IF(D110&lt;=55,"46-55",IF(D110&lt;=65,"56-65","66-75")))))</f>
        <v>36-45</v>
      </c>
      <c r="W110" s="3">
        <v>3</v>
      </c>
    </row>
    <row r="111" spans="1:23">
      <c r="A111" s="5" t="s">
        <v>91</v>
      </c>
      <c r="B111" s="5" t="s">
        <v>92</v>
      </c>
      <c r="C111" s="6">
        <v>45010</v>
      </c>
      <c r="D111" s="8">
        <v>34</v>
      </c>
      <c r="E111" s="5" t="s">
        <v>36</v>
      </c>
      <c r="F111" s="5" t="s">
        <v>59</v>
      </c>
      <c r="G111" s="5" t="s">
        <v>22</v>
      </c>
      <c r="H111" s="7">
        <v>368.43</v>
      </c>
      <c r="I111" s="3">
        <v>2</v>
      </c>
      <c r="J111" s="33">
        <f>H111*I111</f>
        <v>736.86</v>
      </c>
      <c r="K111" s="4">
        <v>26.91</v>
      </c>
      <c r="L111" s="9">
        <f>IF(J111=0,0,K111/J111)</f>
        <v>3.6519827375620879E-2</v>
      </c>
      <c r="M111" s="25">
        <v>709.95</v>
      </c>
      <c r="N111" s="5" t="s">
        <v>23</v>
      </c>
      <c r="O111" s="5" t="s">
        <v>24</v>
      </c>
      <c r="P111" s="3">
        <v>8</v>
      </c>
      <c r="Q111" s="3">
        <v>12</v>
      </c>
      <c r="R111" s="5" t="b">
        <v>0</v>
      </c>
      <c r="S111" s="5" t="str">
        <f>IF(R111=TRUE,"Returning Customer","New Customer")</f>
        <v>New Customer</v>
      </c>
      <c r="T111" s="3">
        <v>3</v>
      </c>
      <c r="U111" s="12" t="str">
        <f>IF(T111&lt;=3,"Fast",IF(T111&lt;=7,"Standard",IF(T111&lt;=14,"Slow","Very Slow")))</f>
        <v>Fast</v>
      </c>
      <c r="V111" s="10" t="str">
        <f>IF(D111&lt;=25,"18-25",IF(D111&lt;=35,"26-35",IF(D111&lt;=45,"36-45",IF(D111&lt;=55,"46-55",IF(D111&lt;=65,"56-65","66-75")))))</f>
        <v>26-35</v>
      </c>
      <c r="W111" s="3">
        <v>5</v>
      </c>
    </row>
    <row r="112" spans="1:23">
      <c r="A112" s="5" t="s">
        <v>93</v>
      </c>
      <c r="B112" s="5" t="s">
        <v>94</v>
      </c>
      <c r="C112" s="6">
        <v>45163</v>
      </c>
      <c r="D112" s="8">
        <v>18</v>
      </c>
      <c r="E112" s="5" t="s">
        <v>36</v>
      </c>
      <c r="F112" s="5" t="s">
        <v>88</v>
      </c>
      <c r="G112" s="5" t="s">
        <v>28</v>
      </c>
      <c r="H112" s="7">
        <v>245.23</v>
      </c>
      <c r="I112" s="3">
        <v>1</v>
      </c>
      <c r="J112" s="33">
        <f>H112*I112</f>
        <v>245.23</v>
      </c>
      <c r="K112" s="4">
        <v>0</v>
      </c>
      <c r="L112" s="9">
        <f>IF(J112=0,0,K112/J112)</f>
        <v>0</v>
      </c>
      <c r="M112" s="25">
        <v>245.23</v>
      </c>
      <c r="N112" s="5" t="s">
        <v>23</v>
      </c>
      <c r="O112" s="5" t="s">
        <v>33</v>
      </c>
      <c r="P112" s="3">
        <v>12</v>
      </c>
      <c r="Q112" s="3">
        <v>12</v>
      </c>
      <c r="R112" s="5" t="b">
        <v>1</v>
      </c>
      <c r="S112" s="5" t="str">
        <f>IF(R112=TRUE,"Returning Customer","New Customer")</f>
        <v>Returning Customer</v>
      </c>
      <c r="T112" s="3">
        <v>4</v>
      </c>
      <c r="U112" s="12" t="str">
        <f>IF(T112&lt;=3,"Fast",IF(T112&lt;=7,"Standard",IF(T112&lt;=14,"Slow","Very Slow")))</f>
        <v>Standard</v>
      </c>
      <c r="V112" s="10" t="str">
        <f>IF(D112&lt;=25,"18-25",IF(D112&lt;=35,"26-35",IF(D112&lt;=45,"36-45",IF(D112&lt;=55,"46-55",IF(D112&lt;=65,"56-65","66-75")))))</f>
        <v>18-25</v>
      </c>
      <c r="W112" s="3">
        <v>4</v>
      </c>
    </row>
    <row r="113" spans="1:23">
      <c r="A113" s="5" t="s">
        <v>95</v>
      </c>
      <c r="B113" s="5" t="s">
        <v>96</v>
      </c>
      <c r="C113" s="6">
        <v>45121</v>
      </c>
      <c r="D113" s="8">
        <v>34</v>
      </c>
      <c r="E113" s="5" t="s">
        <v>36</v>
      </c>
      <c r="F113" s="5" t="s">
        <v>21</v>
      </c>
      <c r="G113" s="5" t="s">
        <v>37</v>
      </c>
      <c r="H113" s="7">
        <v>73.66</v>
      </c>
      <c r="I113" s="3">
        <v>1</v>
      </c>
      <c r="J113" s="33">
        <f>H113*I113</f>
        <v>73.66</v>
      </c>
      <c r="K113" s="4">
        <v>18.95</v>
      </c>
      <c r="L113" s="9">
        <f>IF(J113=0,0,K113/J113)</f>
        <v>0.25726310073309799</v>
      </c>
      <c r="M113" s="25">
        <v>54.71</v>
      </c>
      <c r="N113" s="5" t="s">
        <v>23</v>
      </c>
      <c r="O113" s="5" t="s">
        <v>33</v>
      </c>
      <c r="P113" s="3">
        <v>11</v>
      </c>
      <c r="Q113" s="3">
        <v>9</v>
      </c>
      <c r="R113" s="5" t="b">
        <v>1</v>
      </c>
      <c r="S113" s="5" t="str">
        <f>IF(R113=TRUE,"Returning Customer","New Customer")</f>
        <v>Returning Customer</v>
      </c>
      <c r="T113" s="3">
        <v>10</v>
      </c>
      <c r="U113" s="12" t="str">
        <f>IF(T113&lt;=3,"Fast",IF(T113&lt;=7,"Standard",IF(T113&lt;=14,"Slow","Very Slow")))</f>
        <v>Slow</v>
      </c>
      <c r="V113" s="10" t="str">
        <f>IF(D113&lt;=25,"18-25",IF(D113&lt;=35,"26-35",IF(D113&lt;=45,"36-45",IF(D113&lt;=55,"46-55",IF(D113&lt;=65,"56-65","66-75")))))</f>
        <v>26-35</v>
      </c>
      <c r="W113" s="3">
        <v>3</v>
      </c>
    </row>
    <row r="114" spans="1:23">
      <c r="A114" s="5" t="s">
        <v>1321</v>
      </c>
      <c r="B114" s="5" t="s">
        <v>1322</v>
      </c>
      <c r="C114" s="6">
        <v>45065</v>
      </c>
      <c r="D114" s="8">
        <v>35</v>
      </c>
      <c r="E114" s="5" t="s">
        <v>20</v>
      </c>
      <c r="F114" s="5" t="s">
        <v>32</v>
      </c>
      <c r="G114" s="5" t="s">
        <v>53</v>
      </c>
      <c r="H114" s="7">
        <v>36.14</v>
      </c>
      <c r="I114" s="3">
        <v>2</v>
      </c>
      <c r="J114" s="33">
        <f>H114*I114</f>
        <v>72.28</v>
      </c>
      <c r="K114" s="4">
        <v>3.85</v>
      </c>
      <c r="L114" s="9">
        <f>IF(J114=0,0,K114/J114)</f>
        <v>5.3265080243497513E-2</v>
      </c>
      <c r="M114" s="25">
        <v>68.430000000000007</v>
      </c>
      <c r="N114" s="5" t="s">
        <v>1298</v>
      </c>
      <c r="O114" s="5" t="s">
        <v>33</v>
      </c>
      <c r="P114" s="3">
        <v>9</v>
      </c>
      <c r="Q114" s="3">
        <v>11</v>
      </c>
      <c r="R114" s="5" t="b">
        <v>0</v>
      </c>
      <c r="S114" s="5" t="str">
        <f>IF(R114=TRUE,"Returning Customer","New Customer")</f>
        <v>New Customer</v>
      </c>
      <c r="T114" s="3">
        <v>9</v>
      </c>
      <c r="U114" s="12" t="str">
        <f>IF(T114&lt;=3,"Fast",IF(T114&lt;=7,"Standard",IF(T114&lt;=14,"Slow","Very Slow")))</f>
        <v>Slow</v>
      </c>
      <c r="V114" s="10" t="str">
        <f>IF(D114&lt;=25,"18-25",IF(D114&lt;=35,"26-35",IF(D114&lt;=45,"36-45",IF(D114&lt;=55,"46-55",IF(D114&lt;=65,"56-65","66-75")))))</f>
        <v>26-35</v>
      </c>
      <c r="W114" s="3">
        <v>4</v>
      </c>
    </row>
    <row r="115" spans="1:23">
      <c r="A115" s="5" t="s">
        <v>1246</v>
      </c>
      <c r="B115" s="5" t="s">
        <v>1247</v>
      </c>
      <c r="C115" s="6">
        <v>45254</v>
      </c>
      <c r="D115" s="8">
        <v>64</v>
      </c>
      <c r="E115" s="5" t="s">
        <v>36</v>
      </c>
      <c r="F115" s="5" t="s">
        <v>88</v>
      </c>
      <c r="G115" s="5" t="s">
        <v>37</v>
      </c>
      <c r="H115" s="7">
        <v>180.82</v>
      </c>
      <c r="I115" s="3">
        <v>4</v>
      </c>
      <c r="J115" s="33">
        <f>H115*I115</f>
        <v>723.28</v>
      </c>
      <c r="K115" s="4">
        <v>0</v>
      </c>
      <c r="L115" s="9">
        <f>IF(J115=0,0,K115/J115)</f>
        <v>0</v>
      </c>
      <c r="M115" s="25">
        <v>723.28</v>
      </c>
      <c r="N115" s="5" t="s">
        <v>1231</v>
      </c>
      <c r="O115" s="5" t="s">
        <v>33</v>
      </c>
      <c r="P115" s="3">
        <v>7</v>
      </c>
      <c r="Q115" s="3">
        <v>8</v>
      </c>
      <c r="R115" s="5" t="b">
        <v>0</v>
      </c>
      <c r="S115" s="5" t="str">
        <f>IF(R115=TRUE,"Returning Customer","New Customer")</f>
        <v>New Customer</v>
      </c>
      <c r="T115" s="3">
        <v>3</v>
      </c>
      <c r="U115" s="12" t="str">
        <f>IF(T115&lt;=3,"Fast",IF(T115&lt;=7,"Standard",IF(T115&lt;=14,"Slow","Very Slow")))</f>
        <v>Fast</v>
      </c>
      <c r="V115" s="10" t="str">
        <f>IF(D115&lt;=25,"18-25",IF(D115&lt;=35,"26-35",IF(D115&lt;=45,"36-45",IF(D115&lt;=55,"46-55",IF(D115&lt;=65,"56-65","66-75")))))</f>
        <v>56-65</v>
      </c>
      <c r="W115" s="3">
        <v>5</v>
      </c>
    </row>
    <row r="116" spans="1:23">
      <c r="A116" s="5" t="s">
        <v>382</v>
      </c>
      <c r="B116" s="5" t="s">
        <v>383</v>
      </c>
      <c r="C116" s="6">
        <v>45279</v>
      </c>
      <c r="D116" s="8">
        <v>32</v>
      </c>
      <c r="E116" s="5" t="s">
        <v>36</v>
      </c>
      <c r="F116" s="5" t="s">
        <v>32</v>
      </c>
      <c r="G116" s="5" t="s">
        <v>64</v>
      </c>
      <c r="H116" s="7">
        <v>3964.15</v>
      </c>
      <c r="I116" s="3">
        <v>1</v>
      </c>
      <c r="J116" s="33">
        <f>H116*I116</f>
        <v>3964.15</v>
      </c>
      <c r="K116" s="4">
        <v>820.08</v>
      </c>
      <c r="L116" s="9">
        <f>IF(J116=0,0,K116/J116)</f>
        <v>0.2068741092037385</v>
      </c>
      <c r="M116" s="25">
        <v>3144.07</v>
      </c>
      <c r="N116" s="5" t="s">
        <v>327</v>
      </c>
      <c r="O116" s="5" t="s">
        <v>24</v>
      </c>
      <c r="P116" s="3">
        <v>19</v>
      </c>
      <c r="Q116" s="3">
        <v>15</v>
      </c>
      <c r="R116" s="5" t="b">
        <v>0</v>
      </c>
      <c r="S116" s="5" t="str">
        <f>IF(R116=TRUE,"Returning Customer","New Customer")</f>
        <v>New Customer</v>
      </c>
      <c r="T116" s="3">
        <v>4</v>
      </c>
      <c r="U116" s="12" t="str">
        <f>IF(T116&lt;=3,"Fast",IF(T116&lt;=7,"Standard",IF(T116&lt;=14,"Slow","Very Slow")))</f>
        <v>Standard</v>
      </c>
      <c r="V116" s="10" t="str">
        <f>IF(D116&lt;=25,"18-25",IF(D116&lt;=35,"26-35",IF(D116&lt;=45,"36-45",IF(D116&lt;=55,"46-55",IF(D116&lt;=65,"56-65","66-75")))))</f>
        <v>26-35</v>
      </c>
      <c r="W116" s="3">
        <v>2</v>
      </c>
    </row>
    <row r="117" spans="1:23">
      <c r="A117" s="5" t="s">
        <v>384</v>
      </c>
      <c r="B117" s="5" t="s">
        <v>385</v>
      </c>
      <c r="C117" s="6">
        <v>45212</v>
      </c>
      <c r="D117" s="8">
        <v>38</v>
      </c>
      <c r="E117" s="5" t="s">
        <v>122</v>
      </c>
      <c r="F117" s="5" t="s">
        <v>49</v>
      </c>
      <c r="G117" s="5" t="s">
        <v>53</v>
      </c>
      <c r="H117" s="7">
        <v>16.899999999999999</v>
      </c>
      <c r="I117" s="3">
        <v>2</v>
      </c>
      <c r="J117" s="33">
        <f>H117*I117</f>
        <v>33.799999999999997</v>
      </c>
      <c r="K117" s="4">
        <v>0</v>
      </c>
      <c r="L117" s="9">
        <f>IF(J117=0,0,K117/J117)</f>
        <v>0</v>
      </c>
      <c r="M117" s="25">
        <v>33.799999999999997</v>
      </c>
      <c r="N117" s="5" t="s">
        <v>327</v>
      </c>
      <c r="O117" s="5" t="s">
        <v>33</v>
      </c>
      <c r="P117" s="3">
        <v>8</v>
      </c>
      <c r="Q117" s="3">
        <v>6</v>
      </c>
      <c r="R117" s="5" t="b">
        <v>1</v>
      </c>
      <c r="S117" s="5" t="str">
        <f>IF(R117=TRUE,"Returning Customer","New Customer")</f>
        <v>Returning Customer</v>
      </c>
      <c r="T117" s="3">
        <v>5</v>
      </c>
      <c r="U117" s="12" t="str">
        <f>IF(T117&lt;=3,"Fast",IF(T117&lt;=7,"Standard",IF(T117&lt;=14,"Slow","Very Slow")))</f>
        <v>Standard</v>
      </c>
      <c r="V117" s="10" t="str">
        <f>IF(D117&lt;=25,"18-25",IF(D117&lt;=35,"26-35",IF(D117&lt;=45,"36-45",IF(D117&lt;=55,"46-55",IF(D117&lt;=65,"56-65","66-75")))))</f>
        <v>36-45</v>
      </c>
      <c r="W117" s="3">
        <v>4</v>
      </c>
    </row>
    <row r="118" spans="1:23">
      <c r="A118" s="5" t="s">
        <v>386</v>
      </c>
      <c r="B118" s="5" t="s">
        <v>387</v>
      </c>
      <c r="C118" s="6">
        <v>45039</v>
      </c>
      <c r="D118" s="8">
        <v>34</v>
      </c>
      <c r="E118" s="5" t="s">
        <v>20</v>
      </c>
      <c r="F118" s="5" t="s">
        <v>32</v>
      </c>
      <c r="G118" s="5" t="s">
        <v>53</v>
      </c>
      <c r="H118" s="7">
        <v>89.46</v>
      </c>
      <c r="I118" s="3">
        <v>1</v>
      </c>
      <c r="J118" s="33">
        <f>H118*I118</f>
        <v>89.46</v>
      </c>
      <c r="K118" s="4">
        <v>0</v>
      </c>
      <c r="L118" s="9">
        <f>IF(J118=0,0,K118/J118)</f>
        <v>0</v>
      </c>
      <c r="M118" s="25">
        <v>89.46</v>
      </c>
      <c r="N118" s="5" t="s">
        <v>327</v>
      </c>
      <c r="O118" s="5" t="s">
        <v>24</v>
      </c>
      <c r="P118" s="3">
        <v>7</v>
      </c>
      <c r="Q118" s="3">
        <v>5</v>
      </c>
      <c r="R118" s="5" t="b">
        <v>1</v>
      </c>
      <c r="S118" s="5" t="str">
        <f>IF(R118=TRUE,"Returning Customer","New Customer")</f>
        <v>Returning Customer</v>
      </c>
      <c r="T118" s="3">
        <v>15</v>
      </c>
      <c r="U118" s="12" t="str">
        <f>IF(T118&lt;=3,"Fast",IF(T118&lt;=7,"Standard",IF(T118&lt;=14,"Slow","Very Slow")))</f>
        <v>Very Slow</v>
      </c>
      <c r="V118" s="10" t="str">
        <f>IF(D118&lt;=25,"18-25",IF(D118&lt;=35,"26-35",IF(D118&lt;=45,"36-45",IF(D118&lt;=55,"46-55",IF(D118&lt;=65,"56-65","66-75")))))</f>
        <v>26-35</v>
      </c>
      <c r="W118" s="3">
        <v>5</v>
      </c>
    </row>
    <row r="119" spans="1:23">
      <c r="A119" s="5" t="s">
        <v>97</v>
      </c>
      <c r="B119" s="5" t="s">
        <v>98</v>
      </c>
      <c r="C119" s="6">
        <v>45277</v>
      </c>
      <c r="D119" s="8">
        <v>20</v>
      </c>
      <c r="E119" s="5" t="s">
        <v>20</v>
      </c>
      <c r="F119" s="5" t="s">
        <v>52</v>
      </c>
      <c r="G119" s="5" t="s">
        <v>46</v>
      </c>
      <c r="H119" s="7">
        <v>367.58</v>
      </c>
      <c r="I119" s="3">
        <v>3</v>
      </c>
      <c r="J119" s="33">
        <f>H119*I119</f>
        <v>1102.74</v>
      </c>
      <c r="K119" s="4">
        <v>58.54</v>
      </c>
      <c r="L119" s="9">
        <f>IF(J119=0,0,K119/J119)</f>
        <v>5.3085949543863468E-2</v>
      </c>
      <c r="M119" s="25">
        <v>1044.2</v>
      </c>
      <c r="N119" s="5" t="s">
        <v>23</v>
      </c>
      <c r="O119" s="5" t="s">
        <v>29</v>
      </c>
      <c r="P119" s="3">
        <v>13</v>
      </c>
      <c r="Q119" s="3">
        <v>12</v>
      </c>
      <c r="R119" s="5" t="b">
        <v>0</v>
      </c>
      <c r="S119" s="5" t="str">
        <f>IF(R119=TRUE,"Returning Customer","New Customer")</f>
        <v>New Customer</v>
      </c>
      <c r="T119" s="3">
        <v>6</v>
      </c>
      <c r="U119" s="12" t="str">
        <f>IF(T119&lt;=3,"Fast",IF(T119&lt;=7,"Standard",IF(T119&lt;=14,"Slow","Very Slow")))</f>
        <v>Standard</v>
      </c>
      <c r="V119" s="10" t="str">
        <f>IF(D119&lt;=25,"18-25",IF(D119&lt;=35,"26-35",IF(D119&lt;=45,"36-45",IF(D119&lt;=55,"46-55",IF(D119&lt;=65,"56-65","66-75")))))</f>
        <v>18-25</v>
      </c>
      <c r="W119" s="3">
        <v>4</v>
      </c>
    </row>
    <row r="120" spans="1:23">
      <c r="A120" s="5" t="s">
        <v>99</v>
      </c>
      <c r="B120" s="5" t="s">
        <v>100</v>
      </c>
      <c r="C120" s="6">
        <v>45093</v>
      </c>
      <c r="D120" s="8">
        <v>48</v>
      </c>
      <c r="E120" s="5" t="s">
        <v>36</v>
      </c>
      <c r="F120" s="5" t="s">
        <v>83</v>
      </c>
      <c r="G120" s="5" t="s">
        <v>37</v>
      </c>
      <c r="H120" s="7">
        <v>89.98</v>
      </c>
      <c r="I120" s="3">
        <v>1</v>
      </c>
      <c r="J120" s="33">
        <f>H120*I120</f>
        <v>89.98</v>
      </c>
      <c r="K120" s="4">
        <v>0</v>
      </c>
      <c r="L120" s="9">
        <f>IF(J120=0,0,K120/J120)</f>
        <v>0</v>
      </c>
      <c r="M120" s="25">
        <v>89.98</v>
      </c>
      <c r="N120" s="5" t="s">
        <v>23</v>
      </c>
      <c r="O120" s="5" t="s">
        <v>24</v>
      </c>
      <c r="P120" s="3">
        <v>9</v>
      </c>
      <c r="Q120" s="3">
        <v>9</v>
      </c>
      <c r="R120" s="5" t="b">
        <v>0</v>
      </c>
      <c r="S120" s="5" t="str">
        <f>IF(R120=TRUE,"Returning Customer","New Customer")</f>
        <v>New Customer</v>
      </c>
      <c r="T120" s="3">
        <v>14</v>
      </c>
      <c r="U120" s="12" t="str">
        <f>IF(T120&lt;=3,"Fast",IF(T120&lt;=7,"Standard",IF(T120&lt;=14,"Slow","Very Slow")))</f>
        <v>Slow</v>
      </c>
      <c r="V120" s="10" t="str">
        <f>IF(D120&lt;=25,"18-25",IF(D120&lt;=35,"26-35",IF(D120&lt;=45,"36-45",IF(D120&lt;=55,"46-55",IF(D120&lt;=65,"56-65","66-75")))))</f>
        <v>46-55</v>
      </c>
      <c r="W120" s="3">
        <v>2</v>
      </c>
    </row>
    <row r="121" spans="1:23">
      <c r="A121" s="5" t="s">
        <v>1323</v>
      </c>
      <c r="B121" s="5" t="s">
        <v>1324</v>
      </c>
      <c r="C121" s="6">
        <v>45358</v>
      </c>
      <c r="D121" s="8">
        <v>44</v>
      </c>
      <c r="E121" s="5" t="s">
        <v>20</v>
      </c>
      <c r="F121" s="5" t="s">
        <v>32</v>
      </c>
      <c r="G121" s="5" t="s">
        <v>115</v>
      </c>
      <c r="H121" s="7">
        <v>7.89</v>
      </c>
      <c r="I121" s="3">
        <v>1</v>
      </c>
      <c r="J121" s="33">
        <f>H121*I121</f>
        <v>7.89</v>
      </c>
      <c r="K121" s="4">
        <v>0</v>
      </c>
      <c r="L121" s="9">
        <f>IF(J121=0,0,K121/J121)</f>
        <v>0</v>
      </c>
      <c r="M121" s="25">
        <v>7.89</v>
      </c>
      <c r="N121" s="5" t="s">
        <v>1298</v>
      </c>
      <c r="O121" s="5" t="s">
        <v>29</v>
      </c>
      <c r="P121" s="3">
        <v>12</v>
      </c>
      <c r="Q121" s="3">
        <v>9</v>
      </c>
      <c r="R121" s="5" t="b">
        <v>1</v>
      </c>
      <c r="S121" s="5" t="str">
        <f>IF(R121=TRUE,"Returning Customer","New Customer")</f>
        <v>Returning Customer</v>
      </c>
      <c r="T121" s="3">
        <v>7</v>
      </c>
      <c r="U121" s="12" t="str">
        <f>IF(T121&lt;=3,"Fast",IF(T121&lt;=7,"Standard",IF(T121&lt;=14,"Slow","Very Slow")))</f>
        <v>Standard</v>
      </c>
      <c r="V121" s="10" t="str">
        <f>IF(D121&lt;=25,"18-25",IF(D121&lt;=35,"26-35",IF(D121&lt;=45,"36-45",IF(D121&lt;=55,"46-55",IF(D121&lt;=65,"56-65","66-75")))))</f>
        <v>36-45</v>
      </c>
      <c r="W121" s="3">
        <v>4</v>
      </c>
    </row>
    <row r="122" spans="1:23">
      <c r="A122" s="5" t="s">
        <v>388</v>
      </c>
      <c r="B122" s="5" t="s">
        <v>389</v>
      </c>
      <c r="C122" s="6">
        <v>45320</v>
      </c>
      <c r="D122" s="8">
        <v>44</v>
      </c>
      <c r="E122" s="5" t="s">
        <v>36</v>
      </c>
      <c r="F122" s="5" t="s">
        <v>21</v>
      </c>
      <c r="G122" s="5" t="s">
        <v>46</v>
      </c>
      <c r="H122" s="7">
        <v>439.39</v>
      </c>
      <c r="I122" s="3">
        <v>5</v>
      </c>
      <c r="J122" s="33">
        <f>H122*I122</f>
        <v>2196.9499999999998</v>
      </c>
      <c r="K122" s="4">
        <v>0</v>
      </c>
      <c r="L122" s="9">
        <f>IF(J122=0,0,K122/J122)</f>
        <v>0</v>
      </c>
      <c r="M122" s="25">
        <v>2196.9499999999998</v>
      </c>
      <c r="N122" s="5" t="s">
        <v>327</v>
      </c>
      <c r="O122" s="5" t="s">
        <v>33</v>
      </c>
      <c r="P122" s="3">
        <v>13</v>
      </c>
      <c r="Q122" s="3">
        <v>6</v>
      </c>
      <c r="R122" s="5" t="b">
        <v>1</v>
      </c>
      <c r="S122" s="5" t="str">
        <f>IF(R122=TRUE,"Returning Customer","New Customer")</f>
        <v>Returning Customer</v>
      </c>
      <c r="T122" s="3">
        <v>6</v>
      </c>
      <c r="U122" s="12" t="str">
        <f>IF(T122&lt;=3,"Fast",IF(T122&lt;=7,"Standard",IF(T122&lt;=14,"Slow","Very Slow")))</f>
        <v>Standard</v>
      </c>
      <c r="V122" s="10" t="str">
        <f>IF(D122&lt;=25,"18-25",IF(D122&lt;=35,"26-35",IF(D122&lt;=45,"36-45",IF(D122&lt;=55,"46-55",IF(D122&lt;=65,"56-65","66-75")))))</f>
        <v>36-45</v>
      </c>
      <c r="W122" s="3">
        <v>5</v>
      </c>
    </row>
    <row r="123" spans="1:23">
      <c r="A123" s="5" t="s">
        <v>763</v>
      </c>
      <c r="B123" s="5" t="s">
        <v>764</v>
      </c>
      <c r="C123" s="6">
        <v>45324</v>
      </c>
      <c r="D123" s="8">
        <v>24</v>
      </c>
      <c r="E123" s="5" t="s">
        <v>20</v>
      </c>
      <c r="F123" s="5" t="s">
        <v>52</v>
      </c>
      <c r="G123" s="5" t="s">
        <v>37</v>
      </c>
      <c r="H123" s="7">
        <v>64.77</v>
      </c>
      <c r="I123" s="3">
        <v>5</v>
      </c>
      <c r="J123" s="33">
        <f>H123*I123</f>
        <v>323.84999999999997</v>
      </c>
      <c r="K123" s="4">
        <v>0</v>
      </c>
      <c r="L123" s="9">
        <f>IF(J123=0,0,K123/J123)</f>
        <v>0</v>
      </c>
      <c r="M123" s="25">
        <v>323.85000000000002</v>
      </c>
      <c r="N123" s="5" t="s">
        <v>692</v>
      </c>
      <c r="O123" s="5" t="s">
        <v>33</v>
      </c>
      <c r="P123" s="3">
        <v>27</v>
      </c>
      <c r="Q123" s="3">
        <v>8</v>
      </c>
      <c r="R123" s="5" t="b">
        <v>0</v>
      </c>
      <c r="S123" s="5" t="str">
        <f>IF(R123=TRUE,"Returning Customer","New Customer")</f>
        <v>New Customer</v>
      </c>
      <c r="T123" s="3">
        <v>2</v>
      </c>
      <c r="U123" s="12" t="str">
        <f>IF(T123&lt;=3,"Fast",IF(T123&lt;=7,"Standard",IF(T123&lt;=14,"Slow","Very Slow")))</f>
        <v>Fast</v>
      </c>
      <c r="V123" s="10" t="str">
        <f>IF(D123&lt;=25,"18-25",IF(D123&lt;=35,"26-35",IF(D123&lt;=45,"36-45",IF(D123&lt;=55,"46-55",IF(D123&lt;=65,"56-65","66-75")))))</f>
        <v>18-25</v>
      </c>
      <c r="W123" s="3">
        <v>5</v>
      </c>
    </row>
    <row r="124" spans="1:23">
      <c r="A124" s="5" t="s">
        <v>1248</v>
      </c>
      <c r="B124" s="5" t="s">
        <v>1249</v>
      </c>
      <c r="C124" s="6">
        <v>44955</v>
      </c>
      <c r="D124" s="8">
        <v>51</v>
      </c>
      <c r="E124" s="5" t="s">
        <v>20</v>
      </c>
      <c r="F124" s="5" t="s">
        <v>88</v>
      </c>
      <c r="G124" s="5" t="s">
        <v>53</v>
      </c>
      <c r="H124" s="7">
        <v>13.38</v>
      </c>
      <c r="I124" s="3">
        <v>1</v>
      </c>
      <c r="J124" s="33">
        <f>H124*I124</f>
        <v>13.38</v>
      </c>
      <c r="K124" s="4">
        <v>2.36</v>
      </c>
      <c r="L124" s="9">
        <f>IF(J124=0,0,K124/J124)</f>
        <v>0.1763826606875934</v>
      </c>
      <c r="M124" s="25">
        <v>11.02</v>
      </c>
      <c r="N124" s="5" t="s">
        <v>1231</v>
      </c>
      <c r="O124" s="5" t="s">
        <v>33</v>
      </c>
      <c r="P124" s="3">
        <v>11</v>
      </c>
      <c r="Q124" s="3">
        <v>9</v>
      </c>
      <c r="R124" s="5" t="b">
        <v>1</v>
      </c>
      <c r="S124" s="5" t="str">
        <f>IF(R124=TRUE,"Returning Customer","New Customer")</f>
        <v>Returning Customer</v>
      </c>
      <c r="T124" s="3">
        <v>5</v>
      </c>
      <c r="U124" s="12" t="str">
        <f>IF(T124&lt;=3,"Fast",IF(T124&lt;=7,"Standard",IF(T124&lt;=14,"Slow","Very Slow")))</f>
        <v>Standard</v>
      </c>
      <c r="V124" s="10" t="str">
        <f>IF(D124&lt;=25,"18-25",IF(D124&lt;=35,"26-35",IF(D124&lt;=45,"36-45",IF(D124&lt;=55,"46-55",IF(D124&lt;=65,"56-65","66-75")))))</f>
        <v>46-55</v>
      </c>
      <c r="W124" s="3">
        <v>1</v>
      </c>
    </row>
    <row r="125" spans="1:23">
      <c r="A125" s="5" t="s">
        <v>765</v>
      </c>
      <c r="B125" s="5" t="s">
        <v>766</v>
      </c>
      <c r="C125" s="6">
        <v>45044</v>
      </c>
      <c r="D125" s="8">
        <v>18</v>
      </c>
      <c r="E125" s="5" t="s">
        <v>20</v>
      </c>
      <c r="F125" s="5" t="s">
        <v>88</v>
      </c>
      <c r="G125" s="5" t="s">
        <v>115</v>
      </c>
      <c r="H125" s="7">
        <v>126.06</v>
      </c>
      <c r="I125" s="3">
        <v>2</v>
      </c>
      <c r="J125" s="33">
        <f>H125*I125</f>
        <v>252.12</v>
      </c>
      <c r="K125" s="4">
        <v>0</v>
      </c>
      <c r="L125" s="9">
        <f>IF(J125=0,0,K125/J125)</f>
        <v>0</v>
      </c>
      <c r="M125" s="25">
        <v>252.12</v>
      </c>
      <c r="N125" s="5" t="s">
        <v>692</v>
      </c>
      <c r="O125" s="5" t="s">
        <v>24</v>
      </c>
      <c r="P125" s="3">
        <v>28</v>
      </c>
      <c r="Q125" s="3">
        <v>11</v>
      </c>
      <c r="R125" s="5" t="b">
        <v>1</v>
      </c>
      <c r="S125" s="5" t="str">
        <f>IF(R125=TRUE,"Returning Customer","New Customer")</f>
        <v>Returning Customer</v>
      </c>
      <c r="T125" s="3">
        <v>8</v>
      </c>
      <c r="U125" s="12" t="str">
        <f>IF(T125&lt;=3,"Fast",IF(T125&lt;=7,"Standard",IF(T125&lt;=14,"Slow","Very Slow")))</f>
        <v>Slow</v>
      </c>
      <c r="V125" s="10" t="str">
        <f>IF(D125&lt;=25,"18-25",IF(D125&lt;=35,"26-35",IF(D125&lt;=45,"36-45",IF(D125&lt;=55,"46-55",IF(D125&lt;=65,"56-65","66-75")))))</f>
        <v>18-25</v>
      </c>
      <c r="W125" s="3">
        <v>4</v>
      </c>
    </row>
    <row r="126" spans="1:23">
      <c r="A126" s="5" t="s">
        <v>767</v>
      </c>
      <c r="B126" s="5" t="s">
        <v>768</v>
      </c>
      <c r="C126" s="6">
        <v>45347</v>
      </c>
      <c r="D126" s="8">
        <v>42</v>
      </c>
      <c r="E126" s="5" t="s">
        <v>20</v>
      </c>
      <c r="F126" s="5" t="s">
        <v>32</v>
      </c>
      <c r="G126" s="5" t="s">
        <v>46</v>
      </c>
      <c r="H126" s="7">
        <v>500.35</v>
      </c>
      <c r="I126" s="3">
        <v>3</v>
      </c>
      <c r="J126" s="33">
        <f>H126*I126</f>
        <v>1501.0500000000002</v>
      </c>
      <c r="K126" s="4">
        <v>0</v>
      </c>
      <c r="L126" s="9">
        <f>IF(J126=0,0,K126/J126)</f>
        <v>0</v>
      </c>
      <c r="M126" s="25">
        <v>1501.05</v>
      </c>
      <c r="N126" s="5" t="s">
        <v>692</v>
      </c>
      <c r="O126" s="5" t="s">
        <v>24</v>
      </c>
      <c r="P126" s="3">
        <v>20</v>
      </c>
      <c r="Q126" s="3">
        <v>7</v>
      </c>
      <c r="R126" s="5" t="b">
        <v>1</v>
      </c>
      <c r="S126" s="5" t="str">
        <f>IF(R126=TRUE,"Returning Customer","New Customer")</f>
        <v>Returning Customer</v>
      </c>
      <c r="T126" s="3">
        <v>4</v>
      </c>
      <c r="U126" s="12" t="str">
        <f>IF(T126&lt;=3,"Fast",IF(T126&lt;=7,"Standard",IF(T126&lt;=14,"Slow","Very Slow")))</f>
        <v>Standard</v>
      </c>
      <c r="V126" s="10" t="str">
        <f>IF(D126&lt;=25,"18-25",IF(D126&lt;=35,"26-35",IF(D126&lt;=45,"36-45",IF(D126&lt;=55,"46-55",IF(D126&lt;=65,"56-65","66-75")))))</f>
        <v>36-45</v>
      </c>
      <c r="W126" s="3">
        <v>2</v>
      </c>
    </row>
    <row r="127" spans="1:23">
      <c r="A127" s="5" t="s">
        <v>101</v>
      </c>
      <c r="B127" s="5" t="s">
        <v>102</v>
      </c>
      <c r="C127" s="6">
        <v>44943</v>
      </c>
      <c r="D127" s="8">
        <v>61</v>
      </c>
      <c r="E127" s="5" t="s">
        <v>36</v>
      </c>
      <c r="F127" s="5" t="s">
        <v>32</v>
      </c>
      <c r="G127" s="5" t="s">
        <v>28</v>
      </c>
      <c r="H127" s="7">
        <v>185.75</v>
      </c>
      <c r="I127" s="3">
        <v>1</v>
      </c>
      <c r="J127" s="33">
        <f>H127*I127</f>
        <v>185.75</v>
      </c>
      <c r="K127" s="4">
        <v>0</v>
      </c>
      <c r="L127" s="9">
        <f>IF(J127=0,0,K127/J127)</f>
        <v>0</v>
      </c>
      <c r="M127" s="25">
        <v>185.75</v>
      </c>
      <c r="N127" s="5" t="s">
        <v>23</v>
      </c>
      <c r="O127" s="5" t="s">
        <v>33</v>
      </c>
      <c r="P127" s="3">
        <v>24</v>
      </c>
      <c r="Q127" s="3">
        <v>12</v>
      </c>
      <c r="R127" s="5" t="b">
        <v>0</v>
      </c>
      <c r="S127" s="5" t="str">
        <f>IF(R127=TRUE,"Returning Customer","New Customer")</f>
        <v>New Customer</v>
      </c>
      <c r="T127" s="3">
        <v>10</v>
      </c>
      <c r="U127" s="12" t="str">
        <f>IF(T127&lt;=3,"Fast",IF(T127&lt;=7,"Standard",IF(T127&lt;=14,"Slow","Very Slow")))</f>
        <v>Slow</v>
      </c>
      <c r="V127" s="10" t="str">
        <f>IF(D127&lt;=25,"18-25",IF(D127&lt;=35,"26-35",IF(D127&lt;=45,"36-45",IF(D127&lt;=55,"46-55",IF(D127&lt;=65,"56-65","66-75")))))</f>
        <v>56-65</v>
      </c>
      <c r="W127" s="3">
        <v>5</v>
      </c>
    </row>
    <row r="128" spans="1:23">
      <c r="A128" s="5" t="s">
        <v>769</v>
      </c>
      <c r="B128" s="5" t="s">
        <v>770</v>
      </c>
      <c r="C128" s="6">
        <v>45339</v>
      </c>
      <c r="D128" s="8">
        <v>23</v>
      </c>
      <c r="E128" s="5" t="s">
        <v>36</v>
      </c>
      <c r="F128" s="5" t="s">
        <v>49</v>
      </c>
      <c r="G128" s="5" t="s">
        <v>22</v>
      </c>
      <c r="H128" s="7">
        <v>501.52</v>
      </c>
      <c r="I128" s="3">
        <v>2</v>
      </c>
      <c r="J128" s="33">
        <f>H128*I128</f>
        <v>1003.04</v>
      </c>
      <c r="K128" s="4">
        <v>0</v>
      </c>
      <c r="L128" s="9">
        <f>IF(J128=0,0,K128/J128)</f>
        <v>0</v>
      </c>
      <c r="M128" s="25">
        <v>1003.04</v>
      </c>
      <c r="N128" s="5" t="s">
        <v>692</v>
      </c>
      <c r="O128" s="5" t="s">
        <v>33</v>
      </c>
      <c r="P128" s="3">
        <v>1</v>
      </c>
      <c r="Q128" s="3">
        <v>8</v>
      </c>
      <c r="R128" s="5" t="b">
        <v>1</v>
      </c>
      <c r="S128" s="5" t="str">
        <f>IF(R128=TRUE,"Returning Customer","New Customer")</f>
        <v>Returning Customer</v>
      </c>
      <c r="T128" s="3">
        <v>10</v>
      </c>
      <c r="U128" s="12" t="str">
        <f>IF(T128&lt;=3,"Fast",IF(T128&lt;=7,"Standard",IF(T128&lt;=14,"Slow","Very Slow")))</f>
        <v>Slow</v>
      </c>
      <c r="V128" s="10" t="str">
        <f>IF(D128&lt;=25,"18-25",IF(D128&lt;=35,"26-35",IF(D128&lt;=45,"36-45",IF(D128&lt;=55,"46-55",IF(D128&lt;=65,"56-65","66-75")))))</f>
        <v>18-25</v>
      </c>
      <c r="W128" s="3">
        <v>1</v>
      </c>
    </row>
    <row r="129" spans="1:23">
      <c r="A129" s="5" t="s">
        <v>771</v>
      </c>
      <c r="B129" s="5" t="s">
        <v>772</v>
      </c>
      <c r="C129" s="6">
        <v>45088</v>
      </c>
      <c r="D129" s="8">
        <v>28</v>
      </c>
      <c r="E129" s="5" t="s">
        <v>20</v>
      </c>
      <c r="F129" s="5" t="s">
        <v>52</v>
      </c>
      <c r="G129" s="5" t="s">
        <v>115</v>
      </c>
      <c r="H129" s="7">
        <v>93.22</v>
      </c>
      <c r="I129" s="3">
        <v>5</v>
      </c>
      <c r="J129" s="33">
        <f>H129*I129</f>
        <v>466.1</v>
      </c>
      <c r="K129" s="4">
        <v>0</v>
      </c>
      <c r="L129" s="9">
        <f>IF(J129=0,0,K129/J129)</f>
        <v>0</v>
      </c>
      <c r="M129" s="25">
        <v>466.1</v>
      </c>
      <c r="N129" s="5" t="s">
        <v>692</v>
      </c>
      <c r="O129" s="5" t="s">
        <v>33</v>
      </c>
      <c r="P129" s="3">
        <v>13</v>
      </c>
      <c r="Q129" s="3">
        <v>6</v>
      </c>
      <c r="R129" s="5" t="b">
        <v>1</v>
      </c>
      <c r="S129" s="5" t="str">
        <f>IF(R129=TRUE,"Returning Customer","New Customer")</f>
        <v>Returning Customer</v>
      </c>
      <c r="T129" s="3">
        <v>2</v>
      </c>
      <c r="U129" s="12" t="str">
        <f>IF(T129&lt;=3,"Fast",IF(T129&lt;=7,"Standard",IF(T129&lt;=14,"Slow","Very Slow")))</f>
        <v>Fast</v>
      </c>
      <c r="V129" s="10" t="str">
        <f>IF(D129&lt;=25,"18-25",IF(D129&lt;=35,"26-35",IF(D129&lt;=45,"36-45",IF(D129&lt;=55,"46-55",IF(D129&lt;=65,"56-65","66-75")))))</f>
        <v>26-35</v>
      </c>
      <c r="W129" s="3">
        <v>1</v>
      </c>
    </row>
    <row r="130" spans="1:23">
      <c r="A130" s="5" t="s">
        <v>773</v>
      </c>
      <c r="B130" s="5" t="s">
        <v>774</v>
      </c>
      <c r="C130" s="6">
        <v>45132</v>
      </c>
      <c r="D130" s="8">
        <v>36</v>
      </c>
      <c r="E130" s="5" t="s">
        <v>36</v>
      </c>
      <c r="F130" s="5" t="s">
        <v>49</v>
      </c>
      <c r="G130" s="5" t="s">
        <v>37</v>
      </c>
      <c r="H130" s="7">
        <v>38.58</v>
      </c>
      <c r="I130" s="3">
        <v>2</v>
      </c>
      <c r="J130" s="33">
        <f>H130*I130</f>
        <v>77.16</v>
      </c>
      <c r="K130" s="4">
        <v>0</v>
      </c>
      <c r="L130" s="9">
        <f>IF(J130=0,0,K130/J130)</f>
        <v>0</v>
      </c>
      <c r="M130" s="25">
        <v>77.16</v>
      </c>
      <c r="N130" s="5" t="s">
        <v>692</v>
      </c>
      <c r="O130" s="5" t="s">
        <v>24</v>
      </c>
      <c r="P130" s="3">
        <v>11</v>
      </c>
      <c r="Q130" s="3">
        <v>14</v>
      </c>
      <c r="R130" s="5" t="b">
        <v>0</v>
      </c>
      <c r="S130" s="5" t="str">
        <f>IF(R130=TRUE,"Returning Customer","New Customer")</f>
        <v>New Customer</v>
      </c>
      <c r="T130" s="3">
        <v>2</v>
      </c>
      <c r="U130" s="12" t="str">
        <f>IF(T130&lt;=3,"Fast",IF(T130&lt;=7,"Standard",IF(T130&lt;=14,"Slow","Very Slow")))</f>
        <v>Fast</v>
      </c>
      <c r="V130" s="10" t="str">
        <f>IF(D130&lt;=25,"18-25",IF(D130&lt;=35,"26-35",IF(D130&lt;=45,"36-45",IF(D130&lt;=55,"46-55",IF(D130&lt;=65,"56-65","66-75")))))</f>
        <v>36-45</v>
      </c>
      <c r="W130" s="3">
        <v>5</v>
      </c>
    </row>
    <row r="131" spans="1:23">
      <c r="A131" s="5" t="s">
        <v>775</v>
      </c>
      <c r="B131" s="5" t="s">
        <v>776</v>
      </c>
      <c r="C131" s="6">
        <v>45064</v>
      </c>
      <c r="D131" s="8">
        <v>28</v>
      </c>
      <c r="E131" s="5" t="s">
        <v>20</v>
      </c>
      <c r="F131" s="5" t="s">
        <v>32</v>
      </c>
      <c r="G131" s="5" t="s">
        <v>37</v>
      </c>
      <c r="H131" s="7">
        <v>164.8</v>
      </c>
      <c r="I131" s="3">
        <v>3</v>
      </c>
      <c r="J131" s="33">
        <f>H131*I131</f>
        <v>494.40000000000003</v>
      </c>
      <c r="K131" s="4">
        <v>30.29</v>
      </c>
      <c r="L131" s="9">
        <f>IF(J131=0,0,K131/J131)</f>
        <v>6.126618122977346E-2</v>
      </c>
      <c r="M131" s="25">
        <v>464.11</v>
      </c>
      <c r="N131" s="5" t="s">
        <v>692</v>
      </c>
      <c r="O131" s="5" t="s">
        <v>33</v>
      </c>
      <c r="P131" s="3">
        <v>10</v>
      </c>
      <c r="Q131" s="3">
        <v>9</v>
      </c>
      <c r="R131" s="5" t="b">
        <v>0</v>
      </c>
      <c r="S131" s="5" t="str">
        <f>IF(R131=TRUE,"Returning Customer","New Customer")</f>
        <v>New Customer</v>
      </c>
      <c r="T131" s="3">
        <v>11</v>
      </c>
      <c r="U131" s="12" t="str">
        <f>IF(T131&lt;=3,"Fast",IF(T131&lt;=7,"Standard",IF(T131&lt;=14,"Slow","Very Slow")))</f>
        <v>Slow</v>
      </c>
      <c r="V131" s="10" t="str">
        <f>IF(D131&lt;=25,"18-25",IF(D131&lt;=35,"26-35",IF(D131&lt;=45,"36-45",IF(D131&lt;=55,"46-55",IF(D131&lt;=65,"56-65","66-75")))))</f>
        <v>26-35</v>
      </c>
      <c r="W131" s="3">
        <v>2</v>
      </c>
    </row>
    <row r="132" spans="1:23">
      <c r="A132" s="5" t="s">
        <v>390</v>
      </c>
      <c r="B132" s="5" t="s">
        <v>391</v>
      </c>
      <c r="C132" s="6">
        <v>44960</v>
      </c>
      <c r="D132" s="8">
        <v>18</v>
      </c>
      <c r="E132" s="5" t="s">
        <v>36</v>
      </c>
      <c r="F132" s="5" t="s">
        <v>32</v>
      </c>
      <c r="G132" s="5" t="s">
        <v>46</v>
      </c>
      <c r="H132" s="7">
        <v>117.22</v>
      </c>
      <c r="I132" s="3">
        <v>2</v>
      </c>
      <c r="J132" s="33">
        <f>H132*I132</f>
        <v>234.44</v>
      </c>
      <c r="K132" s="4">
        <v>0</v>
      </c>
      <c r="L132" s="9">
        <f>IF(J132=0,0,K132/J132)</f>
        <v>0</v>
      </c>
      <c r="M132" s="25">
        <v>234.44</v>
      </c>
      <c r="N132" s="5" t="s">
        <v>327</v>
      </c>
      <c r="O132" s="5" t="s">
        <v>29</v>
      </c>
      <c r="P132" s="3">
        <v>17</v>
      </c>
      <c r="Q132" s="3">
        <v>8</v>
      </c>
      <c r="R132" s="5" t="b">
        <v>0</v>
      </c>
      <c r="S132" s="5" t="str">
        <f>IF(R132=TRUE,"Returning Customer","New Customer")</f>
        <v>New Customer</v>
      </c>
      <c r="T132" s="3">
        <v>3</v>
      </c>
      <c r="U132" s="12" t="str">
        <f>IF(T132&lt;=3,"Fast",IF(T132&lt;=7,"Standard",IF(T132&lt;=14,"Slow","Very Slow")))</f>
        <v>Fast</v>
      </c>
      <c r="V132" s="10" t="str">
        <f>IF(D132&lt;=25,"18-25",IF(D132&lt;=35,"26-35",IF(D132&lt;=45,"36-45",IF(D132&lt;=55,"46-55",IF(D132&lt;=65,"56-65","66-75")))))</f>
        <v>18-25</v>
      </c>
      <c r="W132" s="3">
        <v>4</v>
      </c>
    </row>
    <row r="133" spans="1:23">
      <c r="A133" s="5" t="s">
        <v>777</v>
      </c>
      <c r="B133" s="5" t="s">
        <v>778</v>
      </c>
      <c r="C133" s="6">
        <v>45035</v>
      </c>
      <c r="D133" s="8">
        <v>35</v>
      </c>
      <c r="E133" s="5" t="s">
        <v>20</v>
      </c>
      <c r="F133" s="5" t="s">
        <v>49</v>
      </c>
      <c r="G133" s="5" t="s">
        <v>37</v>
      </c>
      <c r="H133" s="7">
        <v>137.06</v>
      </c>
      <c r="I133" s="3">
        <v>3</v>
      </c>
      <c r="J133" s="33">
        <f>H133*I133</f>
        <v>411.18</v>
      </c>
      <c r="K133" s="4">
        <v>28.04</v>
      </c>
      <c r="L133" s="9">
        <f>IF(J133=0,0,K133/J133)</f>
        <v>6.819397830633786E-2</v>
      </c>
      <c r="M133" s="25">
        <v>383.14</v>
      </c>
      <c r="N133" s="5" t="s">
        <v>692</v>
      </c>
      <c r="O133" s="5" t="s">
        <v>33</v>
      </c>
      <c r="P133" s="3">
        <v>14</v>
      </c>
      <c r="Q133" s="3">
        <v>13</v>
      </c>
      <c r="R133" s="5" t="b">
        <v>1</v>
      </c>
      <c r="S133" s="5" t="str">
        <f>IF(R133=TRUE,"Returning Customer","New Customer")</f>
        <v>Returning Customer</v>
      </c>
      <c r="T133" s="3">
        <v>4</v>
      </c>
      <c r="U133" s="12" t="str">
        <f>IF(T133&lt;=3,"Fast",IF(T133&lt;=7,"Standard",IF(T133&lt;=14,"Slow","Very Slow")))</f>
        <v>Standard</v>
      </c>
      <c r="V133" s="10" t="str">
        <f>IF(D133&lt;=25,"18-25",IF(D133&lt;=35,"26-35",IF(D133&lt;=45,"36-45",IF(D133&lt;=55,"46-55",IF(D133&lt;=65,"56-65","66-75")))))</f>
        <v>26-35</v>
      </c>
      <c r="W133" s="3">
        <v>5</v>
      </c>
    </row>
    <row r="134" spans="1:23">
      <c r="A134" s="5" t="s">
        <v>392</v>
      </c>
      <c r="B134" s="5" t="s">
        <v>393</v>
      </c>
      <c r="C134" s="6">
        <v>45217</v>
      </c>
      <c r="D134" s="8">
        <v>22</v>
      </c>
      <c r="E134" s="5" t="s">
        <v>36</v>
      </c>
      <c r="F134" s="5" t="s">
        <v>32</v>
      </c>
      <c r="G134" s="5" t="s">
        <v>53</v>
      </c>
      <c r="H134" s="7">
        <v>136.26</v>
      </c>
      <c r="I134" s="3">
        <v>1</v>
      </c>
      <c r="J134" s="33">
        <f>H134*I134</f>
        <v>136.26</v>
      </c>
      <c r="K134" s="4">
        <v>0</v>
      </c>
      <c r="L134" s="9">
        <f>IF(J134=0,0,K134/J134)</f>
        <v>0</v>
      </c>
      <c r="M134" s="25">
        <v>136.26</v>
      </c>
      <c r="N134" s="5" t="s">
        <v>327</v>
      </c>
      <c r="O134" s="5" t="s">
        <v>33</v>
      </c>
      <c r="P134" s="3">
        <v>33</v>
      </c>
      <c r="Q134" s="3">
        <v>15</v>
      </c>
      <c r="R134" s="5" t="b">
        <v>1</v>
      </c>
      <c r="S134" s="5" t="str">
        <f>IF(R134=TRUE,"Returning Customer","New Customer")</f>
        <v>Returning Customer</v>
      </c>
      <c r="T134" s="3">
        <v>2</v>
      </c>
      <c r="U134" s="12" t="str">
        <f>IF(T134&lt;=3,"Fast",IF(T134&lt;=7,"Standard",IF(T134&lt;=14,"Slow","Very Slow")))</f>
        <v>Fast</v>
      </c>
      <c r="V134" s="10" t="str">
        <f>IF(D134&lt;=25,"18-25",IF(D134&lt;=35,"26-35",IF(D134&lt;=45,"36-45",IF(D134&lt;=55,"46-55",IF(D134&lt;=65,"56-65","66-75")))))</f>
        <v>18-25</v>
      </c>
      <c r="W134" s="3">
        <v>5</v>
      </c>
    </row>
    <row r="135" spans="1:23">
      <c r="A135" s="5" t="s">
        <v>779</v>
      </c>
      <c r="B135" s="5" t="s">
        <v>780</v>
      </c>
      <c r="C135" s="6">
        <v>45375</v>
      </c>
      <c r="D135" s="8">
        <v>40</v>
      </c>
      <c r="E135" s="5" t="s">
        <v>36</v>
      </c>
      <c r="F135" s="5" t="s">
        <v>88</v>
      </c>
      <c r="G135" s="5" t="s">
        <v>46</v>
      </c>
      <c r="H135" s="7">
        <v>660.6</v>
      </c>
      <c r="I135" s="3">
        <v>2</v>
      </c>
      <c r="J135" s="33">
        <f>H135*I135</f>
        <v>1321.2</v>
      </c>
      <c r="K135" s="4">
        <v>0</v>
      </c>
      <c r="L135" s="9">
        <f>IF(J135=0,0,K135/J135)</f>
        <v>0</v>
      </c>
      <c r="M135" s="25">
        <v>1321.2</v>
      </c>
      <c r="N135" s="5" t="s">
        <v>692</v>
      </c>
      <c r="O135" s="5" t="s">
        <v>33</v>
      </c>
      <c r="P135" s="3">
        <v>24</v>
      </c>
      <c r="Q135" s="3">
        <v>7</v>
      </c>
      <c r="R135" s="5" t="b">
        <v>1</v>
      </c>
      <c r="S135" s="5" t="str">
        <f>IF(R135=TRUE,"Returning Customer","New Customer")</f>
        <v>Returning Customer</v>
      </c>
      <c r="T135" s="3">
        <v>4</v>
      </c>
      <c r="U135" s="12" t="str">
        <f>IF(T135&lt;=3,"Fast",IF(T135&lt;=7,"Standard",IF(T135&lt;=14,"Slow","Very Slow")))</f>
        <v>Standard</v>
      </c>
      <c r="V135" s="10" t="str">
        <f>IF(D135&lt;=25,"18-25",IF(D135&lt;=35,"26-35",IF(D135&lt;=45,"36-45",IF(D135&lt;=55,"46-55",IF(D135&lt;=65,"56-65","66-75")))))</f>
        <v>36-45</v>
      </c>
      <c r="W135" s="3">
        <v>3</v>
      </c>
    </row>
    <row r="136" spans="1:23">
      <c r="A136" s="5" t="s">
        <v>103</v>
      </c>
      <c r="B136" s="5" t="s">
        <v>104</v>
      </c>
      <c r="C136" s="6">
        <v>45294</v>
      </c>
      <c r="D136" s="8">
        <v>23</v>
      </c>
      <c r="E136" s="5" t="s">
        <v>36</v>
      </c>
      <c r="F136" s="5" t="s">
        <v>32</v>
      </c>
      <c r="G136" s="5" t="s">
        <v>46</v>
      </c>
      <c r="H136" s="7">
        <v>338.82</v>
      </c>
      <c r="I136" s="3">
        <v>5</v>
      </c>
      <c r="J136" s="33">
        <f>H136*I136</f>
        <v>1694.1</v>
      </c>
      <c r="K136" s="4">
        <v>84.41</v>
      </c>
      <c r="L136" s="9">
        <f>IF(J136=0,0,K136/J136)</f>
        <v>4.9825866241662242E-2</v>
      </c>
      <c r="M136" s="25">
        <v>1609.69</v>
      </c>
      <c r="N136" s="5" t="s">
        <v>23</v>
      </c>
      <c r="O136" s="5" t="s">
        <v>33</v>
      </c>
      <c r="P136" s="3">
        <v>11</v>
      </c>
      <c r="Q136" s="3">
        <v>11</v>
      </c>
      <c r="R136" s="5" t="b">
        <v>1</v>
      </c>
      <c r="S136" s="5" t="str">
        <f>IF(R136=TRUE,"Returning Customer","New Customer")</f>
        <v>Returning Customer</v>
      </c>
      <c r="T136" s="3">
        <v>4</v>
      </c>
      <c r="U136" s="12" t="str">
        <f>IF(T136&lt;=3,"Fast",IF(T136&lt;=7,"Standard",IF(T136&lt;=14,"Slow","Very Slow")))</f>
        <v>Standard</v>
      </c>
      <c r="V136" s="10" t="str">
        <f>IF(D136&lt;=25,"18-25",IF(D136&lt;=35,"26-35",IF(D136&lt;=45,"36-45",IF(D136&lt;=55,"46-55",IF(D136&lt;=65,"56-65","66-75")))))</f>
        <v>18-25</v>
      </c>
      <c r="W136" s="3">
        <v>4</v>
      </c>
    </row>
    <row r="137" spans="1:23">
      <c r="A137" s="5" t="s">
        <v>781</v>
      </c>
      <c r="B137" s="5" t="s">
        <v>782</v>
      </c>
      <c r="C137" s="6">
        <v>45088</v>
      </c>
      <c r="D137" s="8">
        <v>53</v>
      </c>
      <c r="E137" s="5" t="s">
        <v>36</v>
      </c>
      <c r="F137" s="5" t="s">
        <v>32</v>
      </c>
      <c r="G137" s="5" t="s">
        <v>115</v>
      </c>
      <c r="H137" s="7">
        <v>176.88</v>
      </c>
      <c r="I137" s="3">
        <v>1</v>
      </c>
      <c r="J137" s="33">
        <f>H137*I137</f>
        <v>176.88</v>
      </c>
      <c r="K137" s="4">
        <v>0</v>
      </c>
      <c r="L137" s="9">
        <f>IF(J137=0,0,K137/J137)</f>
        <v>0</v>
      </c>
      <c r="M137" s="25">
        <v>176.88</v>
      </c>
      <c r="N137" s="5" t="s">
        <v>692</v>
      </c>
      <c r="O137" s="5" t="s">
        <v>24</v>
      </c>
      <c r="P137" s="3">
        <v>9</v>
      </c>
      <c r="Q137" s="3">
        <v>5</v>
      </c>
      <c r="R137" s="5" t="b">
        <v>1</v>
      </c>
      <c r="S137" s="5" t="str">
        <f>IF(R137=TRUE,"Returning Customer","New Customer")</f>
        <v>Returning Customer</v>
      </c>
      <c r="T137" s="3">
        <v>4</v>
      </c>
      <c r="U137" s="12" t="str">
        <f>IF(T137&lt;=3,"Fast",IF(T137&lt;=7,"Standard",IF(T137&lt;=14,"Slow","Very Slow")))</f>
        <v>Standard</v>
      </c>
      <c r="V137" s="10" t="str">
        <f>IF(D137&lt;=25,"18-25",IF(D137&lt;=35,"26-35",IF(D137&lt;=45,"36-45",IF(D137&lt;=55,"46-55",IF(D137&lt;=65,"56-65","66-75")))))</f>
        <v>46-55</v>
      </c>
      <c r="W137" s="3">
        <v>4</v>
      </c>
    </row>
    <row r="138" spans="1:23">
      <c r="A138" s="5" t="s">
        <v>783</v>
      </c>
      <c r="B138" s="5" t="s">
        <v>784</v>
      </c>
      <c r="C138" s="6">
        <v>45035</v>
      </c>
      <c r="D138" s="8">
        <v>25</v>
      </c>
      <c r="E138" s="5" t="s">
        <v>36</v>
      </c>
      <c r="F138" s="5" t="s">
        <v>83</v>
      </c>
      <c r="G138" s="5" t="s">
        <v>56</v>
      </c>
      <c r="H138" s="7">
        <v>662.8</v>
      </c>
      <c r="I138" s="3">
        <v>2</v>
      </c>
      <c r="J138" s="33">
        <f>H138*I138</f>
        <v>1325.6</v>
      </c>
      <c r="K138" s="4">
        <v>0</v>
      </c>
      <c r="L138" s="9">
        <f>IF(J138=0,0,K138/J138)</f>
        <v>0</v>
      </c>
      <c r="M138" s="25">
        <v>1325.6</v>
      </c>
      <c r="N138" s="5" t="s">
        <v>692</v>
      </c>
      <c r="O138" s="5" t="s">
        <v>24</v>
      </c>
      <c r="P138" s="3">
        <v>6</v>
      </c>
      <c r="Q138" s="3">
        <v>9</v>
      </c>
      <c r="R138" s="5" t="b">
        <v>1</v>
      </c>
      <c r="S138" s="5" t="str">
        <f>IF(R138=TRUE,"Returning Customer","New Customer")</f>
        <v>Returning Customer</v>
      </c>
      <c r="T138" s="3">
        <v>12</v>
      </c>
      <c r="U138" s="12" t="str">
        <f>IF(T138&lt;=3,"Fast",IF(T138&lt;=7,"Standard",IF(T138&lt;=14,"Slow","Very Slow")))</f>
        <v>Slow</v>
      </c>
      <c r="V138" s="10" t="str">
        <f>IF(D138&lt;=25,"18-25",IF(D138&lt;=35,"26-35",IF(D138&lt;=45,"36-45",IF(D138&lt;=55,"46-55",IF(D138&lt;=65,"56-65","66-75")))))</f>
        <v>18-25</v>
      </c>
      <c r="W138" s="3">
        <v>4</v>
      </c>
    </row>
    <row r="139" spans="1:23">
      <c r="A139" s="5" t="s">
        <v>785</v>
      </c>
      <c r="B139" s="5" t="s">
        <v>786</v>
      </c>
      <c r="C139" s="6">
        <v>45262</v>
      </c>
      <c r="D139" s="8">
        <v>31</v>
      </c>
      <c r="E139" s="5" t="s">
        <v>36</v>
      </c>
      <c r="F139" s="5" t="s">
        <v>21</v>
      </c>
      <c r="G139" s="5" t="s">
        <v>28</v>
      </c>
      <c r="H139" s="7">
        <v>69.540000000000006</v>
      </c>
      <c r="I139" s="3">
        <v>1</v>
      </c>
      <c r="J139" s="33">
        <f>H139*I139</f>
        <v>69.540000000000006</v>
      </c>
      <c r="K139" s="4">
        <v>6.55</v>
      </c>
      <c r="L139" s="9">
        <f>IF(J139=0,0,K139/J139)</f>
        <v>9.4190394017831455E-2</v>
      </c>
      <c r="M139" s="25">
        <v>62.99</v>
      </c>
      <c r="N139" s="5" t="s">
        <v>692</v>
      </c>
      <c r="O139" s="5" t="s">
        <v>33</v>
      </c>
      <c r="P139" s="3">
        <v>23</v>
      </c>
      <c r="Q139" s="3">
        <v>6</v>
      </c>
      <c r="R139" s="5" t="b">
        <v>1</v>
      </c>
      <c r="S139" s="5" t="str">
        <f>IF(R139=TRUE,"Returning Customer","New Customer")</f>
        <v>Returning Customer</v>
      </c>
      <c r="T139" s="3">
        <v>11</v>
      </c>
      <c r="U139" s="12" t="str">
        <f>IF(T139&lt;=3,"Fast",IF(T139&lt;=7,"Standard",IF(T139&lt;=14,"Slow","Very Slow")))</f>
        <v>Slow</v>
      </c>
      <c r="V139" s="10" t="str">
        <f>IF(D139&lt;=25,"18-25",IF(D139&lt;=35,"26-35",IF(D139&lt;=45,"36-45",IF(D139&lt;=55,"46-55",IF(D139&lt;=65,"56-65","66-75")))))</f>
        <v>26-35</v>
      </c>
      <c r="W139" s="3">
        <v>5</v>
      </c>
    </row>
    <row r="140" spans="1:23">
      <c r="A140" s="5" t="s">
        <v>394</v>
      </c>
      <c r="B140" s="5" t="s">
        <v>395</v>
      </c>
      <c r="C140" s="6">
        <v>45182</v>
      </c>
      <c r="D140" s="8">
        <v>44</v>
      </c>
      <c r="E140" s="5" t="s">
        <v>36</v>
      </c>
      <c r="F140" s="5" t="s">
        <v>27</v>
      </c>
      <c r="G140" s="5" t="s">
        <v>28</v>
      </c>
      <c r="H140" s="7">
        <v>90.07</v>
      </c>
      <c r="I140" s="3">
        <v>3</v>
      </c>
      <c r="J140" s="33">
        <f>H140*I140</f>
        <v>270.20999999999998</v>
      </c>
      <c r="K140" s="4">
        <v>0</v>
      </c>
      <c r="L140" s="9">
        <f>IF(J140=0,0,K140/J140)</f>
        <v>0</v>
      </c>
      <c r="M140" s="25">
        <v>270.20999999999998</v>
      </c>
      <c r="N140" s="5" t="s">
        <v>327</v>
      </c>
      <c r="O140" s="5" t="s">
        <v>33</v>
      </c>
      <c r="P140" s="3">
        <v>21</v>
      </c>
      <c r="Q140" s="3">
        <v>7</v>
      </c>
      <c r="R140" s="5" t="b">
        <v>1</v>
      </c>
      <c r="S140" s="5" t="str">
        <f>IF(R140=TRUE,"Returning Customer","New Customer")</f>
        <v>Returning Customer</v>
      </c>
      <c r="T140" s="3">
        <v>5</v>
      </c>
      <c r="U140" s="12" t="str">
        <f>IF(T140&lt;=3,"Fast",IF(T140&lt;=7,"Standard",IF(T140&lt;=14,"Slow","Very Slow")))</f>
        <v>Standard</v>
      </c>
      <c r="V140" s="10" t="str">
        <f>IF(D140&lt;=25,"18-25",IF(D140&lt;=35,"26-35",IF(D140&lt;=45,"36-45",IF(D140&lt;=55,"46-55",IF(D140&lt;=65,"56-65","66-75")))))</f>
        <v>36-45</v>
      </c>
      <c r="W140" s="3">
        <v>5</v>
      </c>
    </row>
    <row r="141" spans="1:23">
      <c r="A141" s="5" t="s">
        <v>396</v>
      </c>
      <c r="B141" s="5" t="s">
        <v>397</v>
      </c>
      <c r="C141" s="6">
        <v>45129</v>
      </c>
      <c r="D141" s="8">
        <v>20</v>
      </c>
      <c r="E141" s="5" t="s">
        <v>36</v>
      </c>
      <c r="F141" s="5" t="s">
        <v>32</v>
      </c>
      <c r="G141" s="5" t="s">
        <v>56</v>
      </c>
      <c r="H141" s="7">
        <v>342.96</v>
      </c>
      <c r="I141" s="3">
        <v>3</v>
      </c>
      <c r="J141" s="33">
        <f>H141*I141</f>
        <v>1028.8799999999999</v>
      </c>
      <c r="K141" s="4">
        <v>0</v>
      </c>
      <c r="L141" s="9">
        <f>IF(J141=0,0,K141/J141)</f>
        <v>0</v>
      </c>
      <c r="M141" s="25">
        <v>1028.8800000000001</v>
      </c>
      <c r="N141" s="5" t="s">
        <v>327</v>
      </c>
      <c r="O141" s="5" t="s">
        <v>33</v>
      </c>
      <c r="P141" s="3">
        <v>29</v>
      </c>
      <c r="Q141" s="3">
        <v>10</v>
      </c>
      <c r="R141" s="5" t="b">
        <v>1</v>
      </c>
      <c r="S141" s="5" t="str">
        <f>IF(R141=TRUE,"Returning Customer","New Customer")</f>
        <v>Returning Customer</v>
      </c>
      <c r="T141" s="3">
        <v>9</v>
      </c>
      <c r="U141" s="12" t="str">
        <f>IF(T141&lt;=3,"Fast",IF(T141&lt;=7,"Standard",IF(T141&lt;=14,"Slow","Very Slow")))</f>
        <v>Slow</v>
      </c>
      <c r="V141" s="10" t="str">
        <f>IF(D141&lt;=25,"18-25",IF(D141&lt;=35,"26-35",IF(D141&lt;=45,"36-45",IF(D141&lt;=55,"46-55",IF(D141&lt;=65,"56-65","66-75")))))</f>
        <v>18-25</v>
      </c>
      <c r="W141" s="3">
        <v>5</v>
      </c>
    </row>
    <row r="142" spans="1:23">
      <c r="A142" s="5" t="s">
        <v>398</v>
      </c>
      <c r="B142" s="5" t="s">
        <v>399</v>
      </c>
      <c r="C142" s="6">
        <v>45256</v>
      </c>
      <c r="D142" s="8">
        <v>37</v>
      </c>
      <c r="E142" s="5" t="s">
        <v>36</v>
      </c>
      <c r="F142" s="5" t="s">
        <v>73</v>
      </c>
      <c r="G142" s="5" t="s">
        <v>115</v>
      </c>
      <c r="H142" s="7">
        <v>203.57</v>
      </c>
      <c r="I142" s="3">
        <v>5</v>
      </c>
      <c r="J142" s="33">
        <f>H142*I142</f>
        <v>1017.8499999999999</v>
      </c>
      <c r="K142" s="4">
        <v>26.14</v>
      </c>
      <c r="L142" s="9">
        <f>IF(J142=0,0,K142/J142)</f>
        <v>2.5681583730412145E-2</v>
      </c>
      <c r="M142" s="25">
        <v>991.71</v>
      </c>
      <c r="N142" s="5" t="s">
        <v>327</v>
      </c>
      <c r="O142" s="5" t="s">
        <v>33</v>
      </c>
      <c r="P142" s="3">
        <v>13</v>
      </c>
      <c r="Q142" s="3">
        <v>5</v>
      </c>
      <c r="R142" s="5" t="b">
        <v>0</v>
      </c>
      <c r="S142" s="5" t="str">
        <f>IF(R142=TRUE,"Returning Customer","New Customer")</f>
        <v>New Customer</v>
      </c>
      <c r="T142" s="3">
        <v>6</v>
      </c>
      <c r="U142" s="12" t="str">
        <f>IF(T142&lt;=3,"Fast",IF(T142&lt;=7,"Standard",IF(T142&lt;=14,"Slow","Very Slow")))</f>
        <v>Standard</v>
      </c>
      <c r="V142" s="10" t="str">
        <f>IF(D142&lt;=25,"18-25",IF(D142&lt;=35,"26-35",IF(D142&lt;=45,"36-45",IF(D142&lt;=55,"46-55",IF(D142&lt;=65,"56-65","66-75")))))</f>
        <v>36-45</v>
      </c>
      <c r="W142" s="3">
        <v>3</v>
      </c>
    </row>
    <row r="143" spans="1:23">
      <c r="A143" s="5" t="s">
        <v>1250</v>
      </c>
      <c r="B143" s="5" t="s">
        <v>1251</v>
      </c>
      <c r="C143" s="6">
        <v>45161</v>
      </c>
      <c r="D143" s="8">
        <v>50</v>
      </c>
      <c r="E143" s="5" t="s">
        <v>20</v>
      </c>
      <c r="F143" s="5" t="s">
        <v>27</v>
      </c>
      <c r="G143" s="5" t="s">
        <v>53</v>
      </c>
      <c r="H143" s="7">
        <v>69.61</v>
      </c>
      <c r="I143" s="3">
        <v>1</v>
      </c>
      <c r="J143" s="33">
        <f>H143*I143</f>
        <v>69.61</v>
      </c>
      <c r="K143" s="4">
        <v>5.46</v>
      </c>
      <c r="L143" s="9">
        <f>IF(J143=0,0,K143/J143)</f>
        <v>7.843700617727338E-2</v>
      </c>
      <c r="M143" s="25">
        <v>64.150000000000006</v>
      </c>
      <c r="N143" s="5" t="s">
        <v>1231</v>
      </c>
      <c r="O143" s="5" t="s">
        <v>24</v>
      </c>
      <c r="P143" s="3">
        <v>24</v>
      </c>
      <c r="Q143" s="3">
        <v>4</v>
      </c>
      <c r="R143" s="5" t="b">
        <v>0</v>
      </c>
      <c r="S143" s="5" t="str">
        <f>IF(R143=TRUE,"Returning Customer","New Customer")</f>
        <v>New Customer</v>
      </c>
      <c r="T143" s="3">
        <v>10</v>
      </c>
      <c r="U143" s="12" t="str">
        <f>IF(T143&lt;=3,"Fast",IF(T143&lt;=7,"Standard",IF(T143&lt;=14,"Slow","Very Slow")))</f>
        <v>Slow</v>
      </c>
      <c r="V143" s="10" t="str">
        <f>IF(D143&lt;=25,"18-25",IF(D143&lt;=35,"26-35",IF(D143&lt;=45,"36-45",IF(D143&lt;=55,"46-55",IF(D143&lt;=65,"56-65","66-75")))))</f>
        <v>46-55</v>
      </c>
      <c r="W143" s="3">
        <v>4</v>
      </c>
    </row>
    <row r="144" spans="1:23">
      <c r="A144" s="5" t="s">
        <v>1325</v>
      </c>
      <c r="B144" s="5" t="s">
        <v>1326</v>
      </c>
      <c r="C144" s="6">
        <v>45000</v>
      </c>
      <c r="D144" s="8">
        <v>18</v>
      </c>
      <c r="E144" s="5" t="s">
        <v>36</v>
      </c>
      <c r="F144" s="5" t="s">
        <v>52</v>
      </c>
      <c r="G144" s="5" t="s">
        <v>22</v>
      </c>
      <c r="H144" s="7">
        <v>360.56</v>
      </c>
      <c r="I144" s="3">
        <v>4</v>
      </c>
      <c r="J144" s="33">
        <f>H144*I144</f>
        <v>1442.24</v>
      </c>
      <c r="K144" s="4">
        <v>0</v>
      </c>
      <c r="L144" s="9">
        <f>IF(J144=0,0,K144/J144)</f>
        <v>0</v>
      </c>
      <c r="M144" s="25">
        <v>1442.24</v>
      </c>
      <c r="N144" s="5" t="s">
        <v>1298</v>
      </c>
      <c r="O144" s="5" t="s">
        <v>24</v>
      </c>
      <c r="P144" s="3">
        <v>20</v>
      </c>
      <c r="Q144" s="3">
        <v>7</v>
      </c>
      <c r="R144" s="5" t="b">
        <v>1</v>
      </c>
      <c r="S144" s="5" t="str">
        <f>IF(R144=TRUE,"Returning Customer","New Customer")</f>
        <v>Returning Customer</v>
      </c>
      <c r="T144" s="3">
        <v>13</v>
      </c>
      <c r="U144" s="12" t="str">
        <f>IF(T144&lt;=3,"Fast",IF(T144&lt;=7,"Standard",IF(T144&lt;=14,"Slow","Very Slow")))</f>
        <v>Slow</v>
      </c>
      <c r="V144" s="10" t="str">
        <f>IF(D144&lt;=25,"18-25",IF(D144&lt;=35,"26-35",IF(D144&lt;=45,"36-45",IF(D144&lt;=55,"46-55",IF(D144&lt;=65,"56-65","66-75")))))</f>
        <v>18-25</v>
      </c>
      <c r="W144" s="3">
        <v>4</v>
      </c>
    </row>
    <row r="145" spans="1:23">
      <c r="A145" s="5" t="s">
        <v>400</v>
      </c>
      <c r="B145" s="5" t="s">
        <v>401</v>
      </c>
      <c r="C145" s="6">
        <v>45062</v>
      </c>
      <c r="D145" s="8">
        <v>37</v>
      </c>
      <c r="E145" s="5" t="s">
        <v>20</v>
      </c>
      <c r="F145" s="5" t="s">
        <v>59</v>
      </c>
      <c r="G145" s="5" t="s">
        <v>37</v>
      </c>
      <c r="H145" s="7">
        <v>125.21</v>
      </c>
      <c r="I145" s="3">
        <v>4</v>
      </c>
      <c r="J145" s="33">
        <f>H145*I145</f>
        <v>500.84</v>
      </c>
      <c r="K145" s="4">
        <v>28.05</v>
      </c>
      <c r="L145" s="9">
        <f>IF(J145=0,0,K145/J145)</f>
        <v>5.6005910071080592E-2</v>
      </c>
      <c r="M145" s="25">
        <v>472.79</v>
      </c>
      <c r="N145" s="5" t="s">
        <v>327</v>
      </c>
      <c r="O145" s="5" t="s">
        <v>33</v>
      </c>
      <c r="P145" s="3">
        <v>13</v>
      </c>
      <c r="Q145" s="3">
        <v>5</v>
      </c>
      <c r="R145" s="5" t="b">
        <v>1</v>
      </c>
      <c r="S145" s="5" t="str">
        <f>IF(R145=TRUE,"Returning Customer","New Customer")</f>
        <v>Returning Customer</v>
      </c>
      <c r="T145" s="3">
        <v>6</v>
      </c>
      <c r="U145" s="12" t="str">
        <f>IF(T145&lt;=3,"Fast",IF(T145&lt;=7,"Standard",IF(T145&lt;=14,"Slow","Very Slow")))</f>
        <v>Standard</v>
      </c>
      <c r="V145" s="10" t="str">
        <f>IF(D145&lt;=25,"18-25",IF(D145&lt;=35,"26-35",IF(D145&lt;=45,"36-45",IF(D145&lt;=55,"46-55",IF(D145&lt;=65,"56-65","66-75")))))</f>
        <v>36-45</v>
      </c>
      <c r="W145" s="3">
        <v>4</v>
      </c>
    </row>
    <row r="146" spans="1:23">
      <c r="A146" s="5" t="s">
        <v>787</v>
      </c>
      <c r="B146" s="5" t="s">
        <v>788</v>
      </c>
      <c r="C146" s="6">
        <v>44998</v>
      </c>
      <c r="D146" s="8">
        <v>38</v>
      </c>
      <c r="E146" s="5" t="s">
        <v>36</v>
      </c>
      <c r="F146" s="5" t="s">
        <v>73</v>
      </c>
      <c r="G146" s="5" t="s">
        <v>115</v>
      </c>
      <c r="H146" s="7">
        <v>71.14</v>
      </c>
      <c r="I146" s="3">
        <v>4</v>
      </c>
      <c r="J146" s="33">
        <f>H146*I146</f>
        <v>284.56</v>
      </c>
      <c r="K146" s="4">
        <v>9.1300000000000008</v>
      </c>
      <c r="L146" s="9">
        <f>IF(J146=0,0,K146/J146)</f>
        <v>3.2084621872364355E-2</v>
      </c>
      <c r="M146" s="25">
        <v>275.43</v>
      </c>
      <c r="N146" s="5" t="s">
        <v>692</v>
      </c>
      <c r="O146" s="5" t="s">
        <v>24</v>
      </c>
      <c r="P146" s="3">
        <v>15</v>
      </c>
      <c r="Q146" s="3">
        <v>9</v>
      </c>
      <c r="R146" s="5" t="b">
        <v>1</v>
      </c>
      <c r="S146" s="5" t="str">
        <f>IF(R146=TRUE,"Returning Customer","New Customer")</f>
        <v>Returning Customer</v>
      </c>
      <c r="T146" s="3">
        <v>1</v>
      </c>
      <c r="U146" s="12" t="str">
        <f>IF(T146&lt;=3,"Fast",IF(T146&lt;=7,"Standard",IF(T146&lt;=14,"Slow","Very Slow")))</f>
        <v>Fast</v>
      </c>
      <c r="V146" s="10" t="str">
        <f>IF(D146&lt;=25,"18-25",IF(D146&lt;=35,"26-35",IF(D146&lt;=45,"36-45",IF(D146&lt;=55,"46-55",IF(D146&lt;=65,"56-65","66-75")))))</f>
        <v>36-45</v>
      </c>
      <c r="W146" s="3">
        <v>2</v>
      </c>
    </row>
    <row r="147" spans="1:23">
      <c r="A147" s="5" t="s">
        <v>402</v>
      </c>
      <c r="B147" s="5" t="s">
        <v>403</v>
      </c>
      <c r="C147" s="6">
        <v>45053</v>
      </c>
      <c r="D147" s="8">
        <v>44</v>
      </c>
      <c r="E147" s="5" t="s">
        <v>36</v>
      </c>
      <c r="F147" s="5" t="s">
        <v>52</v>
      </c>
      <c r="G147" s="5" t="s">
        <v>64</v>
      </c>
      <c r="H147" s="7">
        <v>984.42</v>
      </c>
      <c r="I147" s="3">
        <v>4</v>
      </c>
      <c r="J147" s="33">
        <f>H147*I147</f>
        <v>3937.68</v>
      </c>
      <c r="K147" s="4">
        <v>0</v>
      </c>
      <c r="L147" s="9">
        <f>IF(J147=0,0,K147/J147)</f>
        <v>0</v>
      </c>
      <c r="M147" s="25">
        <v>3937.68</v>
      </c>
      <c r="N147" s="5" t="s">
        <v>327</v>
      </c>
      <c r="O147" s="5" t="s">
        <v>33</v>
      </c>
      <c r="P147" s="3">
        <v>5</v>
      </c>
      <c r="Q147" s="3">
        <v>11</v>
      </c>
      <c r="R147" s="5" t="b">
        <v>1</v>
      </c>
      <c r="S147" s="5" t="str">
        <f>IF(R147=TRUE,"Returning Customer","New Customer")</f>
        <v>Returning Customer</v>
      </c>
      <c r="T147" s="3">
        <v>10</v>
      </c>
      <c r="U147" s="12" t="str">
        <f>IF(T147&lt;=3,"Fast",IF(T147&lt;=7,"Standard",IF(T147&lt;=14,"Slow","Very Slow")))</f>
        <v>Slow</v>
      </c>
      <c r="V147" s="10" t="str">
        <f>IF(D147&lt;=25,"18-25",IF(D147&lt;=35,"26-35",IF(D147&lt;=45,"36-45",IF(D147&lt;=55,"46-55",IF(D147&lt;=65,"56-65","66-75")))))</f>
        <v>36-45</v>
      </c>
      <c r="W147" s="3">
        <v>2</v>
      </c>
    </row>
    <row r="148" spans="1:23">
      <c r="A148" s="5" t="s">
        <v>789</v>
      </c>
      <c r="B148" s="5" t="s">
        <v>790</v>
      </c>
      <c r="C148" s="6">
        <v>45308</v>
      </c>
      <c r="D148" s="8">
        <v>20</v>
      </c>
      <c r="E148" s="5" t="s">
        <v>36</v>
      </c>
      <c r="F148" s="5" t="s">
        <v>73</v>
      </c>
      <c r="G148" s="5" t="s">
        <v>37</v>
      </c>
      <c r="H148" s="7">
        <v>42.62</v>
      </c>
      <c r="I148" s="3">
        <v>2</v>
      </c>
      <c r="J148" s="33">
        <f>H148*I148</f>
        <v>85.24</v>
      </c>
      <c r="K148" s="4">
        <v>0</v>
      </c>
      <c r="L148" s="9">
        <f>IF(J148=0,0,K148/J148)</f>
        <v>0</v>
      </c>
      <c r="M148" s="25">
        <v>85.24</v>
      </c>
      <c r="N148" s="5" t="s">
        <v>692</v>
      </c>
      <c r="O148" s="5" t="s">
        <v>33</v>
      </c>
      <c r="P148" s="3">
        <v>38</v>
      </c>
      <c r="Q148" s="3">
        <v>9</v>
      </c>
      <c r="R148" s="5" t="b">
        <v>0</v>
      </c>
      <c r="S148" s="5" t="str">
        <f>IF(R148=TRUE,"Returning Customer","New Customer")</f>
        <v>New Customer</v>
      </c>
      <c r="T148" s="3">
        <v>4</v>
      </c>
      <c r="U148" s="12" t="str">
        <f>IF(T148&lt;=3,"Fast",IF(T148&lt;=7,"Standard",IF(T148&lt;=14,"Slow","Very Slow")))</f>
        <v>Standard</v>
      </c>
      <c r="V148" s="10" t="str">
        <f>IF(D148&lt;=25,"18-25",IF(D148&lt;=35,"26-35",IF(D148&lt;=45,"36-45",IF(D148&lt;=55,"46-55",IF(D148&lt;=65,"56-65","66-75")))))</f>
        <v>18-25</v>
      </c>
      <c r="W148" s="3">
        <v>3</v>
      </c>
    </row>
    <row r="149" spans="1:23">
      <c r="A149" s="5" t="s">
        <v>105</v>
      </c>
      <c r="B149" s="5" t="s">
        <v>106</v>
      </c>
      <c r="C149" s="6">
        <v>45214</v>
      </c>
      <c r="D149" s="8">
        <v>19</v>
      </c>
      <c r="E149" s="5" t="s">
        <v>20</v>
      </c>
      <c r="F149" s="5" t="s">
        <v>73</v>
      </c>
      <c r="G149" s="5" t="s">
        <v>64</v>
      </c>
      <c r="H149" s="7">
        <v>1843.56</v>
      </c>
      <c r="I149" s="3">
        <v>4</v>
      </c>
      <c r="J149" s="33">
        <f>H149*I149</f>
        <v>7374.24</v>
      </c>
      <c r="K149" s="4">
        <v>0</v>
      </c>
      <c r="L149" s="9">
        <f>IF(J149=0,0,K149/J149)</f>
        <v>0</v>
      </c>
      <c r="M149" s="25">
        <v>7374.24</v>
      </c>
      <c r="N149" s="5" t="s">
        <v>23</v>
      </c>
      <c r="O149" s="5" t="s">
        <v>33</v>
      </c>
      <c r="P149" s="3">
        <v>14</v>
      </c>
      <c r="Q149" s="3">
        <v>13</v>
      </c>
      <c r="R149" s="5" t="b">
        <v>1</v>
      </c>
      <c r="S149" s="5" t="str">
        <f>IF(R149=TRUE,"Returning Customer","New Customer")</f>
        <v>Returning Customer</v>
      </c>
      <c r="T149" s="3">
        <v>8</v>
      </c>
      <c r="U149" s="12" t="str">
        <f>IF(T149&lt;=3,"Fast",IF(T149&lt;=7,"Standard",IF(T149&lt;=14,"Slow","Very Slow")))</f>
        <v>Slow</v>
      </c>
      <c r="V149" s="10" t="str">
        <f>IF(D149&lt;=25,"18-25",IF(D149&lt;=35,"26-35",IF(D149&lt;=45,"36-45",IF(D149&lt;=55,"46-55",IF(D149&lt;=65,"56-65","66-75")))))</f>
        <v>18-25</v>
      </c>
      <c r="W149" s="3">
        <v>3</v>
      </c>
    </row>
    <row r="150" spans="1:23">
      <c r="A150" s="5" t="s">
        <v>791</v>
      </c>
      <c r="B150" s="5" t="s">
        <v>792</v>
      </c>
      <c r="C150" s="6">
        <v>45202</v>
      </c>
      <c r="D150" s="8">
        <v>41</v>
      </c>
      <c r="E150" s="5" t="s">
        <v>20</v>
      </c>
      <c r="F150" s="5" t="s">
        <v>32</v>
      </c>
      <c r="G150" s="5" t="s">
        <v>115</v>
      </c>
      <c r="H150" s="7">
        <v>173.47</v>
      </c>
      <c r="I150" s="3">
        <v>2</v>
      </c>
      <c r="J150" s="33">
        <f>H150*I150</f>
        <v>346.94</v>
      </c>
      <c r="K150" s="4">
        <v>0</v>
      </c>
      <c r="L150" s="9">
        <f>IF(J150=0,0,K150/J150)</f>
        <v>0</v>
      </c>
      <c r="M150" s="25">
        <v>346.94</v>
      </c>
      <c r="N150" s="5" t="s">
        <v>692</v>
      </c>
      <c r="O150" s="5" t="s">
        <v>33</v>
      </c>
      <c r="P150" s="3">
        <v>1</v>
      </c>
      <c r="Q150" s="3">
        <v>13</v>
      </c>
      <c r="R150" s="5" t="b">
        <v>1</v>
      </c>
      <c r="S150" s="5" t="str">
        <f>IF(R150=TRUE,"Returning Customer","New Customer")</f>
        <v>Returning Customer</v>
      </c>
      <c r="T150" s="3">
        <v>17</v>
      </c>
      <c r="U150" s="12" t="str">
        <f>IF(T150&lt;=3,"Fast",IF(T150&lt;=7,"Standard",IF(T150&lt;=14,"Slow","Very Slow")))</f>
        <v>Very Slow</v>
      </c>
      <c r="V150" s="10" t="str">
        <f>IF(D150&lt;=25,"18-25",IF(D150&lt;=35,"26-35",IF(D150&lt;=45,"36-45",IF(D150&lt;=55,"46-55",IF(D150&lt;=65,"56-65","66-75")))))</f>
        <v>36-45</v>
      </c>
      <c r="W150" s="3">
        <v>3</v>
      </c>
    </row>
    <row r="151" spans="1:23">
      <c r="A151" s="5" t="s">
        <v>107</v>
      </c>
      <c r="B151" s="5" t="s">
        <v>108</v>
      </c>
      <c r="C151" s="6">
        <v>45061</v>
      </c>
      <c r="D151" s="8">
        <v>38</v>
      </c>
      <c r="E151" s="5" t="s">
        <v>36</v>
      </c>
      <c r="F151" s="5" t="s">
        <v>21</v>
      </c>
      <c r="G151" s="5" t="s">
        <v>28</v>
      </c>
      <c r="H151" s="7">
        <v>180.98</v>
      </c>
      <c r="I151" s="3">
        <v>1</v>
      </c>
      <c r="J151" s="33">
        <f>H151*I151</f>
        <v>180.98</v>
      </c>
      <c r="K151" s="4">
        <v>45</v>
      </c>
      <c r="L151" s="9">
        <f>IF(J151=0,0,K151/J151)</f>
        <v>0.24864625925516634</v>
      </c>
      <c r="M151" s="25">
        <v>135.97999999999999</v>
      </c>
      <c r="N151" s="5" t="s">
        <v>23</v>
      </c>
      <c r="O151" s="5" t="s">
        <v>24</v>
      </c>
      <c r="P151" s="3">
        <v>10</v>
      </c>
      <c r="Q151" s="3">
        <v>8</v>
      </c>
      <c r="R151" s="5" t="b">
        <v>1</v>
      </c>
      <c r="S151" s="5" t="str">
        <f>IF(R151=TRUE,"Returning Customer","New Customer")</f>
        <v>Returning Customer</v>
      </c>
      <c r="T151" s="3">
        <v>6</v>
      </c>
      <c r="U151" s="12" t="str">
        <f>IF(T151&lt;=3,"Fast",IF(T151&lt;=7,"Standard",IF(T151&lt;=14,"Slow","Very Slow")))</f>
        <v>Standard</v>
      </c>
      <c r="V151" s="10" t="str">
        <f>IF(D151&lt;=25,"18-25",IF(D151&lt;=35,"26-35",IF(D151&lt;=45,"36-45",IF(D151&lt;=55,"46-55",IF(D151&lt;=65,"56-65","66-75")))))</f>
        <v>36-45</v>
      </c>
      <c r="W151" s="3">
        <v>3</v>
      </c>
    </row>
    <row r="152" spans="1:23">
      <c r="A152" s="5" t="s">
        <v>1327</v>
      </c>
      <c r="B152" s="5" t="s">
        <v>1328</v>
      </c>
      <c r="C152" s="6">
        <v>45309</v>
      </c>
      <c r="D152" s="8">
        <v>38</v>
      </c>
      <c r="E152" s="5" t="s">
        <v>36</v>
      </c>
      <c r="F152" s="5" t="s">
        <v>52</v>
      </c>
      <c r="G152" s="5" t="s">
        <v>53</v>
      </c>
      <c r="H152" s="7">
        <v>102.45</v>
      </c>
      <c r="I152" s="3">
        <v>1</v>
      </c>
      <c r="J152" s="33">
        <f>H152*I152</f>
        <v>102.45</v>
      </c>
      <c r="K152" s="4">
        <v>0</v>
      </c>
      <c r="L152" s="9">
        <f>IF(J152=0,0,K152/J152)</f>
        <v>0</v>
      </c>
      <c r="M152" s="25">
        <v>102.45</v>
      </c>
      <c r="N152" s="5" t="s">
        <v>1298</v>
      </c>
      <c r="O152" s="5" t="s">
        <v>33</v>
      </c>
      <c r="P152" s="3">
        <v>5</v>
      </c>
      <c r="Q152" s="3">
        <v>10</v>
      </c>
      <c r="R152" s="5" t="b">
        <v>0</v>
      </c>
      <c r="S152" s="5" t="str">
        <f>IF(R152=TRUE,"Returning Customer","New Customer")</f>
        <v>New Customer</v>
      </c>
      <c r="T152" s="3">
        <v>12</v>
      </c>
      <c r="U152" s="12" t="str">
        <f>IF(T152&lt;=3,"Fast",IF(T152&lt;=7,"Standard",IF(T152&lt;=14,"Slow","Very Slow")))</f>
        <v>Slow</v>
      </c>
      <c r="V152" s="10" t="str">
        <f>IF(D152&lt;=25,"18-25",IF(D152&lt;=35,"26-35",IF(D152&lt;=45,"36-45",IF(D152&lt;=55,"46-55",IF(D152&lt;=65,"56-65","66-75")))))</f>
        <v>36-45</v>
      </c>
      <c r="W152" s="3">
        <v>4</v>
      </c>
    </row>
    <row r="153" spans="1:23">
      <c r="A153" s="5" t="s">
        <v>404</v>
      </c>
      <c r="B153" s="5" t="s">
        <v>405</v>
      </c>
      <c r="C153" s="6">
        <v>45226</v>
      </c>
      <c r="D153" s="8">
        <v>39</v>
      </c>
      <c r="E153" s="5" t="s">
        <v>20</v>
      </c>
      <c r="F153" s="5" t="s">
        <v>21</v>
      </c>
      <c r="G153" s="5" t="s">
        <v>22</v>
      </c>
      <c r="H153" s="7">
        <v>57.06</v>
      </c>
      <c r="I153" s="3">
        <v>2</v>
      </c>
      <c r="J153" s="33">
        <f>H153*I153</f>
        <v>114.12</v>
      </c>
      <c r="K153" s="4">
        <v>13.23</v>
      </c>
      <c r="L153" s="9">
        <f>IF(J153=0,0,K153/J153)</f>
        <v>0.11593059936908517</v>
      </c>
      <c r="M153" s="25">
        <v>100.89</v>
      </c>
      <c r="N153" s="5" t="s">
        <v>327</v>
      </c>
      <c r="O153" s="5" t="s">
        <v>24</v>
      </c>
      <c r="P153" s="3">
        <v>32</v>
      </c>
      <c r="Q153" s="3">
        <v>12</v>
      </c>
      <c r="R153" s="5" t="b">
        <v>0</v>
      </c>
      <c r="S153" s="5" t="str">
        <f>IF(R153=TRUE,"Returning Customer","New Customer")</f>
        <v>New Customer</v>
      </c>
      <c r="T153" s="3">
        <v>9</v>
      </c>
      <c r="U153" s="12" t="str">
        <f>IF(T153&lt;=3,"Fast",IF(T153&lt;=7,"Standard",IF(T153&lt;=14,"Slow","Very Slow")))</f>
        <v>Slow</v>
      </c>
      <c r="V153" s="10" t="str">
        <f>IF(D153&lt;=25,"18-25",IF(D153&lt;=35,"26-35",IF(D153&lt;=45,"36-45",IF(D153&lt;=55,"46-55",IF(D153&lt;=65,"56-65","66-75")))))</f>
        <v>36-45</v>
      </c>
      <c r="W153" s="3">
        <v>4</v>
      </c>
    </row>
    <row r="154" spans="1:23">
      <c r="A154" s="5" t="s">
        <v>406</v>
      </c>
      <c r="B154" s="5" t="s">
        <v>407</v>
      </c>
      <c r="C154" s="6">
        <v>45146</v>
      </c>
      <c r="D154" s="8">
        <v>26</v>
      </c>
      <c r="E154" s="5" t="s">
        <v>20</v>
      </c>
      <c r="F154" s="5" t="s">
        <v>27</v>
      </c>
      <c r="G154" s="5" t="s">
        <v>22</v>
      </c>
      <c r="H154" s="7">
        <v>293.22000000000003</v>
      </c>
      <c r="I154" s="3">
        <v>3</v>
      </c>
      <c r="J154" s="33">
        <f>H154*I154</f>
        <v>879.66000000000008</v>
      </c>
      <c r="K154" s="4">
        <v>0</v>
      </c>
      <c r="L154" s="9">
        <f>IF(J154=0,0,K154/J154)</f>
        <v>0</v>
      </c>
      <c r="M154" s="25">
        <v>879.66</v>
      </c>
      <c r="N154" s="5" t="s">
        <v>327</v>
      </c>
      <c r="O154" s="5" t="s">
        <v>33</v>
      </c>
      <c r="P154" s="3">
        <v>11</v>
      </c>
      <c r="Q154" s="3">
        <v>15</v>
      </c>
      <c r="R154" s="5" t="b">
        <v>0</v>
      </c>
      <c r="S154" s="5" t="str">
        <f>IF(R154=TRUE,"Returning Customer","New Customer")</f>
        <v>New Customer</v>
      </c>
      <c r="T154" s="3">
        <v>11</v>
      </c>
      <c r="U154" s="12" t="str">
        <f>IF(T154&lt;=3,"Fast",IF(T154&lt;=7,"Standard",IF(T154&lt;=14,"Slow","Very Slow")))</f>
        <v>Slow</v>
      </c>
      <c r="V154" s="10" t="str">
        <f>IF(D154&lt;=25,"18-25",IF(D154&lt;=35,"26-35",IF(D154&lt;=45,"36-45",IF(D154&lt;=55,"46-55",IF(D154&lt;=65,"56-65","66-75")))))</f>
        <v>26-35</v>
      </c>
      <c r="W154" s="3">
        <v>4</v>
      </c>
    </row>
    <row r="155" spans="1:23">
      <c r="A155" s="5" t="s">
        <v>408</v>
      </c>
      <c r="B155" s="5" t="s">
        <v>409</v>
      </c>
      <c r="C155" s="6">
        <v>45225</v>
      </c>
      <c r="D155" s="8">
        <v>37</v>
      </c>
      <c r="E155" s="5" t="s">
        <v>36</v>
      </c>
      <c r="F155" s="5" t="s">
        <v>21</v>
      </c>
      <c r="G155" s="5" t="s">
        <v>22</v>
      </c>
      <c r="H155" s="7">
        <v>159.53</v>
      </c>
      <c r="I155" s="3">
        <v>1</v>
      </c>
      <c r="J155" s="33">
        <f>H155*I155</f>
        <v>159.53</v>
      </c>
      <c r="K155" s="4">
        <v>0</v>
      </c>
      <c r="L155" s="9">
        <f>IF(J155=0,0,K155/J155)</f>
        <v>0</v>
      </c>
      <c r="M155" s="25">
        <v>159.53</v>
      </c>
      <c r="N155" s="5" t="s">
        <v>327</v>
      </c>
      <c r="O155" s="5" t="s">
        <v>24</v>
      </c>
      <c r="P155" s="3">
        <v>6</v>
      </c>
      <c r="Q155" s="3">
        <v>7</v>
      </c>
      <c r="R155" s="5" t="b">
        <v>1</v>
      </c>
      <c r="S155" s="5" t="str">
        <f>IF(R155=TRUE,"Returning Customer","New Customer")</f>
        <v>Returning Customer</v>
      </c>
      <c r="T155" s="3">
        <v>8</v>
      </c>
      <c r="U155" s="12" t="str">
        <f>IF(T155&lt;=3,"Fast",IF(T155&lt;=7,"Standard",IF(T155&lt;=14,"Slow","Very Slow")))</f>
        <v>Slow</v>
      </c>
      <c r="V155" s="10" t="str">
        <f>IF(D155&lt;=25,"18-25",IF(D155&lt;=35,"26-35",IF(D155&lt;=45,"36-45",IF(D155&lt;=55,"46-55",IF(D155&lt;=65,"56-65","66-75")))))</f>
        <v>36-45</v>
      </c>
      <c r="W155" s="3">
        <v>5</v>
      </c>
    </row>
    <row r="156" spans="1:23">
      <c r="A156" s="5" t="s">
        <v>793</v>
      </c>
      <c r="B156" s="5" t="s">
        <v>794</v>
      </c>
      <c r="C156" s="6">
        <v>45131</v>
      </c>
      <c r="D156" s="8">
        <v>38</v>
      </c>
      <c r="E156" s="5" t="s">
        <v>36</v>
      </c>
      <c r="F156" s="5" t="s">
        <v>76</v>
      </c>
      <c r="G156" s="5" t="s">
        <v>56</v>
      </c>
      <c r="H156" s="7">
        <v>257.99</v>
      </c>
      <c r="I156" s="3">
        <v>1</v>
      </c>
      <c r="J156" s="33">
        <f>H156*I156</f>
        <v>257.99</v>
      </c>
      <c r="K156" s="4">
        <v>0</v>
      </c>
      <c r="L156" s="9">
        <f>IF(J156=0,0,K156/J156)</f>
        <v>0</v>
      </c>
      <c r="M156" s="25">
        <v>257.99</v>
      </c>
      <c r="N156" s="5" t="s">
        <v>692</v>
      </c>
      <c r="O156" s="5" t="s">
        <v>29</v>
      </c>
      <c r="P156" s="3">
        <v>14</v>
      </c>
      <c r="Q156" s="3">
        <v>6</v>
      </c>
      <c r="R156" s="5" t="b">
        <v>0</v>
      </c>
      <c r="S156" s="5" t="str">
        <f>IF(R156=TRUE,"Returning Customer","New Customer")</f>
        <v>New Customer</v>
      </c>
      <c r="T156" s="3">
        <v>7</v>
      </c>
      <c r="U156" s="12" t="str">
        <f>IF(T156&lt;=3,"Fast",IF(T156&lt;=7,"Standard",IF(T156&lt;=14,"Slow","Very Slow")))</f>
        <v>Standard</v>
      </c>
      <c r="V156" s="10" t="str">
        <f>IF(D156&lt;=25,"18-25",IF(D156&lt;=35,"26-35",IF(D156&lt;=45,"36-45",IF(D156&lt;=55,"46-55",IF(D156&lt;=65,"56-65","66-75")))))</f>
        <v>36-45</v>
      </c>
      <c r="W156" s="3">
        <v>4</v>
      </c>
    </row>
    <row r="157" spans="1:23">
      <c r="A157" s="5" t="s">
        <v>1329</v>
      </c>
      <c r="B157" s="5" t="s">
        <v>1330</v>
      </c>
      <c r="C157" s="6">
        <v>45112</v>
      </c>
      <c r="D157" s="8">
        <v>26</v>
      </c>
      <c r="E157" s="5" t="s">
        <v>20</v>
      </c>
      <c r="F157" s="5" t="s">
        <v>52</v>
      </c>
      <c r="G157" s="5" t="s">
        <v>53</v>
      </c>
      <c r="H157" s="7">
        <v>114.28</v>
      </c>
      <c r="I157" s="3">
        <v>1</v>
      </c>
      <c r="J157" s="33">
        <f>H157*I157</f>
        <v>114.28</v>
      </c>
      <c r="K157" s="4">
        <v>0</v>
      </c>
      <c r="L157" s="9">
        <f>IF(J157=0,0,K157/J157)</f>
        <v>0</v>
      </c>
      <c r="M157" s="25">
        <v>114.28</v>
      </c>
      <c r="N157" s="5" t="s">
        <v>1298</v>
      </c>
      <c r="O157" s="5" t="s">
        <v>24</v>
      </c>
      <c r="P157" s="3">
        <v>17</v>
      </c>
      <c r="Q157" s="3">
        <v>6</v>
      </c>
      <c r="R157" s="5" t="b">
        <v>1</v>
      </c>
      <c r="S157" s="5" t="str">
        <f>IF(R157=TRUE,"Returning Customer","New Customer")</f>
        <v>Returning Customer</v>
      </c>
      <c r="T157" s="3">
        <v>7</v>
      </c>
      <c r="U157" s="12" t="str">
        <f>IF(T157&lt;=3,"Fast",IF(T157&lt;=7,"Standard",IF(T157&lt;=14,"Slow","Very Slow")))</f>
        <v>Standard</v>
      </c>
      <c r="V157" s="10" t="str">
        <f>IF(D157&lt;=25,"18-25",IF(D157&lt;=35,"26-35",IF(D157&lt;=45,"36-45",IF(D157&lt;=55,"46-55",IF(D157&lt;=65,"56-65","66-75")))))</f>
        <v>26-35</v>
      </c>
      <c r="W157" s="3">
        <v>5</v>
      </c>
    </row>
    <row r="158" spans="1:23">
      <c r="A158" s="5" t="s">
        <v>410</v>
      </c>
      <c r="B158" s="5" t="s">
        <v>411</v>
      </c>
      <c r="C158" s="6">
        <v>45039</v>
      </c>
      <c r="D158" s="8">
        <v>57</v>
      </c>
      <c r="E158" s="5" t="s">
        <v>20</v>
      </c>
      <c r="F158" s="5" t="s">
        <v>21</v>
      </c>
      <c r="G158" s="5" t="s">
        <v>64</v>
      </c>
      <c r="H158" s="7">
        <v>1034.05</v>
      </c>
      <c r="I158" s="3">
        <v>2</v>
      </c>
      <c r="J158" s="33">
        <f>H158*I158</f>
        <v>2068.1</v>
      </c>
      <c r="K158" s="4">
        <v>62.85</v>
      </c>
      <c r="L158" s="9">
        <f>IF(J158=0,0,K158/J158)</f>
        <v>3.0390213239205068E-2</v>
      </c>
      <c r="M158" s="25">
        <v>2005.25</v>
      </c>
      <c r="N158" s="5" t="s">
        <v>327</v>
      </c>
      <c r="O158" s="5" t="s">
        <v>24</v>
      </c>
      <c r="P158" s="3">
        <v>24</v>
      </c>
      <c r="Q158" s="3">
        <v>16</v>
      </c>
      <c r="R158" s="5" t="b">
        <v>0</v>
      </c>
      <c r="S158" s="5" t="str">
        <f>IF(R158=TRUE,"Returning Customer","New Customer")</f>
        <v>New Customer</v>
      </c>
      <c r="T158" s="3">
        <v>6</v>
      </c>
      <c r="U158" s="12" t="str">
        <f>IF(T158&lt;=3,"Fast",IF(T158&lt;=7,"Standard",IF(T158&lt;=14,"Slow","Very Slow")))</f>
        <v>Standard</v>
      </c>
      <c r="V158" s="10" t="str">
        <f>IF(D158&lt;=25,"18-25",IF(D158&lt;=35,"26-35",IF(D158&lt;=45,"36-45",IF(D158&lt;=55,"46-55",IF(D158&lt;=65,"56-65","66-75")))))</f>
        <v>56-65</v>
      </c>
      <c r="W158" s="3">
        <v>5</v>
      </c>
    </row>
    <row r="159" spans="1:23">
      <c r="A159" s="5" t="s">
        <v>795</v>
      </c>
      <c r="B159" s="5" t="s">
        <v>796</v>
      </c>
      <c r="C159" s="6">
        <v>44997</v>
      </c>
      <c r="D159" s="8">
        <v>40</v>
      </c>
      <c r="E159" s="5" t="s">
        <v>20</v>
      </c>
      <c r="F159" s="5" t="s">
        <v>59</v>
      </c>
      <c r="G159" s="5" t="s">
        <v>22</v>
      </c>
      <c r="H159" s="7">
        <v>351.6</v>
      </c>
      <c r="I159" s="3">
        <v>4</v>
      </c>
      <c r="J159" s="33">
        <f>H159*I159</f>
        <v>1406.4</v>
      </c>
      <c r="K159" s="4">
        <v>0</v>
      </c>
      <c r="L159" s="9">
        <f>IF(J159=0,0,K159/J159)</f>
        <v>0</v>
      </c>
      <c r="M159" s="25">
        <v>1406.4</v>
      </c>
      <c r="N159" s="5" t="s">
        <v>692</v>
      </c>
      <c r="O159" s="5" t="s">
        <v>33</v>
      </c>
      <c r="P159" s="3">
        <v>3</v>
      </c>
      <c r="Q159" s="3">
        <v>8</v>
      </c>
      <c r="R159" s="5" t="b">
        <v>0</v>
      </c>
      <c r="S159" s="5" t="str">
        <f>IF(R159=TRUE,"Returning Customer","New Customer")</f>
        <v>New Customer</v>
      </c>
      <c r="T159" s="3">
        <v>19</v>
      </c>
      <c r="U159" s="12" t="str">
        <f>IF(T159&lt;=3,"Fast",IF(T159&lt;=7,"Standard",IF(T159&lt;=14,"Slow","Very Slow")))</f>
        <v>Very Slow</v>
      </c>
      <c r="V159" s="10" t="str">
        <f>IF(D159&lt;=25,"18-25",IF(D159&lt;=35,"26-35",IF(D159&lt;=45,"36-45",IF(D159&lt;=55,"46-55",IF(D159&lt;=65,"56-65","66-75")))))</f>
        <v>36-45</v>
      </c>
      <c r="W159" s="3">
        <v>3</v>
      </c>
    </row>
    <row r="160" spans="1:23">
      <c r="A160" s="5" t="s">
        <v>109</v>
      </c>
      <c r="B160" s="5" t="s">
        <v>110</v>
      </c>
      <c r="C160" s="6">
        <v>45187</v>
      </c>
      <c r="D160" s="8">
        <v>20</v>
      </c>
      <c r="E160" s="5" t="s">
        <v>36</v>
      </c>
      <c r="F160" s="5" t="s">
        <v>73</v>
      </c>
      <c r="G160" s="5" t="s">
        <v>53</v>
      </c>
      <c r="H160" s="7">
        <v>45.89</v>
      </c>
      <c r="I160" s="3">
        <v>1</v>
      </c>
      <c r="J160" s="33">
        <f>H160*I160</f>
        <v>45.89</v>
      </c>
      <c r="K160" s="4">
        <v>3.46</v>
      </c>
      <c r="L160" s="9">
        <f>IF(J160=0,0,K160/J160)</f>
        <v>7.5397690128568312E-2</v>
      </c>
      <c r="M160" s="25">
        <v>42.43</v>
      </c>
      <c r="N160" s="5" t="s">
        <v>23</v>
      </c>
      <c r="O160" s="5" t="s">
        <v>24</v>
      </c>
      <c r="P160" s="3">
        <v>8</v>
      </c>
      <c r="Q160" s="3">
        <v>6</v>
      </c>
      <c r="R160" s="5" t="b">
        <v>0</v>
      </c>
      <c r="S160" s="5" t="str">
        <f>IF(R160=TRUE,"Returning Customer","New Customer")</f>
        <v>New Customer</v>
      </c>
      <c r="T160" s="3">
        <v>6</v>
      </c>
      <c r="U160" s="12" t="str">
        <f>IF(T160&lt;=3,"Fast",IF(T160&lt;=7,"Standard",IF(T160&lt;=14,"Slow","Very Slow")))</f>
        <v>Standard</v>
      </c>
      <c r="V160" s="10" t="str">
        <f>IF(D160&lt;=25,"18-25",IF(D160&lt;=35,"26-35",IF(D160&lt;=45,"36-45",IF(D160&lt;=55,"46-55",IF(D160&lt;=65,"56-65","66-75")))))</f>
        <v>18-25</v>
      </c>
      <c r="W160" s="3">
        <v>4</v>
      </c>
    </row>
    <row r="161" spans="1:23">
      <c r="A161" s="5" t="s">
        <v>797</v>
      </c>
      <c r="B161" s="5" t="s">
        <v>798</v>
      </c>
      <c r="C161" s="6">
        <v>45179</v>
      </c>
      <c r="D161" s="8">
        <v>42</v>
      </c>
      <c r="E161" s="5" t="s">
        <v>20</v>
      </c>
      <c r="F161" s="5" t="s">
        <v>73</v>
      </c>
      <c r="G161" s="5" t="s">
        <v>37</v>
      </c>
      <c r="H161" s="7">
        <v>38.5</v>
      </c>
      <c r="I161" s="3">
        <v>1</v>
      </c>
      <c r="J161" s="33">
        <f>H161*I161</f>
        <v>38.5</v>
      </c>
      <c r="K161" s="4">
        <v>7.72</v>
      </c>
      <c r="L161" s="9">
        <f>IF(J161=0,0,K161/J161)</f>
        <v>0.20051948051948051</v>
      </c>
      <c r="M161" s="25">
        <v>30.78</v>
      </c>
      <c r="N161" s="5" t="s">
        <v>692</v>
      </c>
      <c r="O161" s="5" t="s">
        <v>24</v>
      </c>
      <c r="P161" s="3">
        <v>14</v>
      </c>
      <c r="Q161" s="3">
        <v>6</v>
      </c>
      <c r="R161" s="5" t="b">
        <v>1</v>
      </c>
      <c r="S161" s="5" t="str">
        <f>IF(R161=TRUE,"Returning Customer","New Customer")</f>
        <v>Returning Customer</v>
      </c>
      <c r="T161" s="3">
        <v>9</v>
      </c>
      <c r="U161" s="12" t="str">
        <f>IF(T161&lt;=3,"Fast",IF(T161&lt;=7,"Standard",IF(T161&lt;=14,"Slow","Very Slow")))</f>
        <v>Slow</v>
      </c>
      <c r="V161" s="10" t="str">
        <f>IF(D161&lt;=25,"18-25",IF(D161&lt;=35,"26-35",IF(D161&lt;=45,"36-45",IF(D161&lt;=55,"46-55",IF(D161&lt;=65,"56-65","66-75")))))</f>
        <v>36-45</v>
      </c>
      <c r="W161" s="3">
        <v>4</v>
      </c>
    </row>
    <row r="162" spans="1:23">
      <c r="A162" s="5" t="s">
        <v>799</v>
      </c>
      <c r="B162" s="5" t="s">
        <v>800</v>
      </c>
      <c r="C162" s="6">
        <v>44973</v>
      </c>
      <c r="D162" s="8">
        <v>23</v>
      </c>
      <c r="E162" s="5" t="s">
        <v>20</v>
      </c>
      <c r="F162" s="5" t="s">
        <v>32</v>
      </c>
      <c r="G162" s="5" t="s">
        <v>64</v>
      </c>
      <c r="H162" s="7">
        <v>2365.5</v>
      </c>
      <c r="I162" s="3">
        <v>2</v>
      </c>
      <c r="J162" s="33">
        <f>H162*I162</f>
        <v>4731</v>
      </c>
      <c r="K162" s="4">
        <v>0</v>
      </c>
      <c r="L162" s="9">
        <f>IF(J162=0,0,K162/J162)</f>
        <v>0</v>
      </c>
      <c r="M162" s="25">
        <v>4731</v>
      </c>
      <c r="N162" s="5" t="s">
        <v>692</v>
      </c>
      <c r="O162" s="5" t="s">
        <v>24</v>
      </c>
      <c r="P162" s="3">
        <v>16</v>
      </c>
      <c r="Q162" s="3">
        <v>8</v>
      </c>
      <c r="R162" s="5" t="b">
        <v>1</v>
      </c>
      <c r="S162" s="5" t="str">
        <f>IF(R162=TRUE,"Returning Customer","New Customer")</f>
        <v>Returning Customer</v>
      </c>
      <c r="T162" s="3">
        <v>3</v>
      </c>
      <c r="U162" s="12" t="str">
        <f>IF(T162&lt;=3,"Fast",IF(T162&lt;=7,"Standard",IF(T162&lt;=14,"Slow","Very Slow")))</f>
        <v>Fast</v>
      </c>
      <c r="V162" s="10" t="str">
        <f>IF(D162&lt;=25,"18-25",IF(D162&lt;=35,"26-35",IF(D162&lt;=45,"36-45",IF(D162&lt;=55,"46-55",IF(D162&lt;=65,"56-65","66-75")))))</f>
        <v>18-25</v>
      </c>
      <c r="W162" s="3">
        <v>4</v>
      </c>
    </row>
    <row r="163" spans="1:23">
      <c r="A163" s="5" t="s">
        <v>412</v>
      </c>
      <c r="B163" s="5" t="s">
        <v>413</v>
      </c>
      <c r="C163" s="6">
        <v>45313</v>
      </c>
      <c r="D163" s="8">
        <v>44</v>
      </c>
      <c r="E163" s="5" t="s">
        <v>20</v>
      </c>
      <c r="F163" s="5" t="s">
        <v>52</v>
      </c>
      <c r="G163" s="5" t="s">
        <v>28</v>
      </c>
      <c r="H163" s="7">
        <v>113.19</v>
      </c>
      <c r="I163" s="3">
        <v>3</v>
      </c>
      <c r="J163" s="33">
        <f>H163*I163</f>
        <v>339.57</v>
      </c>
      <c r="K163" s="4">
        <v>0</v>
      </c>
      <c r="L163" s="9">
        <f>IF(J163=0,0,K163/J163)</f>
        <v>0</v>
      </c>
      <c r="M163" s="25">
        <v>339.57</v>
      </c>
      <c r="N163" s="5" t="s">
        <v>327</v>
      </c>
      <c r="O163" s="5" t="s">
        <v>33</v>
      </c>
      <c r="P163" s="3">
        <v>18</v>
      </c>
      <c r="Q163" s="3">
        <v>9</v>
      </c>
      <c r="R163" s="5" t="b">
        <v>0</v>
      </c>
      <c r="S163" s="5" t="str">
        <f>IF(R163=TRUE,"Returning Customer","New Customer")</f>
        <v>New Customer</v>
      </c>
      <c r="T163" s="3">
        <v>16</v>
      </c>
      <c r="U163" s="12" t="str">
        <f>IF(T163&lt;=3,"Fast",IF(T163&lt;=7,"Standard",IF(T163&lt;=14,"Slow","Very Slow")))</f>
        <v>Very Slow</v>
      </c>
      <c r="V163" s="10" t="str">
        <f>IF(D163&lt;=25,"18-25",IF(D163&lt;=35,"26-35",IF(D163&lt;=45,"36-45",IF(D163&lt;=55,"46-55",IF(D163&lt;=65,"56-65","66-75")))))</f>
        <v>36-45</v>
      </c>
      <c r="W163" s="3">
        <v>1</v>
      </c>
    </row>
    <row r="164" spans="1:23">
      <c r="A164" s="5" t="s">
        <v>111</v>
      </c>
      <c r="B164" s="5" t="s">
        <v>112</v>
      </c>
      <c r="C164" s="6">
        <v>44951</v>
      </c>
      <c r="D164" s="8">
        <v>48</v>
      </c>
      <c r="E164" s="5" t="s">
        <v>20</v>
      </c>
      <c r="F164" s="5" t="s">
        <v>52</v>
      </c>
      <c r="G164" s="5" t="s">
        <v>56</v>
      </c>
      <c r="H164" s="7">
        <v>1049.78</v>
      </c>
      <c r="I164" s="3">
        <v>2</v>
      </c>
      <c r="J164" s="33">
        <f>H164*I164</f>
        <v>2099.56</v>
      </c>
      <c r="K164" s="4">
        <v>0</v>
      </c>
      <c r="L164" s="9">
        <f>IF(J164=0,0,K164/J164)</f>
        <v>0</v>
      </c>
      <c r="M164" s="25">
        <v>2099.56</v>
      </c>
      <c r="N164" s="5" t="s">
        <v>23</v>
      </c>
      <c r="O164" s="5" t="s">
        <v>33</v>
      </c>
      <c r="P164" s="3">
        <v>10</v>
      </c>
      <c r="Q164" s="3">
        <v>7</v>
      </c>
      <c r="R164" s="5" t="b">
        <v>1</v>
      </c>
      <c r="S164" s="5" t="str">
        <f>IF(R164=TRUE,"Returning Customer","New Customer")</f>
        <v>Returning Customer</v>
      </c>
      <c r="T164" s="3">
        <v>11</v>
      </c>
      <c r="U164" s="12" t="str">
        <f>IF(T164&lt;=3,"Fast",IF(T164&lt;=7,"Standard",IF(T164&lt;=14,"Slow","Very Slow")))</f>
        <v>Slow</v>
      </c>
      <c r="V164" s="10" t="str">
        <f>IF(D164&lt;=25,"18-25",IF(D164&lt;=35,"26-35",IF(D164&lt;=45,"36-45",IF(D164&lt;=55,"46-55",IF(D164&lt;=65,"56-65","66-75")))))</f>
        <v>46-55</v>
      </c>
      <c r="W164" s="3">
        <v>5</v>
      </c>
    </row>
    <row r="165" spans="1:23">
      <c r="A165" s="5" t="s">
        <v>414</v>
      </c>
      <c r="B165" s="5" t="s">
        <v>415</v>
      </c>
      <c r="C165" s="6">
        <v>45367</v>
      </c>
      <c r="D165" s="8">
        <v>25</v>
      </c>
      <c r="E165" s="5" t="s">
        <v>36</v>
      </c>
      <c r="F165" s="5" t="s">
        <v>83</v>
      </c>
      <c r="G165" s="5" t="s">
        <v>46</v>
      </c>
      <c r="H165" s="7">
        <v>221.81</v>
      </c>
      <c r="I165" s="3">
        <v>1</v>
      </c>
      <c r="J165" s="33">
        <f>H165*I165</f>
        <v>221.81</v>
      </c>
      <c r="K165" s="4">
        <v>0</v>
      </c>
      <c r="L165" s="9">
        <f>IF(J165=0,0,K165/J165)</f>
        <v>0</v>
      </c>
      <c r="M165" s="25">
        <v>221.81</v>
      </c>
      <c r="N165" s="5" t="s">
        <v>327</v>
      </c>
      <c r="O165" s="5" t="s">
        <v>33</v>
      </c>
      <c r="P165" s="3">
        <v>8</v>
      </c>
      <c r="Q165" s="3">
        <v>6</v>
      </c>
      <c r="R165" s="5" t="b">
        <v>0</v>
      </c>
      <c r="S165" s="5" t="str">
        <f>IF(R165=TRUE,"Returning Customer","New Customer")</f>
        <v>New Customer</v>
      </c>
      <c r="T165" s="3">
        <v>4</v>
      </c>
      <c r="U165" s="12" t="str">
        <f>IF(T165&lt;=3,"Fast",IF(T165&lt;=7,"Standard",IF(T165&lt;=14,"Slow","Very Slow")))</f>
        <v>Standard</v>
      </c>
      <c r="V165" s="10" t="str">
        <f>IF(D165&lt;=25,"18-25",IF(D165&lt;=35,"26-35",IF(D165&lt;=45,"36-45",IF(D165&lt;=55,"46-55",IF(D165&lt;=65,"56-65","66-75")))))</f>
        <v>18-25</v>
      </c>
      <c r="W165" s="3">
        <v>2</v>
      </c>
    </row>
    <row r="166" spans="1:23">
      <c r="A166" s="5" t="s">
        <v>113</v>
      </c>
      <c r="B166" s="5" t="s">
        <v>114</v>
      </c>
      <c r="C166" s="6">
        <v>44983</v>
      </c>
      <c r="D166" s="8">
        <v>46</v>
      </c>
      <c r="E166" s="5" t="s">
        <v>20</v>
      </c>
      <c r="F166" s="5" t="s">
        <v>52</v>
      </c>
      <c r="G166" s="5" t="s">
        <v>115</v>
      </c>
      <c r="H166" s="7">
        <v>40.43</v>
      </c>
      <c r="I166" s="3">
        <v>3</v>
      </c>
      <c r="J166" s="33">
        <f>H166*I166</f>
        <v>121.28999999999999</v>
      </c>
      <c r="K166" s="4">
        <v>9.11</v>
      </c>
      <c r="L166" s="9">
        <f>IF(J166=0,0,K166/J166)</f>
        <v>7.5109242311814664E-2</v>
      </c>
      <c r="M166" s="25">
        <v>112.18</v>
      </c>
      <c r="N166" s="5" t="s">
        <v>23</v>
      </c>
      <c r="O166" s="5" t="s">
        <v>33</v>
      </c>
      <c r="P166" s="3">
        <v>4</v>
      </c>
      <c r="Q166" s="3">
        <v>8</v>
      </c>
      <c r="R166" s="5" t="b">
        <v>0</v>
      </c>
      <c r="S166" s="5" t="str">
        <f>IF(R166=TRUE,"Returning Customer","New Customer")</f>
        <v>New Customer</v>
      </c>
      <c r="T166" s="3">
        <v>8</v>
      </c>
      <c r="U166" s="12" t="str">
        <f>IF(T166&lt;=3,"Fast",IF(T166&lt;=7,"Standard",IF(T166&lt;=14,"Slow","Very Slow")))</f>
        <v>Slow</v>
      </c>
      <c r="V166" s="10" t="str">
        <f>IF(D166&lt;=25,"18-25",IF(D166&lt;=35,"26-35",IF(D166&lt;=45,"36-45",IF(D166&lt;=55,"46-55",IF(D166&lt;=65,"56-65","66-75")))))</f>
        <v>46-55</v>
      </c>
      <c r="W166" s="3">
        <v>5</v>
      </c>
    </row>
    <row r="167" spans="1:23">
      <c r="A167" s="5" t="s">
        <v>801</v>
      </c>
      <c r="B167" s="5" t="s">
        <v>802</v>
      </c>
      <c r="C167" s="6">
        <v>45005</v>
      </c>
      <c r="D167" s="8">
        <v>39</v>
      </c>
      <c r="E167" s="5" t="s">
        <v>20</v>
      </c>
      <c r="F167" s="5" t="s">
        <v>88</v>
      </c>
      <c r="G167" s="5" t="s">
        <v>115</v>
      </c>
      <c r="H167" s="7">
        <v>85.71</v>
      </c>
      <c r="I167" s="3">
        <v>1</v>
      </c>
      <c r="J167" s="33">
        <f>H167*I167</f>
        <v>85.71</v>
      </c>
      <c r="K167" s="4">
        <v>0</v>
      </c>
      <c r="L167" s="9">
        <f>IF(J167=0,0,K167/J167)</f>
        <v>0</v>
      </c>
      <c r="M167" s="25">
        <v>85.71</v>
      </c>
      <c r="N167" s="5" t="s">
        <v>692</v>
      </c>
      <c r="O167" s="5" t="s">
        <v>33</v>
      </c>
      <c r="P167" s="3">
        <v>16</v>
      </c>
      <c r="Q167" s="3">
        <v>12</v>
      </c>
      <c r="R167" s="5" t="b">
        <v>1</v>
      </c>
      <c r="S167" s="5" t="str">
        <f>IF(R167=TRUE,"Returning Customer","New Customer")</f>
        <v>Returning Customer</v>
      </c>
      <c r="T167" s="3">
        <v>8</v>
      </c>
      <c r="U167" s="12" t="str">
        <f>IF(T167&lt;=3,"Fast",IF(T167&lt;=7,"Standard",IF(T167&lt;=14,"Slow","Very Slow")))</f>
        <v>Slow</v>
      </c>
      <c r="V167" s="10" t="str">
        <f>IF(D167&lt;=25,"18-25",IF(D167&lt;=35,"26-35",IF(D167&lt;=45,"36-45",IF(D167&lt;=55,"46-55",IF(D167&lt;=65,"56-65","66-75")))))</f>
        <v>36-45</v>
      </c>
      <c r="W167" s="3">
        <v>5</v>
      </c>
    </row>
    <row r="168" spans="1:23">
      <c r="A168" s="5" t="s">
        <v>416</v>
      </c>
      <c r="B168" s="5" t="s">
        <v>417</v>
      </c>
      <c r="C168" s="6">
        <v>45248</v>
      </c>
      <c r="D168" s="8">
        <v>44</v>
      </c>
      <c r="E168" s="5" t="s">
        <v>20</v>
      </c>
      <c r="F168" s="5" t="s">
        <v>49</v>
      </c>
      <c r="G168" s="5" t="s">
        <v>64</v>
      </c>
      <c r="H168" s="7">
        <v>758.95</v>
      </c>
      <c r="I168" s="3">
        <v>2</v>
      </c>
      <c r="J168" s="33">
        <f>H168*I168</f>
        <v>1517.9</v>
      </c>
      <c r="K168" s="4">
        <v>108.29</v>
      </c>
      <c r="L168" s="9">
        <f>IF(J168=0,0,K168/J168)</f>
        <v>7.1341985638052566E-2</v>
      </c>
      <c r="M168" s="25">
        <v>1409.61</v>
      </c>
      <c r="N168" s="5" t="s">
        <v>327</v>
      </c>
      <c r="O168" s="5" t="s">
        <v>29</v>
      </c>
      <c r="P168" s="3">
        <v>6</v>
      </c>
      <c r="Q168" s="3">
        <v>7</v>
      </c>
      <c r="R168" s="5" t="b">
        <v>1</v>
      </c>
      <c r="S168" s="5" t="str">
        <f>IF(R168=TRUE,"Returning Customer","New Customer")</f>
        <v>Returning Customer</v>
      </c>
      <c r="T168" s="3">
        <v>9</v>
      </c>
      <c r="U168" s="12" t="str">
        <f>IF(T168&lt;=3,"Fast",IF(T168&lt;=7,"Standard",IF(T168&lt;=14,"Slow","Very Slow")))</f>
        <v>Slow</v>
      </c>
      <c r="V168" s="10" t="str">
        <f>IF(D168&lt;=25,"18-25",IF(D168&lt;=35,"26-35",IF(D168&lt;=45,"36-45",IF(D168&lt;=55,"46-55",IF(D168&lt;=65,"56-65","66-75")))))</f>
        <v>36-45</v>
      </c>
      <c r="W168" s="3">
        <v>4</v>
      </c>
    </row>
    <row r="169" spans="1:23">
      <c r="A169" s="5" t="s">
        <v>803</v>
      </c>
      <c r="B169" s="5" t="s">
        <v>804</v>
      </c>
      <c r="C169" s="6">
        <v>45008</v>
      </c>
      <c r="D169" s="8">
        <v>57</v>
      </c>
      <c r="E169" s="5" t="s">
        <v>20</v>
      </c>
      <c r="F169" s="5" t="s">
        <v>52</v>
      </c>
      <c r="G169" s="5" t="s">
        <v>28</v>
      </c>
      <c r="H169" s="7">
        <v>236.55</v>
      </c>
      <c r="I169" s="3">
        <v>3</v>
      </c>
      <c r="J169" s="33">
        <f>H169*I169</f>
        <v>709.65000000000009</v>
      </c>
      <c r="K169" s="4">
        <v>0</v>
      </c>
      <c r="L169" s="9">
        <f>IF(J169=0,0,K169/J169)</f>
        <v>0</v>
      </c>
      <c r="M169" s="25">
        <v>709.65</v>
      </c>
      <c r="N169" s="5" t="s">
        <v>692</v>
      </c>
      <c r="O169" s="5" t="s">
        <v>24</v>
      </c>
      <c r="P169" s="3">
        <v>11</v>
      </c>
      <c r="Q169" s="3">
        <v>10</v>
      </c>
      <c r="R169" s="5" t="b">
        <v>0</v>
      </c>
      <c r="S169" s="5" t="str">
        <f>IF(R169=TRUE,"Returning Customer","New Customer")</f>
        <v>New Customer</v>
      </c>
      <c r="T169" s="3">
        <v>6</v>
      </c>
      <c r="U169" s="12" t="str">
        <f>IF(T169&lt;=3,"Fast",IF(T169&lt;=7,"Standard",IF(T169&lt;=14,"Slow","Very Slow")))</f>
        <v>Standard</v>
      </c>
      <c r="V169" s="10" t="str">
        <f>IF(D169&lt;=25,"18-25",IF(D169&lt;=35,"26-35",IF(D169&lt;=45,"36-45",IF(D169&lt;=55,"46-55",IF(D169&lt;=65,"56-65","66-75")))))</f>
        <v>56-65</v>
      </c>
      <c r="W169" s="3">
        <v>3</v>
      </c>
    </row>
    <row r="170" spans="1:23">
      <c r="A170" s="5" t="s">
        <v>1252</v>
      </c>
      <c r="B170" s="5" t="s">
        <v>1253</v>
      </c>
      <c r="C170" s="6">
        <v>45332</v>
      </c>
      <c r="D170" s="8">
        <v>32</v>
      </c>
      <c r="E170" s="5" t="s">
        <v>20</v>
      </c>
      <c r="F170" s="5" t="s">
        <v>73</v>
      </c>
      <c r="G170" s="5" t="s">
        <v>28</v>
      </c>
      <c r="H170" s="7">
        <v>28.21</v>
      </c>
      <c r="I170" s="3">
        <v>1</v>
      </c>
      <c r="J170" s="33">
        <f>H170*I170</f>
        <v>28.21</v>
      </c>
      <c r="K170" s="4">
        <v>0</v>
      </c>
      <c r="L170" s="9">
        <f>IF(J170=0,0,K170/J170)</f>
        <v>0</v>
      </c>
      <c r="M170" s="25">
        <v>28.21</v>
      </c>
      <c r="N170" s="5" t="s">
        <v>1231</v>
      </c>
      <c r="O170" s="5" t="s">
        <v>24</v>
      </c>
      <c r="P170" s="3">
        <v>6</v>
      </c>
      <c r="Q170" s="3">
        <v>11</v>
      </c>
      <c r="R170" s="5" t="b">
        <v>1</v>
      </c>
      <c r="S170" s="5" t="str">
        <f>IF(R170=TRUE,"Returning Customer","New Customer")</f>
        <v>Returning Customer</v>
      </c>
      <c r="T170" s="3">
        <v>3</v>
      </c>
      <c r="U170" s="12" t="str">
        <f>IF(T170&lt;=3,"Fast",IF(T170&lt;=7,"Standard",IF(T170&lt;=14,"Slow","Very Slow")))</f>
        <v>Fast</v>
      </c>
      <c r="V170" s="10" t="str">
        <f>IF(D170&lt;=25,"18-25",IF(D170&lt;=35,"26-35",IF(D170&lt;=45,"36-45",IF(D170&lt;=55,"46-55",IF(D170&lt;=65,"56-65","66-75")))))</f>
        <v>26-35</v>
      </c>
      <c r="W170" s="3">
        <v>4</v>
      </c>
    </row>
    <row r="171" spans="1:23">
      <c r="A171" s="5" t="s">
        <v>805</v>
      </c>
      <c r="B171" s="5" t="s">
        <v>806</v>
      </c>
      <c r="C171" s="6">
        <v>45275</v>
      </c>
      <c r="D171" s="8">
        <v>25</v>
      </c>
      <c r="E171" s="5" t="s">
        <v>36</v>
      </c>
      <c r="F171" s="5" t="s">
        <v>59</v>
      </c>
      <c r="G171" s="5" t="s">
        <v>28</v>
      </c>
      <c r="H171" s="7">
        <v>58.14</v>
      </c>
      <c r="I171" s="3">
        <v>1</v>
      </c>
      <c r="J171" s="33">
        <f>H171*I171</f>
        <v>58.14</v>
      </c>
      <c r="K171" s="4">
        <v>0</v>
      </c>
      <c r="L171" s="9">
        <f>IF(J171=0,0,K171/J171)</f>
        <v>0</v>
      </c>
      <c r="M171" s="25">
        <v>58.14</v>
      </c>
      <c r="N171" s="5" t="s">
        <v>692</v>
      </c>
      <c r="O171" s="5" t="s">
        <v>24</v>
      </c>
      <c r="P171" s="3">
        <v>12</v>
      </c>
      <c r="Q171" s="3">
        <v>5</v>
      </c>
      <c r="R171" s="5" t="b">
        <v>1</v>
      </c>
      <c r="S171" s="5" t="str">
        <f>IF(R171=TRUE,"Returning Customer","New Customer")</f>
        <v>Returning Customer</v>
      </c>
      <c r="T171" s="3">
        <v>7</v>
      </c>
      <c r="U171" s="12" t="str">
        <f>IF(T171&lt;=3,"Fast",IF(T171&lt;=7,"Standard",IF(T171&lt;=14,"Slow","Very Slow")))</f>
        <v>Standard</v>
      </c>
      <c r="V171" s="10" t="str">
        <f>IF(D171&lt;=25,"18-25",IF(D171&lt;=35,"26-35",IF(D171&lt;=45,"36-45",IF(D171&lt;=55,"46-55",IF(D171&lt;=65,"56-65","66-75")))))</f>
        <v>18-25</v>
      </c>
      <c r="W171" s="3">
        <v>3</v>
      </c>
    </row>
    <row r="172" spans="1:23">
      <c r="A172" s="5" t="s">
        <v>807</v>
      </c>
      <c r="B172" s="5" t="s">
        <v>808</v>
      </c>
      <c r="C172" s="6">
        <v>45143</v>
      </c>
      <c r="D172" s="8">
        <v>24</v>
      </c>
      <c r="E172" s="5" t="s">
        <v>36</v>
      </c>
      <c r="F172" s="5" t="s">
        <v>88</v>
      </c>
      <c r="G172" s="5" t="s">
        <v>37</v>
      </c>
      <c r="H172" s="7">
        <v>99.2</v>
      </c>
      <c r="I172" s="3">
        <v>1</v>
      </c>
      <c r="J172" s="33">
        <f>H172*I172</f>
        <v>99.2</v>
      </c>
      <c r="K172" s="4">
        <v>0</v>
      </c>
      <c r="L172" s="9">
        <f>IF(J172=0,0,K172/J172)</f>
        <v>0</v>
      </c>
      <c r="M172" s="25">
        <v>99.2</v>
      </c>
      <c r="N172" s="5" t="s">
        <v>692</v>
      </c>
      <c r="O172" s="5" t="s">
        <v>24</v>
      </c>
      <c r="P172" s="3">
        <v>13</v>
      </c>
      <c r="Q172" s="3">
        <v>10</v>
      </c>
      <c r="R172" s="5" t="b">
        <v>1</v>
      </c>
      <c r="S172" s="5" t="str">
        <f>IF(R172=TRUE,"Returning Customer","New Customer")</f>
        <v>Returning Customer</v>
      </c>
      <c r="T172" s="3">
        <v>3</v>
      </c>
      <c r="U172" s="12" t="str">
        <f>IF(T172&lt;=3,"Fast",IF(T172&lt;=7,"Standard",IF(T172&lt;=14,"Slow","Very Slow")))</f>
        <v>Fast</v>
      </c>
      <c r="V172" s="10" t="str">
        <f>IF(D172&lt;=25,"18-25",IF(D172&lt;=35,"26-35",IF(D172&lt;=45,"36-45",IF(D172&lt;=55,"46-55",IF(D172&lt;=65,"56-65","66-75")))))</f>
        <v>18-25</v>
      </c>
      <c r="W172" s="3">
        <v>3</v>
      </c>
    </row>
    <row r="173" spans="1:23">
      <c r="A173" s="5" t="s">
        <v>1331</v>
      </c>
      <c r="B173" s="5" t="s">
        <v>1332</v>
      </c>
      <c r="C173" s="6">
        <v>45232</v>
      </c>
      <c r="D173" s="8">
        <v>25</v>
      </c>
      <c r="E173" s="5" t="s">
        <v>36</v>
      </c>
      <c r="F173" s="5" t="s">
        <v>32</v>
      </c>
      <c r="G173" s="5" t="s">
        <v>64</v>
      </c>
      <c r="H173" s="7">
        <v>2214.16</v>
      </c>
      <c r="I173" s="3">
        <v>2</v>
      </c>
      <c r="J173" s="33">
        <f>H173*I173</f>
        <v>4428.32</v>
      </c>
      <c r="K173" s="4">
        <v>0</v>
      </c>
      <c r="L173" s="9">
        <f>IF(J173=0,0,K173/J173)</f>
        <v>0</v>
      </c>
      <c r="M173" s="25">
        <v>4428.32</v>
      </c>
      <c r="N173" s="5" t="s">
        <v>1298</v>
      </c>
      <c r="O173" s="5" t="s">
        <v>24</v>
      </c>
      <c r="P173" s="3">
        <v>17</v>
      </c>
      <c r="Q173" s="3">
        <v>8</v>
      </c>
      <c r="R173" s="5" t="b">
        <v>1</v>
      </c>
      <c r="S173" s="5" t="str">
        <f>IF(R173=TRUE,"Returning Customer","New Customer")</f>
        <v>Returning Customer</v>
      </c>
      <c r="T173" s="3">
        <v>17</v>
      </c>
      <c r="U173" s="12" t="str">
        <f>IF(T173&lt;=3,"Fast",IF(T173&lt;=7,"Standard",IF(T173&lt;=14,"Slow","Very Slow")))</f>
        <v>Very Slow</v>
      </c>
      <c r="V173" s="10" t="str">
        <f>IF(D173&lt;=25,"18-25",IF(D173&lt;=35,"26-35",IF(D173&lt;=45,"36-45",IF(D173&lt;=55,"46-55",IF(D173&lt;=65,"56-65","66-75")))))</f>
        <v>18-25</v>
      </c>
      <c r="W173" s="3">
        <v>5</v>
      </c>
    </row>
    <row r="174" spans="1:23">
      <c r="A174" s="5" t="s">
        <v>1254</v>
      </c>
      <c r="B174" s="5" t="s">
        <v>1255</v>
      </c>
      <c r="C174" s="6">
        <v>44959</v>
      </c>
      <c r="D174" s="8">
        <v>34</v>
      </c>
      <c r="E174" s="5" t="s">
        <v>36</v>
      </c>
      <c r="F174" s="5" t="s">
        <v>52</v>
      </c>
      <c r="G174" s="5" t="s">
        <v>64</v>
      </c>
      <c r="H174" s="7">
        <v>1563.53</v>
      </c>
      <c r="I174" s="3">
        <v>3</v>
      </c>
      <c r="J174" s="33">
        <f>H174*I174</f>
        <v>4690.59</v>
      </c>
      <c r="K174" s="4">
        <v>0</v>
      </c>
      <c r="L174" s="9">
        <f>IF(J174=0,0,K174/J174)</f>
        <v>0</v>
      </c>
      <c r="M174" s="25">
        <v>4690.59</v>
      </c>
      <c r="N174" s="5" t="s">
        <v>1231</v>
      </c>
      <c r="O174" s="5" t="s">
        <v>24</v>
      </c>
      <c r="P174" s="3">
        <v>5</v>
      </c>
      <c r="Q174" s="3">
        <v>8</v>
      </c>
      <c r="R174" s="5" t="b">
        <v>1</v>
      </c>
      <c r="S174" s="5" t="str">
        <f>IF(R174=TRUE,"Returning Customer","New Customer")</f>
        <v>Returning Customer</v>
      </c>
      <c r="T174" s="3">
        <v>7</v>
      </c>
      <c r="U174" s="12" t="str">
        <f>IF(T174&lt;=3,"Fast",IF(T174&lt;=7,"Standard",IF(T174&lt;=14,"Slow","Very Slow")))</f>
        <v>Standard</v>
      </c>
      <c r="V174" s="10" t="str">
        <f>IF(D174&lt;=25,"18-25",IF(D174&lt;=35,"26-35",IF(D174&lt;=45,"36-45",IF(D174&lt;=55,"46-55",IF(D174&lt;=65,"56-65","66-75")))))</f>
        <v>26-35</v>
      </c>
      <c r="W174" s="3">
        <v>4</v>
      </c>
    </row>
    <row r="175" spans="1:23">
      <c r="A175" s="5" t="s">
        <v>116</v>
      </c>
      <c r="B175" s="5" t="s">
        <v>117</v>
      </c>
      <c r="C175" s="6">
        <v>45124</v>
      </c>
      <c r="D175" s="8">
        <v>39</v>
      </c>
      <c r="E175" s="5" t="s">
        <v>36</v>
      </c>
      <c r="F175" s="5" t="s">
        <v>52</v>
      </c>
      <c r="G175" s="5" t="s">
        <v>46</v>
      </c>
      <c r="H175" s="7">
        <v>617.46</v>
      </c>
      <c r="I175" s="3">
        <v>1</v>
      </c>
      <c r="J175" s="33">
        <f>H175*I175</f>
        <v>617.46</v>
      </c>
      <c r="K175" s="4">
        <v>0</v>
      </c>
      <c r="L175" s="9">
        <f>IF(J175=0,0,K175/J175)</f>
        <v>0</v>
      </c>
      <c r="M175" s="25">
        <v>617.46</v>
      </c>
      <c r="N175" s="5" t="s">
        <v>23</v>
      </c>
      <c r="O175" s="5" t="s">
        <v>24</v>
      </c>
      <c r="P175" s="3">
        <v>19</v>
      </c>
      <c r="Q175" s="3">
        <v>11</v>
      </c>
      <c r="R175" s="5" t="b">
        <v>1</v>
      </c>
      <c r="S175" s="5" t="str">
        <f>IF(R175=TRUE,"Returning Customer","New Customer")</f>
        <v>Returning Customer</v>
      </c>
      <c r="T175" s="3">
        <v>2</v>
      </c>
      <c r="U175" s="12" t="str">
        <f>IF(T175&lt;=3,"Fast",IF(T175&lt;=7,"Standard",IF(T175&lt;=14,"Slow","Very Slow")))</f>
        <v>Fast</v>
      </c>
      <c r="V175" s="10" t="str">
        <f>IF(D175&lt;=25,"18-25",IF(D175&lt;=35,"26-35",IF(D175&lt;=45,"36-45",IF(D175&lt;=55,"46-55",IF(D175&lt;=65,"56-65","66-75")))))</f>
        <v>36-45</v>
      </c>
      <c r="W175" s="3">
        <v>4</v>
      </c>
    </row>
    <row r="176" spans="1:23">
      <c r="A176" s="5" t="s">
        <v>809</v>
      </c>
      <c r="B176" s="5" t="s">
        <v>810</v>
      </c>
      <c r="C176" s="6">
        <v>45122</v>
      </c>
      <c r="D176" s="8">
        <v>38</v>
      </c>
      <c r="E176" s="5" t="s">
        <v>20</v>
      </c>
      <c r="F176" s="5" t="s">
        <v>32</v>
      </c>
      <c r="G176" s="5" t="s">
        <v>22</v>
      </c>
      <c r="H176" s="7">
        <v>176.32</v>
      </c>
      <c r="I176" s="3">
        <v>1</v>
      </c>
      <c r="J176" s="33">
        <f>H176*I176</f>
        <v>176.32</v>
      </c>
      <c r="K176" s="4">
        <v>0</v>
      </c>
      <c r="L176" s="9">
        <f>IF(J176=0,0,K176/J176)</f>
        <v>0</v>
      </c>
      <c r="M176" s="25">
        <v>176.32</v>
      </c>
      <c r="N176" s="5" t="s">
        <v>692</v>
      </c>
      <c r="O176" s="5" t="s">
        <v>24</v>
      </c>
      <c r="P176" s="3">
        <v>19</v>
      </c>
      <c r="Q176" s="3">
        <v>14</v>
      </c>
      <c r="R176" s="5" t="b">
        <v>0</v>
      </c>
      <c r="S176" s="5" t="str">
        <f>IF(R176=TRUE,"Returning Customer","New Customer")</f>
        <v>New Customer</v>
      </c>
      <c r="T176" s="3">
        <v>5</v>
      </c>
      <c r="U176" s="12" t="str">
        <f>IF(T176&lt;=3,"Fast",IF(T176&lt;=7,"Standard",IF(T176&lt;=14,"Slow","Very Slow")))</f>
        <v>Standard</v>
      </c>
      <c r="V176" s="10" t="str">
        <f>IF(D176&lt;=25,"18-25",IF(D176&lt;=35,"26-35",IF(D176&lt;=45,"36-45",IF(D176&lt;=55,"46-55",IF(D176&lt;=65,"56-65","66-75")))))</f>
        <v>36-45</v>
      </c>
      <c r="W176" s="3">
        <v>5</v>
      </c>
    </row>
    <row r="177" spans="1:23">
      <c r="A177" s="5" t="s">
        <v>418</v>
      </c>
      <c r="B177" s="5" t="s">
        <v>419</v>
      </c>
      <c r="C177" s="6">
        <v>45232</v>
      </c>
      <c r="D177" s="8">
        <v>44</v>
      </c>
      <c r="E177" s="5" t="s">
        <v>36</v>
      </c>
      <c r="F177" s="5" t="s">
        <v>73</v>
      </c>
      <c r="G177" s="5" t="s">
        <v>37</v>
      </c>
      <c r="H177" s="7">
        <v>24.55</v>
      </c>
      <c r="I177" s="3">
        <v>1</v>
      </c>
      <c r="J177" s="33">
        <f>H177*I177</f>
        <v>24.55</v>
      </c>
      <c r="K177" s="4">
        <v>2.4500000000000002</v>
      </c>
      <c r="L177" s="9">
        <f>IF(J177=0,0,K177/J177)</f>
        <v>9.9796334012219962E-2</v>
      </c>
      <c r="M177" s="25">
        <v>22.1</v>
      </c>
      <c r="N177" s="5" t="s">
        <v>327</v>
      </c>
      <c r="O177" s="5" t="s">
        <v>33</v>
      </c>
      <c r="P177" s="3">
        <v>7</v>
      </c>
      <c r="Q177" s="3">
        <v>7</v>
      </c>
      <c r="R177" s="5" t="b">
        <v>0</v>
      </c>
      <c r="S177" s="5" t="str">
        <f>IF(R177=TRUE,"Returning Customer","New Customer")</f>
        <v>New Customer</v>
      </c>
      <c r="T177" s="3">
        <v>7</v>
      </c>
      <c r="U177" s="12" t="str">
        <f>IF(T177&lt;=3,"Fast",IF(T177&lt;=7,"Standard",IF(T177&lt;=14,"Slow","Very Slow")))</f>
        <v>Standard</v>
      </c>
      <c r="V177" s="10" t="str">
        <f>IF(D177&lt;=25,"18-25",IF(D177&lt;=35,"26-35",IF(D177&lt;=45,"36-45",IF(D177&lt;=55,"46-55",IF(D177&lt;=65,"56-65","66-75")))))</f>
        <v>36-45</v>
      </c>
      <c r="W177" s="3">
        <v>2</v>
      </c>
    </row>
    <row r="178" spans="1:23">
      <c r="A178" s="5" t="s">
        <v>420</v>
      </c>
      <c r="B178" s="5" t="s">
        <v>421</v>
      </c>
      <c r="C178" s="6">
        <v>45166</v>
      </c>
      <c r="D178" s="8">
        <v>35</v>
      </c>
      <c r="E178" s="5" t="s">
        <v>36</v>
      </c>
      <c r="F178" s="5" t="s">
        <v>88</v>
      </c>
      <c r="G178" s="5" t="s">
        <v>28</v>
      </c>
      <c r="H178" s="7">
        <v>118.56</v>
      </c>
      <c r="I178" s="3">
        <v>2</v>
      </c>
      <c r="J178" s="33">
        <f>H178*I178</f>
        <v>237.12</v>
      </c>
      <c r="K178" s="4">
        <v>10.62</v>
      </c>
      <c r="L178" s="9">
        <f>IF(J178=0,0,K178/J178)</f>
        <v>4.4787449392712543E-2</v>
      </c>
      <c r="M178" s="25">
        <v>226.5</v>
      </c>
      <c r="N178" s="5" t="s">
        <v>327</v>
      </c>
      <c r="O178" s="5" t="s">
        <v>33</v>
      </c>
      <c r="P178" s="3">
        <v>6</v>
      </c>
      <c r="Q178" s="3">
        <v>12</v>
      </c>
      <c r="R178" s="5" t="b">
        <v>1</v>
      </c>
      <c r="S178" s="5" t="str">
        <f>IF(R178=TRUE,"Returning Customer","New Customer")</f>
        <v>Returning Customer</v>
      </c>
      <c r="T178" s="3">
        <v>19</v>
      </c>
      <c r="U178" s="12" t="str">
        <f>IF(T178&lt;=3,"Fast",IF(T178&lt;=7,"Standard",IF(T178&lt;=14,"Slow","Very Slow")))</f>
        <v>Very Slow</v>
      </c>
      <c r="V178" s="10" t="str">
        <f>IF(D178&lt;=25,"18-25",IF(D178&lt;=35,"26-35",IF(D178&lt;=45,"36-45",IF(D178&lt;=55,"46-55",IF(D178&lt;=65,"56-65","66-75")))))</f>
        <v>26-35</v>
      </c>
      <c r="W178" s="3">
        <v>4</v>
      </c>
    </row>
    <row r="179" spans="1:23">
      <c r="A179" s="5" t="s">
        <v>118</v>
      </c>
      <c r="B179" s="5" t="s">
        <v>119</v>
      </c>
      <c r="C179" s="6">
        <v>45197</v>
      </c>
      <c r="D179" s="8">
        <v>52</v>
      </c>
      <c r="E179" s="5" t="s">
        <v>36</v>
      </c>
      <c r="F179" s="5" t="s">
        <v>52</v>
      </c>
      <c r="G179" s="5" t="s">
        <v>46</v>
      </c>
      <c r="H179" s="7">
        <v>357.87</v>
      </c>
      <c r="I179" s="3">
        <v>1</v>
      </c>
      <c r="J179" s="33">
        <f>H179*I179</f>
        <v>357.87</v>
      </c>
      <c r="K179" s="4">
        <v>39.409999999999997</v>
      </c>
      <c r="L179" s="9">
        <f>IF(J179=0,0,K179/J179)</f>
        <v>0.11012378796769776</v>
      </c>
      <c r="M179" s="25">
        <v>318.45999999999998</v>
      </c>
      <c r="N179" s="5" t="s">
        <v>23</v>
      </c>
      <c r="O179" s="5" t="s">
        <v>33</v>
      </c>
      <c r="P179" s="3">
        <v>9</v>
      </c>
      <c r="Q179" s="3">
        <v>9</v>
      </c>
      <c r="R179" s="5" t="b">
        <v>1</v>
      </c>
      <c r="S179" s="5" t="str">
        <f>IF(R179=TRUE,"Returning Customer","New Customer")</f>
        <v>Returning Customer</v>
      </c>
      <c r="T179" s="3">
        <v>3</v>
      </c>
      <c r="U179" s="12" t="str">
        <f>IF(T179&lt;=3,"Fast",IF(T179&lt;=7,"Standard",IF(T179&lt;=14,"Slow","Very Slow")))</f>
        <v>Fast</v>
      </c>
      <c r="V179" s="10" t="str">
        <f>IF(D179&lt;=25,"18-25",IF(D179&lt;=35,"26-35",IF(D179&lt;=45,"36-45",IF(D179&lt;=55,"46-55",IF(D179&lt;=65,"56-65","66-75")))))</f>
        <v>46-55</v>
      </c>
      <c r="W179" s="3">
        <v>4</v>
      </c>
    </row>
    <row r="180" spans="1:23">
      <c r="A180" s="5" t="s">
        <v>811</v>
      </c>
      <c r="B180" s="5" t="s">
        <v>812</v>
      </c>
      <c r="C180" s="6">
        <v>45055</v>
      </c>
      <c r="D180" s="8">
        <v>31</v>
      </c>
      <c r="E180" s="5" t="s">
        <v>36</v>
      </c>
      <c r="F180" s="5" t="s">
        <v>27</v>
      </c>
      <c r="G180" s="5" t="s">
        <v>64</v>
      </c>
      <c r="H180" s="7">
        <v>3135.28</v>
      </c>
      <c r="I180" s="3">
        <v>1</v>
      </c>
      <c r="J180" s="33">
        <f>H180*I180</f>
        <v>3135.28</v>
      </c>
      <c r="K180" s="4">
        <v>286.99</v>
      </c>
      <c r="L180" s="9">
        <f>IF(J180=0,0,K180/J180)</f>
        <v>9.1535684213212218E-2</v>
      </c>
      <c r="M180" s="25">
        <v>2848.29</v>
      </c>
      <c r="N180" s="5" t="s">
        <v>692</v>
      </c>
      <c r="O180" s="5" t="s">
        <v>33</v>
      </c>
      <c r="P180" s="3">
        <v>28</v>
      </c>
      <c r="Q180" s="3">
        <v>13</v>
      </c>
      <c r="R180" s="5" t="b">
        <v>0</v>
      </c>
      <c r="S180" s="5" t="str">
        <f>IF(R180=TRUE,"Returning Customer","New Customer")</f>
        <v>New Customer</v>
      </c>
      <c r="T180" s="3">
        <v>3</v>
      </c>
      <c r="U180" s="12" t="str">
        <f>IF(T180&lt;=3,"Fast",IF(T180&lt;=7,"Standard",IF(T180&lt;=14,"Slow","Very Slow")))</f>
        <v>Fast</v>
      </c>
      <c r="V180" s="10" t="str">
        <f>IF(D180&lt;=25,"18-25",IF(D180&lt;=35,"26-35",IF(D180&lt;=45,"36-45",IF(D180&lt;=55,"46-55",IF(D180&lt;=65,"56-65","66-75")))))</f>
        <v>26-35</v>
      </c>
      <c r="W180" s="3">
        <v>4</v>
      </c>
    </row>
    <row r="181" spans="1:23">
      <c r="A181" s="5" t="s">
        <v>813</v>
      </c>
      <c r="B181" s="5" t="s">
        <v>814</v>
      </c>
      <c r="C181" s="6">
        <v>45210</v>
      </c>
      <c r="D181" s="8">
        <v>67</v>
      </c>
      <c r="E181" s="5" t="s">
        <v>20</v>
      </c>
      <c r="F181" s="5" t="s">
        <v>49</v>
      </c>
      <c r="G181" s="5" t="s">
        <v>37</v>
      </c>
      <c r="H181" s="7">
        <v>144.91999999999999</v>
      </c>
      <c r="I181" s="3">
        <v>5</v>
      </c>
      <c r="J181" s="33">
        <f>H181*I181</f>
        <v>724.59999999999991</v>
      </c>
      <c r="K181" s="4">
        <v>18.88</v>
      </c>
      <c r="L181" s="9">
        <f>IF(J181=0,0,K181/J181)</f>
        <v>2.6055754899254765E-2</v>
      </c>
      <c r="M181" s="25">
        <v>705.72</v>
      </c>
      <c r="N181" s="5" t="s">
        <v>692</v>
      </c>
      <c r="O181" s="5" t="s">
        <v>24</v>
      </c>
      <c r="P181" s="3">
        <v>4</v>
      </c>
      <c r="Q181" s="3">
        <v>7</v>
      </c>
      <c r="R181" s="5" t="b">
        <v>1</v>
      </c>
      <c r="S181" s="5" t="str">
        <f>IF(R181=TRUE,"Returning Customer","New Customer")</f>
        <v>Returning Customer</v>
      </c>
      <c r="T181" s="3">
        <v>6</v>
      </c>
      <c r="U181" s="12" t="str">
        <f>IF(T181&lt;=3,"Fast",IF(T181&lt;=7,"Standard",IF(T181&lt;=14,"Slow","Very Slow")))</f>
        <v>Standard</v>
      </c>
      <c r="V181" s="10" t="str">
        <f>IF(D181&lt;=25,"18-25",IF(D181&lt;=35,"26-35",IF(D181&lt;=45,"36-45",IF(D181&lt;=55,"46-55",IF(D181&lt;=65,"56-65","66-75")))))</f>
        <v>66-75</v>
      </c>
      <c r="W181" s="3">
        <v>5</v>
      </c>
    </row>
    <row r="182" spans="1:23">
      <c r="A182" s="5" t="s">
        <v>422</v>
      </c>
      <c r="B182" s="5" t="s">
        <v>423</v>
      </c>
      <c r="C182" s="6">
        <v>45367</v>
      </c>
      <c r="D182" s="8">
        <v>42</v>
      </c>
      <c r="E182" s="5" t="s">
        <v>36</v>
      </c>
      <c r="F182" s="5" t="s">
        <v>52</v>
      </c>
      <c r="G182" s="5" t="s">
        <v>56</v>
      </c>
      <c r="H182" s="7">
        <v>239.92</v>
      </c>
      <c r="I182" s="3">
        <v>1</v>
      </c>
      <c r="J182" s="33">
        <f>H182*I182</f>
        <v>239.92</v>
      </c>
      <c r="K182" s="4">
        <v>0</v>
      </c>
      <c r="L182" s="9">
        <f>IF(J182=0,0,K182/J182)</f>
        <v>0</v>
      </c>
      <c r="M182" s="25">
        <v>239.92</v>
      </c>
      <c r="N182" s="5" t="s">
        <v>327</v>
      </c>
      <c r="O182" s="5" t="s">
        <v>33</v>
      </c>
      <c r="P182" s="3">
        <v>18</v>
      </c>
      <c r="Q182" s="3">
        <v>11</v>
      </c>
      <c r="R182" s="5" t="b">
        <v>1</v>
      </c>
      <c r="S182" s="5" t="str">
        <f>IF(R182=TRUE,"Returning Customer","New Customer")</f>
        <v>Returning Customer</v>
      </c>
      <c r="T182" s="3">
        <v>6</v>
      </c>
      <c r="U182" s="12" t="str">
        <f>IF(T182&lt;=3,"Fast",IF(T182&lt;=7,"Standard",IF(T182&lt;=14,"Slow","Very Slow")))</f>
        <v>Standard</v>
      </c>
      <c r="V182" s="10" t="str">
        <f>IF(D182&lt;=25,"18-25",IF(D182&lt;=35,"26-35",IF(D182&lt;=45,"36-45",IF(D182&lt;=55,"46-55",IF(D182&lt;=65,"56-65","66-75")))))</f>
        <v>36-45</v>
      </c>
      <c r="W182" s="3">
        <v>5</v>
      </c>
    </row>
    <row r="183" spans="1:23">
      <c r="A183" s="5" t="s">
        <v>815</v>
      </c>
      <c r="B183" s="5" t="s">
        <v>816</v>
      </c>
      <c r="C183" s="6">
        <v>44932</v>
      </c>
      <c r="D183" s="8">
        <v>24</v>
      </c>
      <c r="E183" s="5" t="s">
        <v>36</v>
      </c>
      <c r="F183" s="5" t="s">
        <v>32</v>
      </c>
      <c r="G183" s="5" t="s">
        <v>64</v>
      </c>
      <c r="H183" s="7">
        <v>164.61</v>
      </c>
      <c r="I183" s="3">
        <v>1</v>
      </c>
      <c r="J183" s="33">
        <f>H183*I183</f>
        <v>164.61</v>
      </c>
      <c r="K183" s="4">
        <v>28.42</v>
      </c>
      <c r="L183" s="9">
        <f>IF(J183=0,0,K183/J183)</f>
        <v>0.17265050725958325</v>
      </c>
      <c r="M183" s="25">
        <v>136.19</v>
      </c>
      <c r="N183" s="5" t="s">
        <v>692</v>
      </c>
      <c r="O183" s="5" t="s">
        <v>33</v>
      </c>
      <c r="P183" s="3">
        <v>15</v>
      </c>
      <c r="Q183" s="3">
        <v>12</v>
      </c>
      <c r="R183" s="5" t="b">
        <v>1</v>
      </c>
      <c r="S183" s="5" t="str">
        <f>IF(R183=TRUE,"Returning Customer","New Customer")</f>
        <v>Returning Customer</v>
      </c>
      <c r="T183" s="3">
        <v>7</v>
      </c>
      <c r="U183" s="12" t="str">
        <f>IF(T183&lt;=3,"Fast",IF(T183&lt;=7,"Standard",IF(T183&lt;=14,"Slow","Very Slow")))</f>
        <v>Standard</v>
      </c>
      <c r="V183" s="10" t="str">
        <f>IF(D183&lt;=25,"18-25",IF(D183&lt;=35,"26-35",IF(D183&lt;=45,"36-45",IF(D183&lt;=55,"46-55",IF(D183&lt;=65,"56-65","66-75")))))</f>
        <v>18-25</v>
      </c>
      <c r="W183" s="3">
        <v>4</v>
      </c>
    </row>
    <row r="184" spans="1:23">
      <c r="A184" s="5" t="s">
        <v>120</v>
      </c>
      <c r="B184" s="5" t="s">
        <v>121</v>
      </c>
      <c r="C184" s="6">
        <v>45275</v>
      </c>
      <c r="D184" s="8">
        <v>22</v>
      </c>
      <c r="E184" s="5" t="s">
        <v>122</v>
      </c>
      <c r="F184" s="5" t="s">
        <v>27</v>
      </c>
      <c r="G184" s="5" t="s">
        <v>56</v>
      </c>
      <c r="H184" s="7">
        <v>532.57000000000005</v>
      </c>
      <c r="I184" s="3">
        <v>5</v>
      </c>
      <c r="J184" s="33">
        <f>H184*I184</f>
        <v>2662.8500000000004</v>
      </c>
      <c r="K184" s="4">
        <v>0</v>
      </c>
      <c r="L184" s="9">
        <f>IF(J184=0,0,K184/J184)</f>
        <v>0</v>
      </c>
      <c r="M184" s="25">
        <v>2662.85</v>
      </c>
      <c r="N184" s="5" t="s">
        <v>23</v>
      </c>
      <c r="O184" s="5" t="s">
        <v>24</v>
      </c>
      <c r="P184" s="3">
        <v>30</v>
      </c>
      <c r="Q184" s="3">
        <v>10</v>
      </c>
      <c r="R184" s="5" t="b">
        <v>1</v>
      </c>
      <c r="S184" s="5" t="str">
        <f>IF(R184=TRUE,"Returning Customer","New Customer")</f>
        <v>Returning Customer</v>
      </c>
      <c r="T184" s="3">
        <v>8</v>
      </c>
      <c r="U184" s="12" t="str">
        <f>IF(T184&lt;=3,"Fast",IF(T184&lt;=7,"Standard",IF(T184&lt;=14,"Slow","Very Slow")))</f>
        <v>Slow</v>
      </c>
      <c r="V184" s="10" t="str">
        <f>IF(D184&lt;=25,"18-25",IF(D184&lt;=35,"26-35",IF(D184&lt;=45,"36-45",IF(D184&lt;=55,"46-55",IF(D184&lt;=65,"56-65","66-75")))))</f>
        <v>18-25</v>
      </c>
      <c r="W184" s="3">
        <v>4</v>
      </c>
    </row>
    <row r="185" spans="1:23">
      <c r="A185" s="5" t="s">
        <v>123</v>
      </c>
      <c r="B185" s="5" t="s">
        <v>124</v>
      </c>
      <c r="C185" s="6">
        <v>45296</v>
      </c>
      <c r="D185" s="8">
        <v>40</v>
      </c>
      <c r="E185" s="5" t="s">
        <v>20</v>
      </c>
      <c r="F185" s="5" t="s">
        <v>88</v>
      </c>
      <c r="G185" s="5" t="s">
        <v>53</v>
      </c>
      <c r="H185" s="7">
        <v>34.9</v>
      </c>
      <c r="I185" s="3">
        <v>2</v>
      </c>
      <c r="J185" s="33">
        <f>H185*I185</f>
        <v>69.8</v>
      </c>
      <c r="K185" s="4">
        <v>0</v>
      </c>
      <c r="L185" s="9">
        <f>IF(J185=0,0,K185/J185)</f>
        <v>0</v>
      </c>
      <c r="M185" s="25">
        <v>69.8</v>
      </c>
      <c r="N185" s="5" t="s">
        <v>23</v>
      </c>
      <c r="O185" s="5" t="s">
        <v>33</v>
      </c>
      <c r="P185" s="3">
        <v>20</v>
      </c>
      <c r="Q185" s="3">
        <v>6</v>
      </c>
      <c r="R185" s="5" t="b">
        <v>0</v>
      </c>
      <c r="S185" s="5" t="str">
        <f>IF(R185=TRUE,"Returning Customer","New Customer")</f>
        <v>New Customer</v>
      </c>
      <c r="T185" s="3">
        <v>7</v>
      </c>
      <c r="U185" s="12" t="str">
        <f>IF(T185&lt;=3,"Fast",IF(T185&lt;=7,"Standard",IF(T185&lt;=14,"Slow","Very Slow")))</f>
        <v>Standard</v>
      </c>
      <c r="V185" s="10" t="str">
        <f>IF(D185&lt;=25,"18-25",IF(D185&lt;=35,"26-35",IF(D185&lt;=45,"36-45",IF(D185&lt;=55,"46-55",IF(D185&lt;=65,"56-65","66-75")))))</f>
        <v>36-45</v>
      </c>
      <c r="W185" s="3">
        <v>4</v>
      </c>
    </row>
    <row r="186" spans="1:23">
      <c r="A186" s="5" t="s">
        <v>125</v>
      </c>
      <c r="B186" s="5" t="s">
        <v>126</v>
      </c>
      <c r="C186" s="6">
        <v>44985</v>
      </c>
      <c r="D186" s="8">
        <v>32</v>
      </c>
      <c r="E186" s="5" t="s">
        <v>20</v>
      </c>
      <c r="F186" s="5" t="s">
        <v>49</v>
      </c>
      <c r="G186" s="5" t="s">
        <v>56</v>
      </c>
      <c r="H186" s="7">
        <v>1647.9</v>
      </c>
      <c r="I186" s="3">
        <v>4</v>
      </c>
      <c r="J186" s="33">
        <f>H186*I186</f>
        <v>6591.6</v>
      </c>
      <c r="K186" s="4">
        <v>361.69</v>
      </c>
      <c r="L186" s="9">
        <f>IF(J186=0,0,K186/J186)</f>
        <v>5.4871351416954907E-2</v>
      </c>
      <c r="M186" s="25">
        <v>6229.91</v>
      </c>
      <c r="N186" s="5" t="s">
        <v>23</v>
      </c>
      <c r="O186" s="5" t="s">
        <v>29</v>
      </c>
      <c r="P186" s="3">
        <v>1</v>
      </c>
      <c r="Q186" s="3">
        <v>13</v>
      </c>
      <c r="R186" s="5" t="b">
        <v>0</v>
      </c>
      <c r="S186" s="5" t="str">
        <f>IF(R186=TRUE,"Returning Customer","New Customer")</f>
        <v>New Customer</v>
      </c>
      <c r="T186" s="3">
        <v>14</v>
      </c>
      <c r="U186" s="12" t="str">
        <f>IF(T186&lt;=3,"Fast",IF(T186&lt;=7,"Standard",IF(T186&lt;=14,"Slow","Very Slow")))</f>
        <v>Slow</v>
      </c>
      <c r="V186" s="10" t="str">
        <f>IF(D186&lt;=25,"18-25",IF(D186&lt;=35,"26-35",IF(D186&lt;=45,"36-45",IF(D186&lt;=55,"46-55",IF(D186&lt;=65,"56-65","66-75")))))</f>
        <v>26-35</v>
      </c>
      <c r="W186" s="3">
        <v>5</v>
      </c>
    </row>
    <row r="187" spans="1:23">
      <c r="A187" s="5" t="s">
        <v>424</v>
      </c>
      <c r="B187" s="5" t="s">
        <v>425</v>
      </c>
      <c r="C187" s="6">
        <v>45276</v>
      </c>
      <c r="D187" s="8">
        <v>43</v>
      </c>
      <c r="E187" s="5" t="s">
        <v>20</v>
      </c>
      <c r="F187" s="5" t="s">
        <v>32</v>
      </c>
      <c r="G187" s="5" t="s">
        <v>64</v>
      </c>
      <c r="H187" s="7">
        <v>3200.17</v>
      </c>
      <c r="I187" s="3">
        <v>5</v>
      </c>
      <c r="J187" s="33">
        <f>H187*I187</f>
        <v>16000.85</v>
      </c>
      <c r="K187" s="4">
        <v>0</v>
      </c>
      <c r="L187" s="9">
        <f>IF(J187=0,0,K187/J187)</f>
        <v>0</v>
      </c>
      <c r="M187" s="25">
        <v>16000.85</v>
      </c>
      <c r="N187" s="5" t="s">
        <v>327</v>
      </c>
      <c r="O187" s="5" t="s">
        <v>24</v>
      </c>
      <c r="P187" s="3">
        <v>23</v>
      </c>
      <c r="Q187" s="3">
        <v>12</v>
      </c>
      <c r="R187" s="5" t="b">
        <v>0</v>
      </c>
      <c r="S187" s="5" t="str">
        <f>IF(R187=TRUE,"Returning Customer","New Customer")</f>
        <v>New Customer</v>
      </c>
      <c r="T187" s="3">
        <v>7</v>
      </c>
      <c r="U187" s="12" t="str">
        <f>IF(T187&lt;=3,"Fast",IF(T187&lt;=7,"Standard",IF(T187&lt;=14,"Slow","Very Slow")))</f>
        <v>Standard</v>
      </c>
      <c r="V187" s="10" t="str">
        <f>IF(D187&lt;=25,"18-25",IF(D187&lt;=35,"26-35",IF(D187&lt;=45,"36-45",IF(D187&lt;=55,"46-55",IF(D187&lt;=65,"56-65","66-75")))))</f>
        <v>36-45</v>
      </c>
      <c r="W187" s="3">
        <v>5</v>
      </c>
    </row>
    <row r="188" spans="1:23">
      <c r="A188" s="5" t="s">
        <v>1333</v>
      </c>
      <c r="B188" s="5" t="s">
        <v>1334</v>
      </c>
      <c r="C188" s="6">
        <v>45201</v>
      </c>
      <c r="D188" s="8">
        <v>40</v>
      </c>
      <c r="E188" s="5" t="s">
        <v>36</v>
      </c>
      <c r="F188" s="5" t="s">
        <v>32</v>
      </c>
      <c r="G188" s="5" t="s">
        <v>46</v>
      </c>
      <c r="H188" s="7">
        <v>146.52000000000001</v>
      </c>
      <c r="I188" s="3">
        <v>2</v>
      </c>
      <c r="J188" s="33">
        <f>H188*I188</f>
        <v>293.04000000000002</v>
      </c>
      <c r="K188" s="4">
        <v>39.08</v>
      </c>
      <c r="L188" s="9">
        <f>IF(J188=0,0,K188/J188)</f>
        <v>0.13336063336063333</v>
      </c>
      <c r="M188" s="25">
        <v>253.96</v>
      </c>
      <c r="N188" s="5" t="s">
        <v>1298</v>
      </c>
      <c r="O188" s="5" t="s">
        <v>24</v>
      </c>
      <c r="P188" s="3">
        <v>9</v>
      </c>
      <c r="Q188" s="3">
        <v>9</v>
      </c>
      <c r="R188" s="5" t="b">
        <v>0</v>
      </c>
      <c r="S188" s="5" t="str">
        <f>IF(R188=TRUE,"Returning Customer","New Customer")</f>
        <v>New Customer</v>
      </c>
      <c r="T188" s="3">
        <v>4</v>
      </c>
      <c r="U188" s="12" t="str">
        <f>IF(T188&lt;=3,"Fast",IF(T188&lt;=7,"Standard",IF(T188&lt;=14,"Slow","Very Slow")))</f>
        <v>Standard</v>
      </c>
      <c r="V188" s="10" t="str">
        <f>IF(D188&lt;=25,"18-25",IF(D188&lt;=35,"26-35",IF(D188&lt;=45,"36-45",IF(D188&lt;=55,"46-55",IF(D188&lt;=65,"56-65","66-75")))))</f>
        <v>36-45</v>
      </c>
      <c r="W188" s="3">
        <v>3</v>
      </c>
    </row>
    <row r="189" spans="1:23">
      <c r="A189" s="5" t="s">
        <v>817</v>
      </c>
      <c r="B189" s="5" t="s">
        <v>818</v>
      </c>
      <c r="C189" s="6">
        <v>45311</v>
      </c>
      <c r="D189" s="8">
        <v>34</v>
      </c>
      <c r="E189" s="5" t="s">
        <v>20</v>
      </c>
      <c r="F189" s="5" t="s">
        <v>32</v>
      </c>
      <c r="G189" s="5" t="s">
        <v>64</v>
      </c>
      <c r="H189" s="7">
        <v>2258.91</v>
      </c>
      <c r="I189" s="3">
        <v>3</v>
      </c>
      <c r="J189" s="33">
        <f>H189*I189</f>
        <v>6776.73</v>
      </c>
      <c r="K189" s="4">
        <v>0</v>
      </c>
      <c r="L189" s="9">
        <f>IF(J189=0,0,K189/J189)</f>
        <v>0</v>
      </c>
      <c r="M189" s="25">
        <v>6776.73</v>
      </c>
      <c r="N189" s="5" t="s">
        <v>692</v>
      </c>
      <c r="O189" s="5" t="s">
        <v>24</v>
      </c>
      <c r="P189" s="3">
        <v>10</v>
      </c>
      <c r="Q189" s="3">
        <v>14</v>
      </c>
      <c r="R189" s="5" t="b">
        <v>1</v>
      </c>
      <c r="S189" s="5" t="str">
        <f>IF(R189=TRUE,"Returning Customer","New Customer")</f>
        <v>Returning Customer</v>
      </c>
      <c r="T189" s="3">
        <v>9</v>
      </c>
      <c r="U189" s="12" t="str">
        <f>IF(T189&lt;=3,"Fast",IF(T189&lt;=7,"Standard",IF(T189&lt;=14,"Slow","Very Slow")))</f>
        <v>Slow</v>
      </c>
      <c r="V189" s="10" t="str">
        <f>IF(D189&lt;=25,"18-25",IF(D189&lt;=35,"26-35",IF(D189&lt;=45,"36-45",IF(D189&lt;=55,"46-55",IF(D189&lt;=65,"56-65","66-75")))))</f>
        <v>26-35</v>
      </c>
      <c r="W189" s="3">
        <v>2</v>
      </c>
    </row>
    <row r="190" spans="1:23">
      <c r="A190" s="5" t="s">
        <v>819</v>
      </c>
      <c r="B190" s="5" t="s">
        <v>820</v>
      </c>
      <c r="C190" s="6">
        <v>45063</v>
      </c>
      <c r="D190" s="8">
        <v>24</v>
      </c>
      <c r="E190" s="5" t="s">
        <v>20</v>
      </c>
      <c r="F190" s="5" t="s">
        <v>73</v>
      </c>
      <c r="G190" s="5" t="s">
        <v>64</v>
      </c>
      <c r="H190" s="7">
        <v>2019.23</v>
      </c>
      <c r="I190" s="3">
        <v>3</v>
      </c>
      <c r="J190" s="33">
        <f>H190*I190</f>
        <v>6057.6900000000005</v>
      </c>
      <c r="K190" s="4">
        <v>0</v>
      </c>
      <c r="L190" s="9">
        <f>IF(J190=0,0,K190/J190)</f>
        <v>0</v>
      </c>
      <c r="M190" s="25">
        <v>6057.69</v>
      </c>
      <c r="N190" s="5" t="s">
        <v>692</v>
      </c>
      <c r="O190" s="5" t="s">
        <v>24</v>
      </c>
      <c r="P190" s="3">
        <v>6</v>
      </c>
      <c r="Q190" s="3">
        <v>8</v>
      </c>
      <c r="R190" s="5" t="b">
        <v>1</v>
      </c>
      <c r="S190" s="5" t="str">
        <f>IF(R190=TRUE,"Returning Customer","New Customer")</f>
        <v>Returning Customer</v>
      </c>
      <c r="T190" s="3">
        <v>9</v>
      </c>
      <c r="U190" s="12" t="str">
        <f>IF(T190&lt;=3,"Fast",IF(T190&lt;=7,"Standard",IF(T190&lt;=14,"Slow","Very Slow")))</f>
        <v>Slow</v>
      </c>
      <c r="V190" s="10" t="str">
        <f>IF(D190&lt;=25,"18-25",IF(D190&lt;=35,"26-35",IF(D190&lt;=45,"36-45",IF(D190&lt;=55,"46-55",IF(D190&lt;=65,"56-65","66-75")))))</f>
        <v>18-25</v>
      </c>
      <c r="W190" s="3">
        <v>5</v>
      </c>
    </row>
    <row r="191" spans="1:23">
      <c r="A191" s="5" t="s">
        <v>426</v>
      </c>
      <c r="B191" s="5" t="s">
        <v>427</v>
      </c>
      <c r="C191" s="6">
        <v>45320</v>
      </c>
      <c r="D191" s="8">
        <v>18</v>
      </c>
      <c r="E191" s="5" t="s">
        <v>122</v>
      </c>
      <c r="F191" s="5" t="s">
        <v>27</v>
      </c>
      <c r="G191" s="5" t="s">
        <v>53</v>
      </c>
      <c r="H191" s="7">
        <v>64.180000000000007</v>
      </c>
      <c r="I191" s="3">
        <v>3</v>
      </c>
      <c r="J191" s="33">
        <f>H191*I191</f>
        <v>192.54000000000002</v>
      </c>
      <c r="K191" s="4">
        <v>14.83</v>
      </c>
      <c r="L191" s="9">
        <f>IF(J191=0,0,K191/J191)</f>
        <v>7.7022956268827256E-2</v>
      </c>
      <c r="M191" s="25">
        <v>177.71</v>
      </c>
      <c r="N191" s="5" t="s">
        <v>327</v>
      </c>
      <c r="O191" s="5" t="s">
        <v>24</v>
      </c>
      <c r="P191" s="3">
        <v>20</v>
      </c>
      <c r="Q191" s="3">
        <v>11</v>
      </c>
      <c r="R191" s="5" t="b">
        <v>0</v>
      </c>
      <c r="S191" s="5" t="str">
        <f>IF(R191=TRUE,"Returning Customer","New Customer")</f>
        <v>New Customer</v>
      </c>
      <c r="T191" s="3">
        <v>5</v>
      </c>
      <c r="U191" s="12" t="str">
        <f>IF(T191&lt;=3,"Fast",IF(T191&lt;=7,"Standard",IF(T191&lt;=14,"Slow","Very Slow")))</f>
        <v>Standard</v>
      </c>
      <c r="V191" s="10" t="str">
        <f>IF(D191&lt;=25,"18-25",IF(D191&lt;=35,"26-35",IF(D191&lt;=45,"36-45",IF(D191&lt;=55,"46-55",IF(D191&lt;=65,"56-65","66-75")))))</f>
        <v>18-25</v>
      </c>
      <c r="W191" s="3">
        <v>3</v>
      </c>
    </row>
    <row r="192" spans="1:23">
      <c r="A192" s="5" t="s">
        <v>821</v>
      </c>
      <c r="B192" s="5" t="s">
        <v>822</v>
      </c>
      <c r="C192" s="6">
        <v>45255</v>
      </c>
      <c r="D192" s="8">
        <v>29</v>
      </c>
      <c r="E192" s="5" t="s">
        <v>20</v>
      </c>
      <c r="F192" s="5" t="s">
        <v>32</v>
      </c>
      <c r="G192" s="5" t="s">
        <v>28</v>
      </c>
      <c r="H192" s="7">
        <v>675.6</v>
      </c>
      <c r="I192" s="3">
        <v>1</v>
      </c>
      <c r="J192" s="33">
        <f>H192*I192</f>
        <v>675.6</v>
      </c>
      <c r="K192" s="4">
        <v>0</v>
      </c>
      <c r="L192" s="9">
        <f>IF(J192=0,0,K192/J192)</f>
        <v>0</v>
      </c>
      <c r="M192" s="25">
        <v>675.6</v>
      </c>
      <c r="N192" s="5" t="s">
        <v>692</v>
      </c>
      <c r="O192" s="5" t="s">
        <v>24</v>
      </c>
      <c r="P192" s="3">
        <v>4</v>
      </c>
      <c r="Q192" s="3">
        <v>10</v>
      </c>
      <c r="R192" s="5" t="b">
        <v>0</v>
      </c>
      <c r="S192" s="5" t="str">
        <f>IF(R192=TRUE,"Returning Customer","New Customer")</f>
        <v>New Customer</v>
      </c>
      <c r="T192" s="3">
        <v>2</v>
      </c>
      <c r="U192" s="12" t="str">
        <f>IF(T192&lt;=3,"Fast",IF(T192&lt;=7,"Standard",IF(T192&lt;=14,"Slow","Very Slow")))</f>
        <v>Fast</v>
      </c>
      <c r="V192" s="10" t="str">
        <f>IF(D192&lt;=25,"18-25",IF(D192&lt;=35,"26-35",IF(D192&lt;=45,"36-45",IF(D192&lt;=55,"46-55",IF(D192&lt;=65,"56-65","66-75")))))</f>
        <v>26-35</v>
      </c>
      <c r="W192" s="3">
        <v>5</v>
      </c>
    </row>
    <row r="193" spans="1:23">
      <c r="A193" s="5" t="s">
        <v>823</v>
      </c>
      <c r="B193" s="5" t="s">
        <v>824</v>
      </c>
      <c r="C193" s="6">
        <v>45101</v>
      </c>
      <c r="D193" s="8">
        <v>45</v>
      </c>
      <c r="E193" s="5" t="s">
        <v>36</v>
      </c>
      <c r="F193" s="5" t="s">
        <v>59</v>
      </c>
      <c r="G193" s="5" t="s">
        <v>22</v>
      </c>
      <c r="H193" s="7">
        <v>224.13</v>
      </c>
      <c r="I193" s="3">
        <v>1</v>
      </c>
      <c r="J193" s="33">
        <f>H193*I193</f>
        <v>224.13</v>
      </c>
      <c r="K193" s="4">
        <v>47.75</v>
      </c>
      <c r="L193" s="9">
        <f>IF(J193=0,0,K193/J193)</f>
        <v>0.21304600008923394</v>
      </c>
      <c r="M193" s="25">
        <v>176.38</v>
      </c>
      <c r="N193" s="5" t="s">
        <v>692</v>
      </c>
      <c r="O193" s="5" t="s">
        <v>33</v>
      </c>
      <c r="P193" s="3">
        <v>12</v>
      </c>
      <c r="Q193" s="3">
        <v>7</v>
      </c>
      <c r="R193" s="5" t="b">
        <v>1</v>
      </c>
      <c r="S193" s="5" t="str">
        <f>IF(R193=TRUE,"Returning Customer","New Customer")</f>
        <v>Returning Customer</v>
      </c>
      <c r="T193" s="3">
        <v>5</v>
      </c>
      <c r="U193" s="12" t="str">
        <f>IF(T193&lt;=3,"Fast",IF(T193&lt;=7,"Standard",IF(T193&lt;=14,"Slow","Very Slow")))</f>
        <v>Standard</v>
      </c>
      <c r="V193" s="10" t="str">
        <f>IF(D193&lt;=25,"18-25",IF(D193&lt;=35,"26-35",IF(D193&lt;=45,"36-45",IF(D193&lt;=55,"46-55",IF(D193&lt;=65,"56-65","66-75")))))</f>
        <v>36-45</v>
      </c>
      <c r="W193" s="3">
        <v>5</v>
      </c>
    </row>
    <row r="194" spans="1:23">
      <c r="A194" s="5" t="s">
        <v>825</v>
      </c>
      <c r="B194" s="5" t="s">
        <v>826</v>
      </c>
      <c r="C194" s="6">
        <v>44984</v>
      </c>
      <c r="D194" s="8">
        <v>37</v>
      </c>
      <c r="E194" s="5" t="s">
        <v>20</v>
      </c>
      <c r="F194" s="5" t="s">
        <v>73</v>
      </c>
      <c r="G194" s="5" t="s">
        <v>64</v>
      </c>
      <c r="H194" s="7">
        <v>2450.69</v>
      </c>
      <c r="I194" s="3">
        <v>1</v>
      </c>
      <c r="J194" s="33">
        <f>H194*I194</f>
        <v>2450.69</v>
      </c>
      <c r="K194" s="4">
        <v>0</v>
      </c>
      <c r="L194" s="9">
        <f>IF(J194=0,0,K194/J194)</f>
        <v>0</v>
      </c>
      <c r="M194" s="25">
        <v>2450.69</v>
      </c>
      <c r="N194" s="5" t="s">
        <v>692</v>
      </c>
      <c r="O194" s="5" t="s">
        <v>24</v>
      </c>
      <c r="P194" s="3">
        <v>31</v>
      </c>
      <c r="Q194" s="3">
        <v>8</v>
      </c>
      <c r="R194" s="5" t="b">
        <v>1</v>
      </c>
      <c r="S194" s="5" t="str">
        <f>IF(R194=TRUE,"Returning Customer","New Customer")</f>
        <v>Returning Customer</v>
      </c>
      <c r="T194" s="3">
        <v>6</v>
      </c>
      <c r="U194" s="12" t="str">
        <f>IF(T194&lt;=3,"Fast",IF(T194&lt;=7,"Standard",IF(T194&lt;=14,"Slow","Very Slow")))</f>
        <v>Standard</v>
      </c>
      <c r="V194" s="10" t="str">
        <f>IF(D194&lt;=25,"18-25",IF(D194&lt;=35,"26-35",IF(D194&lt;=45,"36-45",IF(D194&lt;=55,"46-55",IF(D194&lt;=65,"56-65","66-75")))))</f>
        <v>36-45</v>
      </c>
      <c r="W194" s="3">
        <v>4</v>
      </c>
    </row>
    <row r="195" spans="1:23">
      <c r="A195" s="5" t="s">
        <v>1335</v>
      </c>
      <c r="B195" s="5" t="s">
        <v>1336</v>
      </c>
      <c r="C195" s="6">
        <v>45077</v>
      </c>
      <c r="D195" s="8">
        <v>20</v>
      </c>
      <c r="E195" s="5" t="s">
        <v>36</v>
      </c>
      <c r="F195" s="5" t="s">
        <v>49</v>
      </c>
      <c r="G195" s="5" t="s">
        <v>53</v>
      </c>
      <c r="H195" s="7">
        <v>84.6</v>
      </c>
      <c r="I195" s="3">
        <v>3</v>
      </c>
      <c r="J195" s="33">
        <f>H195*I195</f>
        <v>253.79999999999998</v>
      </c>
      <c r="K195" s="4">
        <v>0</v>
      </c>
      <c r="L195" s="9">
        <f>IF(J195=0,0,K195/J195)</f>
        <v>0</v>
      </c>
      <c r="M195" s="25">
        <v>253.8</v>
      </c>
      <c r="N195" s="5" t="s">
        <v>1298</v>
      </c>
      <c r="O195" s="5" t="s">
        <v>24</v>
      </c>
      <c r="P195" s="3">
        <v>21</v>
      </c>
      <c r="Q195" s="3">
        <v>7</v>
      </c>
      <c r="R195" s="5" t="b">
        <v>0</v>
      </c>
      <c r="S195" s="5" t="str">
        <f>IF(R195=TRUE,"Returning Customer","New Customer")</f>
        <v>New Customer</v>
      </c>
      <c r="T195" s="3">
        <v>2</v>
      </c>
      <c r="U195" s="12" t="str">
        <f>IF(T195&lt;=3,"Fast",IF(T195&lt;=7,"Standard",IF(T195&lt;=14,"Slow","Very Slow")))</f>
        <v>Fast</v>
      </c>
      <c r="V195" s="10" t="str">
        <f>IF(D195&lt;=25,"18-25",IF(D195&lt;=35,"26-35",IF(D195&lt;=45,"36-45",IF(D195&lt;=55,"46-55",IF(D195&lt;=65,"56-65","66-75")))))</f>
        <v>18-25</v>
      </c>
      <c r="W195" s="3">
        <v>5</v>
      </c>
    </row>
    <row r="196" spans="1:23">
      <c r="A196" s="5" t="s">
        <v>1337</v>
      </c>
      <c r="B196" s="5" t="s">
        <v>1338</v>
      </c>
      <c r="C196" s="6">
        <v>45149</v>
      </c>
      <c r="D196" s="8">
        <v>37</v>
      </c>
      <c r="E196" s="5" t="s">
        <v>36</v>
      </c>
      <c r="F196" s="5" t="s">
        <v>83</v>
      </c>
      <c r="G196" s="5" t="s">
        <v>46</v>
      </c>
      <c r="H196" s="7">
        <v>561.6</v>
      </c>
      <c r="I196" s="3">
        <v>3</v>
      </c>
      <c r="J196" s="33">
        <f>H196*I196</f>
        <v>1684.8000000000002</v>
      </c>
      <c r="K196" s="4">
        <v>0</v>
      </c>
      <c r="L196" s="9">
        <f>IF(J196=0,0,K196/J196)</f>
        <v>0</v>
      </c>
      <c r="M196" s="25">
        <v>1684.8</v>
      </c>
      <c r="N196" s="5" t="s">
        <v>1298</v>
      </c>
      <c r="O196" s="5" t="s">
        <v>33</v>
      </c>
      <c r="P196" s="3">
        <v>16</v>
      </c>
      <c r="Q196" s="3">
        <v>9</v>
      </c>
      <c r="R196" s="5" t="b">
        <v>1</v>
      </c>
      <c r="S196" s="5" t="str">
        <f>IF(R196=TRUE,"Returning Customer","New Customer")</f>
        <v>Returning Customer</v>
      </c>
      <c r="T196" s="3">
        <v>4</v>
      </c>
      <c r="U196" s="12" t="str">
        <f>IF(T196&lt;=3,"Fast",IF(T196&lt;=7,"Standard",IF(T196&lt;=14,"Slow","Very Slow")))</f>
        <v>Standard</v>
      </c>
      <c r="V196" s="10" t="str">
        <f>IF(D196&lt;=25,"18-25",IF(D196&lt;=35,"26-35",IF(D196&lt;=45,"36-45",IF(D196&lt;=55,"46-55",IF(D196&lt;=65,"56-65","66-75")))))</f>
        <v>36-45</v>
      </c>
      <c r="W196" s="3">
        <v>2</v>
      </c>
    </row>
    <row r="197" spans="1:23">
      <c r="A197" s="5" t="s">
        <v>428</v>
      </c>
      <c r="B197" s="5" t="s">
        <v>429</v>
      </c>
      <c r="C197" s="6">
        <v>45007</v>
      </c>
      <c r="D197" s="8">
        <v>39</v>
      </c>
      <c r="E197" s="5" t="s">
        <v>36</v>
      </c>
      <c r="F197" s="5" t="s">
        <v>32</v>
      </c>
      <c r="G197" s="5" t="s">
        <v>53</v>
      </c>
      <c r="H197" s="7">
        <v>123.96</v>
      </c>
      <c r="I197" s="3">
        <v>3</v>
      </c>
      <c r="J197" s="33">
        <f>H197*I197</f>
        <v>371.88</v>
      </c>
      <c r="K197" s="4">
        <v>0</v>
      </c>
      <c r="L197" s="9">
        <f>IF(J197=0,0,K197/J197)</f>
        <v>0</v>
      </c>
      <c r="M197" s="25">
        <v>371.88</v>
      </c>
      <c r="N197" s="5" t="s">
        <v>327</v>
      </c>
      <c r="O197" s="5" t="s">
        <v>33</v>
      </c>
      <c r="P197" s="3">
        <v>9</v>
      </c>
      <c r="Q197" s="3">
        <v>15</v>
      </c>
      <c r="R197" s="5" t="b">
        <v>1</v>
      </c>
      <c r="S197" s="5" t="str">
        <f>IF(R197=TRUE,"Returning Customer","New Customer")</f>
        <v>Returning Customer</v>
      </c>
      <c r="T197" s="3">
        <v>3</v>
      </c>
      <c r="U197" s="12" t="str">
        <f>IF(T197&lt;=3,"Fast",IF(T197&lt;=7,"Standard",IF(T197&lt;=14,"Slow","Very Slow")))</f>
        <v>Fast</v>
      </c>
      <c r="V197" s="10" t="str">
        <f>IF(D197&lt;=25,"18-25",IF(D197&lt;=35,"26-35",IF(D197&lt;=45,"36-45",IF(D197&lt;=55,"46-55",IF(D197&lt;=65,"56-65","66-75")))))</f>
        <v>36-45</v>
      </c>
      <c r="W197" s="3">
        <v>5</v>
      </c>
    </row>
    <row r="198" spans="1:23">
      <c r="A198" s="5" t="s">
        <v>827</v>
      </c>
      <c r="B198" s="5" t="s">
        <v>828</v>
      </c>
      <c r="C198" s="6">
        <v>45159</v>
      </c>
      <c r="D198" s="8">
        <v>24</v>
      </c>
      <c r="E198" s="5" t="s">
        <v>36</v>
      </c>
      <c r="F198" s="5" t="s">
        <v>88</v>
      </c>
      <c r="G198" s="5" t="s">
        <v>115</v>
      </c>
      <c r="H198" s="7">
        <v>68.58</v>
      </c>
      <c r="I198" s="3">
        <v>4</v>
      </c>
      <c r="J198" s="33">
        <f>H198*I198</f>
        <v>274.32</v>
      </c>
      <c r="K198" s="4">
        <v>0</v>
      </c>
      <c r="L198" s="9">
        <f>IF(J198=0,0,K198/J198)</f>
        <v>0</v>
      </c>
      <c r="M198" s="25">
        <v>274.32</v>
      </c>
      <c r="N198" s="5" t="s">
        <v>692</v>
      </c>
      <c r="O198" s="5" t="s">
        <v>33</v>
      </c>
      <c r="P198" s="3">
        <v>22</v>
      </c>
      <c r="Q198" s="3">
        <v>14</v>
      </c>
      <c r="R198" s="5" t="b">
        <v>1</v>
      </c>
      <c r="S198" s="5" t="str">
        <f>IF(R198=TRUE,"Returning Customer","New Customer")</f>
        <v>Returning Customer</v>
      </c>
      <c r="T198" s="3">
        <v>3</v>
      </c>
      <c r="U198" s="12" t="str">
        <f>IF(T198&lt;=3,"Fast",IF(T198&lt;=7,"Standard",IF(T198&lt;=14,"Slow","Very Slow")))</f>
        <v>Fast</v>
      </c>
      <c r="V198" s="10" t="str">
        <f>IF(D198&lt;=25,"18-25",IF(D198&lt;=35,"26-35",IF(D198&lt;=45,"36-45",IF(D198&lt;=55,"46-55",IF(D198&lt;=65,"56-65","66-75")))))</f>
        <v>18-25</v>
      </c>
      <c r="W198" s="3">
        <v>2</v>
      </c>
    </row>
    <row r="199" spans="1:23">
      <c r="A199" s="5" t="s">
        <v>829</v>
      </c>
      <c r="B199" s="5" t="s">
        <v>830</v>
      </c>
      <c r="C199" s="6">
        <v>44928</v>
      </c>
      <c r="D199" s="8">
        <v>36</v>
      </c>
      <c r="E199" s="5" t="s">
        <v>20</v>
      </c>
      <c r="F199" s="5" t="s">
        <v>32</v>
      </c>
      <c r="G199" s="5" t="s">
        <v>53</v>
      </c>
      <c r="H199" s="7">
        <v>81.91</v>
      </c>
      <c r="I199" s="3">
        <v>1</v>
      </c>
      <c r="J199" s="33">
        <f>H199*I199</f>
        <v>81.91</v>
      </c>
      <c r="K199" s="4">
        <v>0</v>
      </c>
      <c r="L199" s="9">
        <f>IF(J199=0,0,K199/J199)</f>
        <v>0</v>
      </c>
      <c r="M199" s="25">
        <v>81.91</v>
      </c>
      <c r="N199" s="5" t="s">
        <v>692</v>
      </c>
      <c r="O199" s="5" t="s">
        <v>33</v>
      </c>
      <c r="P199" s="3">
        <v>8</v>
      </c>
      <c r="Q199" s="3">
        <v>14</v>
      </c>
      <c r="R199" s="5" t="b">
        <v>1</v>
      </c>
      <c r="S199" s="5" t="str">
        <f>IF(R199=TRUE,"Returning Customer","New Customer")</f>
        <v>Returning Customer</v>
      </c>
      <c r="T199" s="3">
        <v>6</v>
      </c>
      <c r="U199" s="12" t="str">
        <f>IF(T199&lt;=3,"Fast",IF(T199&lt;=7,"Standard",IF(T199&lt;=14,"Slow","Very Slow")))</f>
        <v>Standard</v>
      </c>
      <c r="V199" s="10" t="str">
        <f>IF(D199&lt;=25,"18-25",IF(D199&lt;=35,"26-35",IF(D199&lt;=45,"36-45",IF(D199&lt;=55,"46-55",IF(D199&lt;=65,"56-65","66-75")))))</f>
        <v>36-45</v>
      </c>
      <c r="W199" s="3">
        <v>4</v>
      </c>
    </row>
    <row r="200" spans="1:23">
      <c r="A200" s="5" t="s">
        <v>831</v>
      </c>
      <c r="B200" s="5" t="s">
        <v>832</v>
      </c>
      <c r="C200" s="6">
        <v>45296</v>
      </c>
      <c r="D200" s="8">
        <v>35</v>
      </c>
      <c r="E200" s="5" t="s">
        <v>20</v>
      </c>
      <c r="F200" s="5" t="s">
        <v>52</v>
      </c>
      <c r="G200" s="5" t="s">
        <v>56</v>
      </c>
      <c r="H200" s="7">
        <v>341.94</v>
      </c>
      <c r="I200" s="3">
        <v>2</v>
      </c>
      <c r="J200" s="33">
        <f>H200*I200</f>
        <v>683.88</v>
      </c>
      <c r="K200" s="4">
        <v>84.41</v>
      </c>
      <c r="L200" s="9">
        <f>IF(J200=0,0,K200/J200)</f>
        <v>0.1234280867988536</v>
      </c>
      <c r="M200" s="25">
        <v>599.47</v>
      </c>
      <c r="N200" s="5" t="s">
        <v>692</v>
      </c>
      <c r="O200" s="5" t="s">
        <v>33</v>
      </c>
      <c r="P200" s="3">
        <v>18</v>
      </c>
      <c r="Q200" s="3">
        <v>9</v>
      </c>
      <c r="R200" s="5" t="b">
        <v>1</v>
      </c>
      <c r="S200" s="5" t="str">
        <f>IF(R200=TRUE,"Returning Customer","New Customer")</f>
        <v>Returning Customer</v>
      </c>
      <c r="T200" s="3">
        <v>6</v>
      </c>
      <c r="U200" s="12" t="str">
        <f>IF(T200&lt;=3,"Fast",IF(T200&lt;=7,"Standard",IF(T200&lt;=14,"Slow","Very Slow")))</f>
        <v>Standard</v>
      </c>
      <c r="V200" s="10" t="str">
        <f>IF(D200&lt;=25,"18-25",IF(D200&lt;=35,"26-35",IF(D200&lt;=45,"36-45",IF(D200&lt;=55,"46-55",IF(D200&lt;=65,"56-65","66-75")))))</f>
        <v>26-35</v>
      </c>
      <c r="W200" s="3">
        <v>4</v>
      </c>
    </row>
    <row r="201" spans="1:23">
      <c r="A201" s="5" t="s">
        <v>833</v>
      </c>
      <c r="B201" s="5" t="s">
        <v>834</v>
      </c>
      <c r="C201" s="6">
        <v>45375</v>
      </c>
      <c r="D201" s="8">
        <v>21</v>
      </c>
      <c r="E201" s="5" t="s">
        <v>20</v>
      </c>
      <c r="F201" s="5" t="s">
        <v>88</v>
      </c>
      <c r="G201" s="5" t="s">
        <v>22</v>
      </c>
      <c r="H201" s="7">
        <v>96.08</v>
      </c>
      <c r="I201" s="3">
        <v>2</v>
      </c>
      <c r="J201" s="33">
        <f>H201*I201</f>
        <v>192.16</v>
      </c>
      <c r="K201" s="4">
        <v>0</v>
      </c>
      <c r="L201" s="9">
        <f>IF(J201=0,0,K201/J201)</f>
        <v>0</v>
      </c>
      <c r="M201" s="25">
        <v>192.16</v>
      </c>
      <c r="N201" s="5" t="s">
        <v>692</v>
      </c>
      <c r="O201" s="5" t="s">
        <v>24</v>
      </c>
      <c r="P201" s="3">
        <v>24</v>
      </c>
      <c r="Q201" s="3">
        <v>6</v>
      </c>
      <c r="R201" s="5" t="b">
        <v>1</v>
      </c>
      <c r="S201" s="5" t="str">
        <f>IF(R201=TRUE,"Returning Customer","New Customer")</f>
        <v>Returning Customer</v>
      </c>
      <c r="T201" s="3">
        <v>4</v>
      </c>
      <c r="U201" s="12" t="str">
        <f>IF(T201&lt;=3,"Fast",IF(T201&lt;=7,"Standard",IF(T201&lt;=14,"Slow","Very Slow")))</f>
        <v>Standard</v>
      </c>
      <c r="V201" s="10" t="str">
        <f>IF(D201&lt;=25,"18-25",IF(D201&lt;=35,"26-35",IF(D201&lt;=45,"36-45",IF(D201&lt;=55,"46-55",IF(D201&lt;=65,"56-65","66-75")))))</f>
        <v>18-25</v>
      </c>
      <c r="W201" s="3">
        <v>5</v>
      </c>
    </row>
    <row r="202" spans="1:23">
      <c r="A202" s="5" t="s">
        <v>835</v>
      </c>
      <c r="B202" s="5" t="s">
        <v>836</v>
      </c>
      <c r="C202" s="6">
        <v>45295</v>
      </c>
      <c r="D202" s="8">
        <v>39</v>
      </c>
      <c r="E202" s="5" t="s">
        <v>36</v>
      </c>
      <c r="F202" s="5" t="s">
        <v>88</v>
      </c>
      <c r="G202" s="5" t="s">
        <v>22</v>
      </c>
      <c r="H202" s="7">
        <v>341.14</v>
      </c>
      <c r="I202" s="3">
        <v>4</v>
      </c>
      <c r="J202" s="33">
        <f>H202*I202</f>
        <v>1364.56</v>
      </c>
      <c r="K202" s="4">
        <v>0</v>
      </c>
      <c r="L202" s="9">
        <f>IF(J202=0,0,K202/J202)</f>
        <v>0</v>
      </c>
      <c r="M202" s="25">
        <v>1364.56</v>
      </c>
      <c r="N202" s="5" t="s">
        <v>692</v>
      </c>
      <c r="O202" s="5" t="s">
        <v>33</v>
      </c>
      <c r="P202" s="3">
        <v>8</v>
      </c>
      <c r="Q202" s="3">
        <v>9</v>
      </c>
      <c r="R202" s="5" t="b">
        <v>1</v>
      </c>
      <c r="S202" s="5" t="str">
        <f>IF(R202=TRUE,"Returning Customer","New Customer")</f>
        <v>Returning Customer</v>
      </c>
      <c r="T202" s="3">
        <v>9</v>
      </c>
      <c r="U202" s="12" t="str">
        <f>IF(T202&lt;=3,"Fast",IF(T202&lt;=7,"Standard",IF(T202&lt;=14,"Slow","Very Slow")))</f>
        <v>Slow</v>
      </c>
      <c r="V202" s="10" t="str">
        <f>IF(D202&lt;=25,"18-25",IF(D202&lt;=35,"26-35",IF(D202&lt;=45,"36-45",IF(D202&lt;=55,"46-55",IF(D202&lt;=65,"56-65","66-75")))))</f>
        <v>36-45</v>
      </c>
      <c r="W202" s="3">
        <v>2</v>
      </c>
    </row>
    <row r="203" spans="1:23">
      <c r="A203" s="5" t="s">
        <v>127</v>
      </c>
      <c r="B203" s="5" t="s">
        <v>128</v>
      </c>
      <c r="C203" s="6">
        <v>45061</v>
      </c>
      <c r="D203" s="8">
        <v>41</v>
      </c>
      <c r="E203" s="5" t="s">
        <v>36</v>
      </c>
      <c r="F203" s="5" t="s">
        <v>21</v>
      </c>
      <c r="G203" s="5" t="s">
        <v>37</v>
      </c>
      <c r="H203" s="7">
        <v>92.5</v>
      </c>
      <c r="I203" s="3">
        <v>4</v>
      </c>
      <c r="J203" s="33">
        <f>H203*I203</f>
        <v>370</v>
      </c>
      <c r="K203" s="4">
        <v>0</v>
      </c>
      <c r="L203" s="9">
        <f>IF(J203=0,0,K203/J203)</f>
        <v>0</v>
      </c>
      <c r="M203" s="25">
        <v>370</v>
      </c>
      <c r="N203" s="5" t="s">
        <v>23</v>
      </c>
      <c r="O203" s="5" t="s">
        <v>24</v>
      </c>
      <c r="P203" s="3">
        <v>14</v>
      </c>
      <c r="Q203" s="3">
        <v>9</v>
      </c>
      <c r="R203" s="5" t="b">
        <v>1</v>
      </c>
      <c r="S203" s="5" t="str">
        <f>IF(R203=TRUE,"Returning Customer","New Customer")</f>
        <v>Returning Customer</v>
      </c>
      <c r="T203" s="3">
        <v>9</v>
      </c>
      <c r="U203" s="12" t="str">
        <f>IF(T203&lt;=3,"Fast",IF(T203&lt;=7,"Standard",IF(T203&lt;=14,"Slow","Very Slow")))</f>
        <v>Slow</v>
      </c>
      <c r="V203" s="10" t="str">
        <f>IF(D203&lt;=25,"18-25",IF(D203&lt;=35,"26-35",IF(D203&lt;=45,"36-45",IF(D203&lt;=55,"46-55",IF(D203&lt;=65,"56-65","66-75")))))</f>
        <v>36-45</v>
      </c>
      <c r="W203" s="3">
        <v>4</v>
      </c>
    </row>
    <row r="204" spans="1:23">
      <c r="A204" s="5" t="s">
        <v>430</v>
      </c>
      <c r="B204" s="5" t="s">
        <v>431</v>
      </c>
      <c r="C204" s="6">
        <v>45183</v>
      </c>
      <c r="D204" s="8">
        <v>47</v>
      </c>
      <c r="E204" s="5" t="s">
        <v>20</v>
      </c>
      <c r="F204" s="5" t="s">
        <v>73</v>
      </c>
      <c r="G204" s="5" t="s">
        <v>28</v>
      </c>
      <c r="H204" s="7">
        <v>149.18</v>
      </c>
      <c r="I204" s="3">
        <v>1</v>
      </c>
      <c r="J204" s="33">
        <f>H204*I204</f>
        <v>149.18</v>
      </c>
      <c r="K204" s="4">
        <v>0</v>
      </c>
      <c r="L204" s="9">
        <f>IF(J204=0,0,K204/J204)</f>
        <v>0</v>
      </c>
      <c r="M204" s="25">
        <v>149.18</v>
      </c>
      <c r="N204" s="5" t="s">
        <v>327</v>
      </c>
      <c r="O204" s="5" t="s">
        <v>24</v>
      </c>
      <c r="P204" s="3">
        <v>13</v>
      </c>
      <c r="Q204" s="3">
        <v>16</v>
      </c>
      <c r="R204" s="5" t="b">
        <v>1</v>
      </c>
      <c r="S204" s="5" t="str">
        <f>IF(R204=TRUE,"Returning Customer","New Customer")</f>
        <v>Returning Customer</v>
      </c>
      <c r="T204" s="3">
        <v>2</v>
      </c>
      <c r="U204" s="12" t="str">
        <f>IF(T204&lt;=3,"Fast",IF(T204&lt;=7,"Standard",IF(T204&lt;=14,"Slow","Very Slow")))</f>
        <v>Fast</v>
      </c>
      <c r="V204" s="10" t="str">
        <f>IF(D204&lt;=25,"18-25",IF(D204&lt;=35,"26-35",IF(D204&lt;=45,"36-45",IF(D204&lt;=55,"46-55",IF(D204&lt;=65,"56-65","66-75")))))</f>
        <v>46-55</v>
      </c>
      <c r="W204" s="3">
        <v>4</v>
      </c>
    </row>
    <row r="205" spans="1:23">
      <c r="A205" s="5" t="s">
        <v>837</v>
      </c>
      <c r="B205" s="5" t="s">
        <v>838</v>
      </c>
      <c r="C205" s="6">
        <v>45317</v>
      </c>
      <c r="D205" s="8">
        <v>47</v>
      </c>
      <c r="E205" s="5" t="s">
        <v>36</v>
      </c>
      <c r="F205" s="5" t="s">
        <v>27</v>
      </c>
      <c r="G205" s="5" t="s">
        <v>46</v>
      </c>
      <c r="H205" s="7">
        <v>345.35</v>
      </c>
      <c r="I205" s="3">
        <v>1</v>
      </c>
      <c r="J205" s="33">
        <f>H205*I205</f>
        <v>345.35</v>
      </c>
      <c r="K205" s="4">
        <v>0</v>
      </c>
      <c r="L205" s="9">
        <f>IF(J205=0,0,K205/J205)</f>
        <v>0</v>
      </c>
      <c r="M205" s="25">
        <v>345.35</v>
      </c>
      <c r="N205" s="5" t="s">
        <v>692</v>
      </c>
      <c r="O205" s="5" t="s">
        <v>24</v>
      </c>
      <c r="P205" s="3">
        <v>19</v>
      </c>
      <c r="Q205" s="3">
        <v>5</v>
      </c>
      <c r="R205" s="5" t="b">
        <v>0</v>
      </c>
      <c r="S205" s="5" t="str">
        <f>IF(R205=TRUE,"Returning Customer","New Customer")</f>
        <v>New Customer</v>
      </c>
      <c r="T205" s="3">
        <v>12</v>
      </c>
      <c r="U205" s="12" t="str">
        <f>IF(T205&lt;=3,"Fast",IF(T205&lt;=7,"Standard",IF(T205&lt;=14,"Slow","Very Slow")))</f>
        <v>Slow</v>
      </c>
      <c r="V205" s="10" t="str">
        <f>IF(D205&lt;=25,"18-25",IF(D205&lt;=35,"26-35",IF(D205&lt;=45,"36-45",IF(D205&lt;=55,"46-55",IF(D205&lt;=65,"56-65","66-75")))))</f>
        <v>46-55</v>
      </c>
      <c r="W205" s="3">
        <v>4</v>
      </c>
    </row>
    <row r="206" spans="1:23">
      <c r="A206" s="5" t="s">
        <v>129</v>
      </c>
      <c r="B206" s="5" t="s">
        <v>130</v>
      </c>
      <c r="C206" s="6">
        <v>45018</v>
      </c>
      <c r="D206" s="8">
        <v>18</v>
      </c>
      <c r="E206" s="5" t="s">
        <v>20</v>
      </c>
      <c r="F206" s="5" t="s">
        <v>59</v>
      </c>
      <c r="G206" s="5" t="s">
        <v>37</v>
      </c>
      <c r="H206" s="7">
        <v>159.18</v>
      </c>
      <c r="I206" s="3">
        <v>2</v>
      </c>
      <c r="J206" s="33">
        <f>H206*I206</f>
        <v>318.36</v>
      </c>
      <c r="K206" s="4">
        <v>0</v>
      </c>
      <c r="L206" s="9">
        <f>IF(J206=0,0,K206/J206)</f>
        <v>0</v>
      </c>
      <c r="M206" s="25">
        <v>318.36</v>
      </c>
      <c r="N206" s="5" t="s">
        <v>23</v>
      </c>
      <c r="O206" s="5" t="s">
        <v>33</v>
      </c>
      <c r="P206" s="3">
        <v>7</v>
      </c>
      <c r="Q206" s="3">
        <v>9</v>
      </c>
      <c r="R206" s="5" t="b">
        <v>0</v>
      </c>
      <c r="S206" s="5" t="str">
        <f>IF(R206=TRUE,"Returning Customer","New Customer")</f>
        <v>New Customer</v>
      </c>
      <c r="T206" s="3">
        <v>6</v>
      </c>
      <c r="U206" s="12" t="str">
        <f>IF(T206&lt;=3,"Fast",IF(T206&lt;=7,"Standard",IF(T206&lt;=14,"Slow","Very Slow")))</f>
        <v>Standard</v>
      </c>
      <c r="V206" s="10" t="str">
        <f>IF(D206&lt;=25,"18-25",IF(D206&lt;=35,"26-35",IF(D206&lt;=45,"36-45",IF(D206&lt;=55,"46-55",IF(D206&lt;=65,"56-65","66-75")))))</f>
        <v>18-25</v>
      </c>
      <c r="W206" s="3">
        <v>5</v>
      </c>
    </row>
    <row r="207" spans="1:23">
      <c r="A207" s="5" t="s">
        <v>131</v>
      </c>
      <c r="B207" s="5" t="s">
        <v>132</v>
      </c>
      <c r="C207" s="6">
        <v>45186</v>
      </c>
      <c r="D207" s="8">
        <v>23</v>
      </c>
      <c r="E207" s="5" t="s">
        <v>36</v>
      </c>
      <c r="F207" s="5" t="s">
        <v>32</v>
      </c>
      <c r="G207" s="5" t="s">
        <v>28</v>
      </c>
      <c r="H207" s="7">
        <v>167.61</v>
      </c>
      <c r="I207" s="3">
        <v>1</v>
      </c>
      <c r="J207" s="33">
        <f>H207*I207</f>
        <v>167.61</v>
      </c>
      <c r="K207" s="4">
        <v>0</v>
      </c>
      <c r="L207" s="9">
        <f>IF(J207=0,0,K207/J207)</f>
        <v>0</v>
      </c>
      <c r="M207" s="25">
        <v>167.61</v>
      </c>
      <c r="N207" s="5" t="s">
        <v>23</v>
      </c>
      <c r="O207" s="5" t="s">
        <v>29</v>
      </c>
      <c r="P207" s="3">
        <v>15</v>
      </c>
      <c r="Q207" s="3">
        <v>10</v>
      </c>
      <c r="R207" s="5" t="b">
        <v>0</v>
      </c>
      <c r="S207" s="5" t="str">
        <f>IF(R207=TRUE,"Returning Customer","New Customer")</f>
        <v>New Customer</v>
      </c>
      <c r="T207" s="3">
        <v>9</v>
      </c>
      <c r="U207" s="12" t="str">
        <f>IF(T207&lt;=3,"Fast",IF(T207&lt;=7,"Standard",IF(T207&lt;=14,"Slow","Very Slow")))</f>
        <v>Slow</v>
      </c>
      <c r="V207" s="10" t="str">
        <f>IF(D207&lt;=25,"18-25",IF(D207&lt;=35,"26-35",IF(D207&lt;=45,"36-45",IF(D207&lt;=55,"46-55",IF(D207&lt;=65,"56-65","66-75")))))</f>
        <v>18-25</v>
      </c>
      <c r="W207" s="3">
        <v>1</v>
      </c>
    </row>
    <row r="208" spans="1:23">
      <c r="A208" s="5" t="s">
        <v>432</v>
      </c>
      <c r="B208" s="5" t="s">
        <v>433</v>
      </c>
      <c r="C208" s="6">
        <v>44981</v>
      </c>
      <c r="D208" s="8">
        <v>41</v>
      </c>
      <c r="E208" s="5" t="s">
        <v>36</v>
      </c>
      <c r="F208" s="5" t="s">
        <v>59</v>
      </c>
      <c r="G208" s="5" t="s">
        <v>28</v>
      </c>
      <c r="H208" s="7">
        <v>549.61</v>
      </c>
      <c r="I208" s="3">
        <v>1</v>
      </c>
      <c r="J208" s="33">
        <f>H208*I208</f>
        <v>549.61</v>
      </c>
      <c r="K208" s="4">
        <v>151.72</v>
      </c>
      <c r="L208" s="9">
        <f>IF(J208=0,0,K208/J208)</f>
        <v>0.27605029020578226</v>
      </c>
      <c r="M208" s="25">
        <v>397.89</v>
      </c>
      <c r="N208" s="5" t="s">
        <v>327</v>
      </c>
      <c r="O208" s="5" t="s">
        <v>24</v>
      </c>
      <c r="P208" s="3">
        <v>11</v>
      </c>
      <c r="Q208" s="3">
        <v>7</v>
      </c>
      <c r="R208" s="5" t="b">
        <v>1</v>
      </c>
      <c r="S208" s="5" t="str">
        <f>IF(R208=TRUE,"Returning Customer","New Customer")</f>
        <v>Returning Customer</v>
      </c>
      <c r="T208" s="3">
        <v>9</v>
      </c>
      <c r="U208" s="12" t="str">
        <f>IF(T208&lt;=3,"Fast",IF(T208&lt;=7,"Standard",IF(T208&lt;=14,"Slow","Very Slow")))</f>
        <v>Slow</v>
      </c>
      <c r="V208" s="10" t="str">
        <f>IF(D208&lt;=25,"18-25",IF(D208&lt;=35,"26-35",IF(D208&lt;=45,"36-45",IF(D208&lt;=55,"46-55",IF(D208&lt;=65,"56-65","66-75")))))</f>
        <v>36-45</v>
      </c>
      <c r="W208" s="3">
        <v>5</v>
      </c>
    </row>
    <row r="209" spans="1:23">
      <c r="A209" s="5" t="s">
        <v>839</v>
      </c>
      <c r="B209" s="5" t="s">
        <v>840</v>
      </c>
      <c r="C209" s="6">
        <v>45372</v>
      </c>
      <c r="D209" s="8">
        <v>41</v>
      </c>
      <c r="E209" s="5" t="s">
        <v>20</v>
      </c>
      <c r="F209" s="5" t="s">
        <v>21</v>
      </c>
      <c r="G209" s="5" t="s">
        <v>53</v>
      </c>
      <c r="H209" s="7">
        <v>53.93</v>
      </c>
      <c r="I209" s="3">
        <v>2</v>
      </c>
      <c r="J209" s="33">
        <f>H209*I209</f>
        <v>107.86</v>
      </c>
      <c r="K209" s="4">
        <v>0</v>
      </c>
      <c r="L209" s="9">
        <f>IF(J209=0,0,K209/J209)</f>
        <v>0</v>
      </c>
      <c r="M209" s="25">
        <v>107.86</v>
      </c>
      <c r="N209" s="5" t="s">
        <v>692</v>
      </c>
      <c r="O209" s="5" t="s">
        <v>33</v>
      </c>
      <c r="P209" s="3">
        <v>25</v>
      </c>
      <c r="Q209" s="3">
        <v>11</v>
      </c>
      <c r="R209" s="5" t="b">
        <v>1</v>
      </c>
      <c r="S209" s="5" t="str">
        <f>IF(R209=TRUE,"Returning Customer","New Customer")</f>
        <v>Returning Customer</v>
      </c>
      <c r="T209" s="3">
        <v>6</v>
      </c>
      <c r="U209" s="12" t="str">
        <f>IF(T209&lt;=3,"Fast",IF(T209&lt;=7,"Standard",IF(T209&lt;=14,"Slow","Very Slow")))</f>
        <v>Standard</v>
      </c>
      <c r="V209" s="10" t="str">
        <f>IF(D209&lt;=25,"18-25",IF(D209&lt;=35,"26-35",IF(D209&lt;=45,"36-45",IF(D209&lt;=55,"46-55",IF(D209&lt;=65,"56-65","66-75")))))</f>
        <v>36-45</v>
      </c>
      <c r="W209" s="3">
        <v>5</v>
      </c>
    </row>
    <row r="210" spans="1:23">
      <c r="A210" s="5" t="s">
        <v>1339</v>
      </c>
      <c r="B210" s="5" t="s">
        <v>1340</v>
      </c>
      <c r="C210" s="6">
        <v>45247</v>
      </c>
      <c r="D210" s="8">
        <v>41</v>
      </c>
      <c r="E210" s="5" t="s">
        <v>36</v>
      </c>
      <c r="F210" s="5" t="s">
        <v>21</v>
      </c>
      <c r="G210" s="5" t="s">
        <v>46</v>
      </c>
      <c r="H210" s="7">
        <v>580.51</v>
      </c>
      <c r="I210" s="3">
        <v>3</v>
      </c>
      <c r="J210" s="33">
        <f>H210*I210</f>
        <v>1741.53</v>
      </c>
      <c r="K210" s="4">
        <v>0</v>
      </c>
      <c r="L210" s="9">
        <f>IF(J210=0,0,K210/J210)</f>
        <v>0</v>
      </c>
      <c r="M210" s="25">
        <v>1741.53</v>
      </c>
      <c r="N210" s="5" t="s">
        <v>1298</v>
      </c>
      <c r="O210" s="5" t="s">
        <v>33</v>
      </c>
      <c r="P210" s="3">
        <v>17</v>
      </c>
      <c r="Q210" s="3">
        <v>10</v>
      </c>
      <c r="R210" s="5" t="b">
        <v>1</v>
      </c>
      <c r="S210" s="5" t="str">
        <f>IF(R210=TRUE,"Returning Customer","New Customer")</f>
        <v>Returning Customer</v>
      </c>
      <c r="T210" s="3">
        <v>10</v>
      </c>
      <c r="U210" s="12" t="str">
        <f>IF(T210&lt;=3,"Fast",IF(T210&lt;=7,"Standard",IF(T210&lt;=14,"Slow","Very Slow")))</f>
        <v>Slow</v>
      </c>
      <c r="V210" s="10" t="str">
        <f>IF(D210&lt;=25,"18-25",IF(D210&lt;=35,"26-35",IF(D210&lt;=45,"36-45",IF(D210&lt;=55,"46-55",IF(D210&lt;=65,"56-65","66-75")))))</f>
        <v>36-45</v>
      </c>
      <c r="W210" s="3">
        <v>5</v>
      </c>
    </row>
    <row r="211" spans="1:23">
      <c r="A211" s="5" t="s">
        <v>133</v>
      </c>
      <c r="B211" s="5" t="s">
        <v>134</v>
      </c>
      <c r="C211" s="6">
        <v>45079</v>
      </c>
      <c r="D211" s="8">
        <v>75</v>
      </c>
      <c r="E211" s="5" t="s">
        <v>20</v>
      </c>
      <c r="F211" s="5" t="s">
        <v>21</v>
      </c>
      <c r="G211" s="5" t="s">
        <v>28</v>
      </c>
      <c r="H211" s="7">
        <v>279.45999999999998</v>
      </c>
      <c r="I211" s="3">
        <v>1</v>
      </c>
      <c r="J211" s="33">
        <f>H211*I211</f>
        <v>279.45999999999998</v>
      </c>
      <c r="K211" s="4">
        <v>0</v>
      </c>
      <c r="L211" s="9">
        <f>IF(J211=0,0,K211/J211)</f>
        <v>0</v>
      </c>
      <c r="M211" s="25">
        <v>279.45999999999998</v>
      </c>
      <c r="N211" s="5" t="s">
        <v>23</v>
      </c>
      <c r="O211" s="5" t="s">
        <v>29</v>
      </c>
      <c r="P211" s="3">
        <v>18</v>
      </c>
      <c r="Q211" s="3">
        <v>10</v>
      </c>
      <c r="R211" s="5" t="b">
        <v>1</v>
      </c>
      <c r="S211" s="5" t="str">
        <f>IF(R211=TRUE,"Returning Customer","New Customer")</f>
        <v>Returning Customer</v>
      </c>
      <c r="T211" s="3">
        <v>6</v>
      </c>
      <c r="U211" s="12" t="str">
        <f>IF(T211&lt;=3,"Fast",IF(T211&lt;=7,"Standard",IF(T211&lt;=14,"Slow","Very Slow")))</f>
        <v>Standard</v>
      </c>
      <c r="V211" s="10" t="str">
        <f>IF(D211&lt;=25,"18-25",IF(D211&lt;=35,"26-35",IF(D211&lt;=45,"36-45",IF(D211&lt;=55,"46-55",IF(D211&lt;=65,"56-65","66-75")))))</f>
        <v>66-75</v>
      </c>
      <c r="W211" s="3">
        <v>4</v>
      </c>
    </row>
    <row r="212" spans="1:23">
      <c r="A212" s="5" t="s">
        <v>841</v>
      </c>
      <c r="B212" s="5" t="s">
        <v>842</v>
      </c>
      <c r="C212" s="6">
        <v>45357</v>
      </c>
      <c r="D212" s="8">
        <v>41</v>
      </c>
      <c r="E212" s="5" t="s">
        <v>36</v>
      </c>
      <c r="F212" s="5" t="s">
        <v>21</v>
      </c>
      <c r="G212" s="5" t="s">
        <v>46</v>
      </c>
      <c r="H212" s="7">
        <v>629.32000000000005</v>
      </c>
      <c r="I212" s="3">
        <v>1</v>
      </c>
      <c r="J212" s="33">
        <f>H212*I212</f>
        <v>629.32000000000005</v>
      </c>
      <c r="K212" s="4">
        <v>0</v>
      </c>
      <c r="L212" s="9">
        <f>IF(J212=0,0,K212/J212)</f>
        <v>0</v>
      </c>
      <c r="M212" s="25">
        <v>629.32000000000005</v>
      </c>
      <c r="N212" s="5" t="s">
        <v>692</v>
      </c>
      <c r="O212" s="5" t="s">
        <v>29</v>
      </c>
      <c r="P212" s="3">
        <v>16</v>
      </c>
      <c r="Q212" s="3">
        <v>5</v>
      </c>
      <c r="R212" s="5" t="b">
        <v>0</v>
      </c>
      <c r="S212" s="5" t="str">
        <f>IF(R212=TRUE,"Returning Customer","New Customer")</f>
        <v>New Customer</v>
      </c>
      <c r="T212" s="3">
        <v>11</v>
      </c>
      <c r="U212" s="12" t="str">
        <f>IF(T212&lt;=3,"Fast",IF(T212&lt;=7,"Standard",IF(T212&lt;=14,"Slow","Very Slow")))</f>
        <v>Slow</v>
      </c>
      <c r="V212" s="10" t="str">
        <f>IF(D212&lt;=25,"18-25",IF(D212&lt;=35,"26-35",IF(D212&lt;=45,"36-45",IF(D212&lt;=55,"46-55",IF(D212&lt;=65,"56-65","66-75")))))</f>
        <v>36-45</v>
      </c>
      <c r="W212" s="3">
        <v>4</v>
      </c>
    </row>
    <row r="213" spans="1:23">
      <c r="A213" s="5" t="s">
        <v>434</v>
      </c>
      <c r="B213" s="5" t="s">
        <v>435</v>
      </c>
      <c r="C213" s="6">
        <v>45254</v>
      </c>
      <c r="D213" s="8">
        <v>48</v>
      </c>
      <c r="E213" s="5" t="s">
        <v>36</v>
      </c>
      <c r="F213" s="5" t="s">
        <v>76</v>
      </c>
      <c r="G213" s="5" t="s">
        <v>22</v>
      </c>
      <c r="H213" s="7">
        <v>99.34</v>
      </c>
      <c r="I213" s="3">
        <v>5</v>
      </c>
      <c r="J213" s="33">
        <f>H213*I213</f>
        <v>496.70000000000005</v>
      </c>
      <c r="K213" s="4">
        <v>0</v>
      </c>
      <c r="L213" s="9">
        <f>IF(J213=0,0,K213/J213)</f>
        <v>0</v>
      </c>
      <c r="M213" s="25">
        <v>496.7</v>
      </c>
      <c r="N213" s="5" t="s">
        <v>327</v>
      </c>
      <c r="O213" s="5" t="s">
        <v>24</v>
      </c>
      <c r="P213" s="3">
        <v>9</v>
      </c>
      <c r="Q213" s="3">
        <v>5</v>
      </c>
      <c r="R213" s="5" t="b">
        <v>1</v>
      </c>
      <c r="S213" s="5" t="str">
        <f>IF(R213=TRUE,"Returning Customer","New Customer")</f>
        <v>Returning Customer</v>
      </c>
      <c r="T213" s="3">
        <v>2</v>
      </c>
      <c r="U213" s="12" t="str">
        <f>IF(T213&lt;=3,"Fast",IF(T213&lt;=7,"Standard",IF(T213&lt;=14,"Slow","Very Slow")))</f>
        <v>Fast</v>
      </c>
      <c r="V213" s="10" t="str">
        <f>IF(D213&lt;=25,"18-25",IF(D213&lt;=35,"26-35",IF(D213&lt;=45,"36-45",IF(D213&lt;=55,"46-55",IF(D213&lt;=65,"56-65","66-75")))))</f>
        <v>46-55</v>
      </c>
      <c r="W213" s="3">
        <v>4</v>
      </c>
    </row>
    <row r="214" spans="1:23">
      <c r="A214" s="5" t="s">
        <v>436</v>
      </c>
      <c r="B214" s="5" t="s">
        <v>437</v>
      </c>
      <c r="C214" s="6">
        <v>45186</v>
      </c>
      <c r="D214" s="8">
        <v>46</v>
      </c>
      <c r="E214" s="5" t="s">
        <v>20</v>
      </c>
      <c r="F214" s="5" t="s">
        <v>73</v>
      </c>
      <c r="G214" s="5" t="s">
        <v>22</v>
      </c>
      <c r="H214" s="7">
        <v>208.7</v>
      </c>
      <c r="I214" s="3">
        <v>1</v>
      </c>
      <c r="J214" s="33">
        <f>H214*I214</f>
        <v>208.7</v>
      </c>
      <c r="K214" s="4">
        <v>0</v>
      </c>
      <c r="L214" s="9">
        <f>IF(J214=0,0,K214/J214)</f>
        <v>0</v>
      </c>
      <c r="M214" s="25">
        <v>208.7</v>
      </c>
      <c r="N214" s="5" t="s">
        <v>327</v>
      </c>
      <c r="O214" s="5" t="s">
        <v>24</v>
      </c>
      <c r="P214" s="3">
        <v>7</v>
      </c>
      <c r="Q214" s="3">
        <v>12</v>
      </c>
      <c r="R214" s="5" t="b">
        <v>1</v>
      </c>
      <c r="S214" s="5" t="str">
        <f>IF(R214=TRUE,"Returning Customer","New Customer")</f>
        <v>Returning Customer</v>
      </c>
      <c r="T214" s="3">
        <v>12</v>
      </c>
      <c r="U214" s="12" t="str">
        <f>IF(T214&lt;=3,"Fast",IF(T214&lt;=7,"Standard",IF(T214&lt;=14,"Slow","Very Slow")))</f>
        <v>Slow</v>
      </c>
      <c r="V214" s="10" t="str">
        <f>IF(D214&lt;=25,"18-25",IF(D214&lt;=35,"26-35",IF(D214&lt;=45,"36-45",IF(D214&lt;=55,"46-55",IF(D214&lt;=65,"56-65","66-75")))))</f>
        <v>46-55</v>
      </c>
      <c r="W214" s="3">
        <v>5</v>
      </c>
    </row>
    <row r="215" spans="1:23">
      <c r="A215" s="5" t="s">
        <v>438</v>
      </c>
      <c r="B215" s="5" t="s">
        <v>439</v>
      </c>
      <c r="C215" s="6">
        <v>45238</v>
      </c>
      <c r="D215" s="8">
        <v>42</v>
      </c>
      <c r="E215" s="5" t="s">
        <v>20</v>
      </c>
      <c r="F215" s="5" t="s">
        <v>76</v>
      </c>
      <c r="G215" s="5" t="s">
        <v>22</v>
      </c>
      <c r="H215" s="7">
        <v>136.28</v>
      </c>
      <c r="I215" s="3">
        <v>2</v>
      </c>
      <c r="J215" s="33">
        <f>H215*I215</f>
        <v>272.56</v>
      </c>
      <c r="K215" s="4">
        <v>0</v>
      </c>
      <c r="L215" s="9">
        <f>IF(J215=0,0,K215/J215)</f>
        <v>0</v>
      </c>
      <c r="M215" s="25">
        <v>272.56</v>
      </c>
      <c r="N215" s="5" t="s">
        <v>327</v>
      </c>
      <c r="O215" s="5" t="s">
        <v>33</v>
      </c>
      <c r="P215" s="3">
        <v>19</v>
      </c>
      <c r="Q215" s="3">
        <v>10</v>
      </c>
      <c r="R215" s="5" t="b">
        <v>1</v>
      </c>
      <c r="S215" s="5" t="str">
        <f>IF(R215=TRUE,"Returning Customer","New Customer")</f>
        <v>Returning Customer</v>
      </c>
      <c r="T215" s="3">
        <v>15</v>
      </c>
      <c r="U215" s="12" t="str">
        <f>IF(T215&lt;=3,"Fast",IF(T215&lt;=7,"Standard",IF(T215&lt;=14,"Slow","Very Slow")))</f>
        <v>Very Slow</v>
      </c>
      <c r="V215" s="10" t="str">
        <f>IF(D215&lt;=25,"18-25",IF(D215&lt;=35,"26-35",IF(D215&lt;=45,"36-45",IF(D215&lt;=55,"46-55",IF(D215&lt;=65,"56-65","66-75")))))</f>
        <v>36-45</v>
      </c>
      <c r="W215" s="3">
        <v>5</v>
      </c>
    </row>
    <row r="216" spans="1:23">
      <c r="A216" s="5" t="s">
        <v>440</v>
      </c>
      <c r="B216" s="5" t="s">
        <v>441</v>
      </c>
      <c r="C216" s="6">
        <v>45028</v>
      </c>
      <c r="D216" s="8">
        <v>31</v>
      </c>
      <c r="E216" s="5" t="s">
        <v>20</v>
      </c>
      <c r="F216" s="5" t="s">
        <v>32</v>
      </c>
      <c r="G216" s="5" t="s">
        <v>64</v>
      </c>
      <c r="H216" s="7">
        <v>2003.75</v>
      </c>
      <c r="I216" s="3">
        <v>1</v>
      </c>
      <c r="J216" s="33">
        <f>H216*I216</f>
        <v>2003.75</v>
      </c>
      <c r="K216" s="4">
        <v>0</v>
      </c>
      <c r="L216" s="9">
        <f>IF(J216=0,0,K216/J216)</f>
        <v>0</v>
      </c>
      <c r="M216" s="25">
        <v>2003.75</v>
      </c>
      <c r="N216" s="5" t="s">
        <v>327</v>
      </c>
      <c r="O216" s="5" t="s">
        <v>33</v>
      </c>
      <c r="P216" s="3">
        <v>3</v>
      </c>
      <c r="Q216" s="3">
        <v>8</v>
      </c>
      <c r="R216" s="5" t="b">
        <v>1</v>
      </c>
      <c r="S216" s="5" t="str">
        <f>IF(R216=TRUE,"Returning Customer","New Customer")</f>
        <v>Returning Customer</v>
      </c>
      <c r="T216" s="3">
        <v>6</v>
      </c>
      <c r="U216" s="12" t="str">
        <f>IF(T216&lt;=3,"Fast",IF(T216&lt;=7,"Standard",IF(T216&lt;=14,"Slow","Very Slow")))</f>
        <v>Standard</v>
      </c>
      <c r="V216" s="10" t="str">
        <f>IF(D216&lt;=25,"18-25",IF(D216&lt;=35,"26-35",IF(D216&lt;=45,"36-45",IF(D216&lt;=55,"46-55",IF(D216&lt;=65,"56-65","66-75")))))</f>
        <v>26-35</v>
      </c>
      <c r="W216" s="3">
        <v>4</v>
      </c>
    </row>
    <row r="217" spans="1:23">
      <c r="A217" s="5" t="s">
        <v>442</v>
      </c>
      <c r="B217" s="5" t="s">
        <v>443</v>
      </c>
      <c r="C217" s="6">
        <v>45005</v>
      </c>
      <c r="D217" s="8">
        <v>44</v>
      </c>
      <c r="E217" s="5" t="s">
        <v>36</v>
      </c>
      <c r="F217" s="5" t="s">
        <v>27</v>
      </c>
      <c r="G217" s="5" t="s">
        <v>53</v>
      </c>
      <c r="H217" s="7">
        <v>58.2</v>
      </c>
      <c r="I217" s="3">
        <v>1</v>
      </c>
      <c r="J217" s="33">
        <f>H217*I217</f>
        <v>58.2</v>
      </c>
      <c r="K217" s="4">
        <v>0</v>
      </c>
      <c r="L217" s="9">
        <f>IF(J217=0,0,K217/J217)</f>
        <v>0</v>
      </c>
      <c r="M217" s="25">
        <v>58.2</v>
      </c>
      <c r="N217" s="5" t="s">
        <v>327</v>
      </c>
      <c r="O217" s="5" t="s">
        <v>33</v>
      </c>
      <c r="P217" s="3">
        <v>8</v>
      </c>
      <c r="Q217" s="3">
        <v>8</v>
      </c>
      <c r="R217" s="5" t="b">
        <v>1</v>
      </c>
      <c r="S217" s="5" t="str">
        <f>IF(R217=TRUE,"Returning Customer","New Customer")</f>
        <v>Returning Customer</v>
      </c>
      <c r="T217" s="3">
        <v>9</v>
      </c>
      <c r="U217" s="12" t="str">
        <f>IF(T217&lt;=3,"Fast",IF(T217&lt;=7,"Standard",IF(T217&lt;=14,"Slow","Very Slow")))</f>
        <v>Slow</v>
      </c>
      <c r="V217" s="10" t="str">
        <f>IF(D217&lt;=25,"18-25",IF(D217&lt;=35,"26-35",IF(D217&lt;=45,"36-45",IF(D217&lt;=55,"46-55",IF(D217&lt;=65,"56-65","66-75")))))</f>
        <v>36-45</v>
      </c>
      <c r="W217" s="3">
        <v>5</v>
      </c>
    </row>
    <row r="218" spans="1:23">
      <c r="A218" s="5" t="s">
        <v>135</v>
      </c>
      <c r="B218" s="5" t="s">
        <v>136</v>
      </c>
      <c r="C218" s="6">
        <v>45118</v>
      </c>
      <c r="D218" s="8">
        <v>25</v>
      </c>
      <c r="E218" s="5" t="s">
        <v>36</v>
      </c>
      <c r="F218" s="5" t="s">
        <v>59</v>
      </c>
      <c r="G218" s="5" t="s">
        <v>115</v>
      </c>
      <c r="H218" s="7">
        <v>107.69</v>
      </c>
      <c r="I218" s="3">
        <v>4</v>
      </c>
      <c r="J218" s="33">
        <f>H218*I218</f>
        <v>430.76</v>
      </c>
      <c r="K218" s="4">
        <v>11.57</v>
      </c>
      <c r="L218" s="9">
        <f>IF(J218=0,0,K218/J218)</f>
        <v>2.6859504132231406E-2</v>
      </c>
      <c r="M218" s="25">
        <v>419.19</v>
      </c>
      <c r="N218" s="5" t="s">
        <v>23</v>
      </c>
      <c r="O218" s="5" t="s">
        <v>33</v>
      </c>
      <c r="P218" s="3">
        <v>13</v>
      </c>
      <c r="Q218" s="3">
        <v>11</v>
      </c>
      <c r="R218" s="5" t="b">
        <v>1</v>
      </c>
      <c r="S218" s="5" t="str">
        <f>IF(R218=TRUE,"Returning Customer","New Customer")</f>
        <v>Returning Customer</v>
      </c>
      <c r="T218" s="3">
        <v>6</v>
      </c>
      <c r="U218" s="12" t="str">
        <f>IF(T218&lt;=3,"Fast",IF(T218&lt;=7,"Standard",IF(T218&lt;=14,"Slow","Very Slow")))</f>
        <v>Standard</v>
      </c>
      <c r="V218" s="10" t="str">
        <f>IF(D218&lt;=25,"18-25",IF(D218&lt;=35,"26-35",IF(D218&lt;=45,"36-45",IF(D218&lt;=55,"46-55",IF(D218&lt;=65,"56-65","66-75")))))</f>
        <v>18-25</v>
      </c>
      <c r="W218" s="3">
        <v>5</v>
      </c>
    </row>
    <row r="219" spans="1:23">
      <c r="A219" s="5" t="s">
        <v>444</v>
      </c>
      <c r="B219" s="5" t="s">
        <v>445</v>
      </c>
      <c r="C219" s="6">
        <v>45317</v>
      </c>
      <c r="D219" s="8">
        <v>32</v>
      </c>
      <c r="E219" s="5" t="s">
        <v>20</v>
      </c>
      <c r="F219" s="5" t="s">
        <v>49</v>
      </c>
      <c r="G219" s="5" t="s">
        <v>46</v>
      </c>
      <c r="H219" s="7">
        <v>875.66</v>
      </c>
      <c r="I219" s="3">
        <v>1</v>
      </c>
      <c r="J219" s="33">
        <f>H219*I219</f>
        <v>875.66</v>
      </c>
      <c r="K219" s="4">
        <v>0</v>
      </c>
      <c r="L219" s="9">
        <f>IF(J219=0,0,K219/J219)</f>
        <v>0</v>
      </c>
      <c r="M219" s="25">
        <v>875.66</v>
      </c>
      <c r="N219" s="5" t="s">
        <v>327</v>
      </c>
      <c r="O219" s="5" t="s">
        <v>24</v>
      </c>
      <c r="P219" s="3">
        <v>17</v>
      </c>
      <c r="Q219" s="3">
        <v>17</v>
      </c>
      <c r="R219" s="5" t="b">
        <v>1</v>
      </c>
      <c r="S219" s="5" t="str">
        <f>IF(R219=TRUE,"Returning Customer","New Customer")</f>
        <v>Returning Customer</v>
      </c>
      <c r="T219" s="3">
        <v>2</v>
      </c>
      <c r="U219" s="12" t="str">
        <f>IF(T219&lt;=3,"Fast",IF(T219&lt;=7,"Standard",IF(T219&lt;=14,"Slow","Very Slow")))</f>
        <v>Fast</v>
      </c>
      <c r="V219" s="10" t="str">
        <f>IF(D219&lt;=25,"18-25",IF(D219&lt;=35,"26-35",IF(D219&lt;=45,"36-45",IF(D219&lt;=55,"46-55",IF(D219&lt;=65,"56-65","66-75")))))</f>
        <v>26-35</v>
      </c>
      <c r="W219" s="3">
        <v>5</v>
      </c>
    </row>
    <row r="220" spans="1:23">
      <c r="A220" s="5" t="s">
        <v>843</v>
      </c>
      <c r="B220" s="5" t="s">
        <v>844</v>
      </c>
      <c r="C220" s="6">
        <v>45009</v>
      </c>
      <c r="D220" s="8">
        <v>29</v>
      </c>
      <c r="E220" s="5" t="s">
        <v>36</v>
      </c>
      <c r="F220" s="5" t="s">
        <v>73</v>
      </c>
      <c r="G220" s="5" t="s">
        <v>53</v>
      </c>
      <c r="H220" s="7">
        <v>30.85</v>
      </c>
      <c r="I220" s="3">
        <v>1</v>
      </c>
      <c r="J220" s="33">
        <f>H220*I220</f>
        <v>30.85</v>
      </c>
      <c r="K220" s="4">
        <v>0</v>
      </c>
      <c r="L220" s="9">
        <f>IF(J220=0,0,K220/J220)</f>
        <v>0</v>
      </c>
      <c r="M220" s="25">
        <v>30.85</v>
      </c>
      <c r="N220" s="5" t="s">
        <v>692</v>
      </c>
      <c r="O220" s="5" t="s">
        <v>33</v>
      </c>
      <c r="P220" s="3">
        <v>5</v>
      </c>
      <c r="Q220" s="3">
        <v>10</v>
      </c>
      <c r="R220" s="5" t="b">
        <v>0</v>
      </c>
      <c r="S220" s="5" t="str">
        <f>IF(R220=TRUE,"Returning Customer","New Customer")</f>
        <v>New Customer</v>
      </c>
      <c r="T220" s="3">
        <v>3</v>
      </c>
      <c r="U220" s="12" t="str">
        <f>IF(T220&lt;=3,"Fast",IF(T220&lt;=7,"Standard",IF(T220&lt;=14,"Slow","Very Slow")))</f>
        <v>Fast</v>
      </c>
      <c r="V220" s="10" t="str">
        <f>IF(D220&lt;=25,"18-25",IF(D220&lt;=35,"26-35",IF(D220&lt;=45,"36-45",IF(D220&lt;=55,"46-55",IF(D220&lt;=65,"56-65","66-75")))))</f>
        <v>26-35</v>
      </c>
      <c r="W220" s="3">
        <v>5</v>
      </c>
    </row>
    <row r="221" spans="1:23">
      <c r="A221" s="5" t="s">
        <v>845</v>
      </c>
      <c r="B221" s="5" t="s">
        <v>846</v>
      </c>
      <c r="C221" s="6">
        <v>45203</v>
      </c>
      <c r="D221" s="8">
        <v>35</v>
      </c>
      <c r="E221" s="5" t="s">
        <v>36</v>
      </c>
      <c r="F221" s="5" t="s">
        <v>73</v>
      </c>
      <c r="G221" s="5" t="s">
        <v>28</v>
      </c>
      <c r="H221" s="7">
        <v>288.72000000000003</v>
      </c>
      <c r="I221" s="3">
        <v>2</v>
      </c>
      <c r="J221" s="33">
        <f>H221*I221</f>
        <v>577.44000000000005</v>
      </c>
      <c r="K221" s="4">
        <v>59.37</v>
      </c>
      <c r="L221" s="9">
        <f>IF(J221=0,0,K221/J221)</f>
        <v>0.10281587697423107</v>
      </c>
      <c r="M221" s="25">
        <v>518.07000000000005</v>
      </c>
      <c r="N221" s="5" t="s">
        <v>692</v>
      </c>
      <c r="O221" s="5" t="s">
        <v>33</v>
      </c>
      <c r="P221" s="3">
        <v>12</v>
      </c>
      <c r="Q221" s="3">
        <v>11</v>
      </c>
      <c r="R221" s="5" t="b">
        <v>1</v>
      </c>
      <c r="S221" s="5" t="str">
        <f>IF(R221=TRUE,"Returning Customer","New Customer")</f>
        <v>Returning Customer</v>
      </c>
      <c r="T221" s="3">
        <v>7</v>
      </c>
      <c r="U221" s="12" t="str">
        <f>IF(T221&lt;=3,"Fast",IF(T221&lt;=7,"Standard",IF(T221&lt;=14,"Slow","Very Slow")))</f>
        <v>Standard</v>
      </c>
      <c r="V221" s="10" t="str">
        <f>IF(D221&lt;=25,"18-25",IF(D221&lt;=35,"26-35",IF(D221&lt;=45,"36-45",IF(D221&lt;=55,"46-55",IF(D221&lt;=65,"56-65","66-75")))))</f>
        <v>26-35</v>
      </c>
      <c r="W221" s="3">
        <v>5</v>
      </c>
    </row>
    <row r="222" spans="1:23">
      <c r="A222" s="5" t="s">
        <v>847</v>
      </c>
      <c r="B222" s="5" t="s">
        <v>848</v>
      </c>
      <c r="C222" s="6">
        <v>45325</v>
      </c>
      <c r="D222" s="8">
        <v>62</v>
      </c>
      <c r="E222" s="5" t="s">
        <v>20</v>
      </c>
      <c r="F222" s="5" t="s">
        <v>88</v>
      </c>
      <c r="G222" s="5" t="s">
        <v>46</v>
      </c>
      <c r="H222" s="7">
        <v>953.88</v>
      </c>
      <c r="I222" s="3">
        <v>2</v>
      </c>
      <c r="J222" s="33">
        <f>H222*I222</f>
        <v>1907.76</v>
      </c>
      <c r="K222" s="4">
        <v>0</v>
      </c>
      <c r="L222" s="9">
        <f>IF(J222=0,0,K222/J222)</f>
        <v>0</v>
      </c>
      <c r="M222" s="25">
        <v>1907.76</v>
      </c>
      <c r="N222" s="5" t="s">
        <v>692</v>
      </c>
      <c r="O222" s="5" t="s">
        <v>33</v>
      </c>
      <c r="P222" s="3">
        <v>14</v>
      </c>
      <c r="Q222" s="3">
        <v>11</v>
      </c>
      <c r="R222" s="5" t="b">
        <v>1</v>
      </c>
      <c r="S222" s="5" t="str">
        <f>IF(R222=TRUE,"Returning Customer","New Customer")</f>
        <v>Returning Customer</v>
      </c>
      <c r="T222" s="3">
        <v>3</v>
      </c>
      <c r="U222" s="12" t="str">
        <f>IF(T222&lt;=3,"Fast",IF(T222&lt;=7,"Standard",IF(T222&lt;=14,"Slow","Very Slow")))</f>
        <v>Fast</v>
      </c>
      <c r="V222" s="10" t="str">
        <f>IF(D222&lt;=25,"18-25",IF(D222&lt;=35,"26-35",IF(D222&lt;=45,"36-45",IF(D222&lt;=55,"46-55",IF(D222&lt;=65,"56-65","66-75")))))</f>
        <v>56-65</v>
      </c>
      <c r="W222" s="3">
        <v>5</v>
      </c>
    </row>
    <row r="223" spans="1:23">
      <c r="A223" s="5" t="s">
        <v>446</v>
      </c>
      <c r="B223" s="5" t="s">
        <v>447</v>
      </c>
      <c r="C223" s="6">
        <v>45198</v>
      </c>
      <c r="D223" s="8">
        <v>18</v>
      </c>
      <c r="E223" s="5" t="s">
        <v>20</v>
      </c>
      <c r="F223" s="5" t="s">
        <v>59</v>
      </c>
      <c r="G223" s="5" t="s">
        <v>46</v>
      </c>
      <c r="H223" s="7">
        <v>205.74</v>
      </c>
      <c r="I223" s="3">
        <v>1</v>
      </c>
      <c r="J223" s="33">
        <f>H223*I223</f>
        <v>205.74</v>
      </c>
      <c r="K223" s="4">
        <v>12.23</v>
      </c>
      <c r="L223" s="9">
        <f>IF(J223=0,0,K223/J223)</f>
        <v>5.9443958394089627E-2</v>
      </c>
      <c r="M223" s="25">
        <v>193.51</v>
      </c>
      <c r="N223" s="5" t="s">
        <v>327</v>
      </c>
      <c r="O223" s="5" t="s">
        <v>24</v>
      </c>
      <c r="P223" s="3">
        <v>12</v>
      </c>
      <c r="Q223" s="3">
        <v>17</v>
      </c>
      <c r="R223" s="5" t="b">
        <v>1</v>
      </c>
      <c r="S223" s="5" t="str">
        <f>IF(R223=TRUE,"Returning Customer","New Customer")</f>
        <v>Returning Customer</v>
      </c>
      <c r="T223" s="3">
        <v>17</v>
      </c>
      <c r="U223" s="12" t="str">
        <f>IF(T223&lt;=3,"Fast",IF(T223&lt;=7,"Standard",IF(T223&lt;=14,"Slow","Very Slow")))</f>
        <v>Very Slow</v>
      </c>
      <c r="V223" s="10" t="str">
        <f>IF(D223&lt;=25,"18-25",IF(D223&lt;=35,"26-35",IF(D223&lt;=45,"36-45",IF(D223&lt;=55,"46-55",IF(D223&lt;=65,"56-65","66-75")))))</f>
        <v>18-25</v>
      </c>
      <c r="W223" s="3">
        <v>2</v>
      </c>
    </row>
    <row r="224" spans="1:23">
      <c r="A224" s="5" t="s">
        <v>849</v>
      </c>
      <c r="B224" s="5" t="s">
        <v>850</v>
      </c>
      <c r="C224" s="6">
        <v>44927</v>
      </c>
      <c r="D224" s="8">
        <v>43</v>
      </c>
      <c r="E224" s="5" t="s">
        <v>36</v>
      </c>
      <c r="F224" s="5" t="s">
        <v>32</v>
      </c>
      <c r="G224" s="5" t="s">
        <v>37</v>
      </c>
      <c r="H224" s="7">
        <v>122.46</v>
      </c>
      <c r="I224" s="3">
        <v>1</v>
      </c>
      <c r="J224" s="33">
        <f>H224*I224</f>
        <v>122.46</v>
      </c>
      <c r="K224" s="4">
        <v>0</v>
      </c>
      <c r="L224" s="9">
        <f>IF(J224=0,0,K224/J224)</f>
        <v>0</v>
      </c>
      <c r="M224" s="25">
        <v>122.46</v>
      </c>
      <c r="N224" s="5" t="s">
        <v>692</v>
      </c>
      <c r="O224" s="5" t="s">
        <v>33</v>
      </c>
      <c r="P224" s="3">
        <v>14</v>
      </c>
      <c r="Q224" s="3">
        <v>9</v>
      </c>
      <c r="R224" s="5" t="b">
        <v>1</v>
      </c>
      <c r="S224" s="5" t="str">
        <f>IF(R224=TRUE,"Returning Customer","New Customer")</f>
        <v>Returning Customer</v>
      </c>
      <c r="T224" s="3">
        <v>9</v>
      </c>
      <c r="U224" s="12" t="str">
        <f>IF(T224&lt;=3,"Fast",IF(T224&lt;=7,"Standard",IF(T224&lt;=14,"Slow","Very Slow")))</f>
        <v>Slow</v>
      </c>
      <c r="V224" s="10" t="str">
        <f>IF(D224&lt;=25,"18-25",IF(D224&lt;=35,"26-35",IF(D224&lt;=45,"36-45",IF(D224&lt;=55,"46-55",IF(D224&lt;=65,"56-65","66-75")))))</f>
        <v>36-45</v>
      </c>
      <c r="W224" s="3">
        <v>5</v>
      </c>
    </row>
    <row r="225" spans="1:23">
      <c r="A225" s="5" t="s">
        <v>137</v>
      </c>
      <c r="B225" s="5" t="s">
        <v>138</v>
      </c>
      <c r="C225" s="6">
        <v>45233</v>
      </c>
      <c r="D225" s="8">
        <v>18</v>
      </c>
      <c r="E225" s="5" t="s">
        <v>36</v>
      </c>
      <c r="F225" s="5" t="s">
        <v>59</v>
      </c>
      <c r="G225" s="5" t="s">
        <v>46</v>
      </c>
      <c r="H225" s="7">
        <v>1071.7</v>
      </c>
      <c r="I225" s="3">
        <v>4</v>
      </c>
      <c r="J225" s="33">
        <f>H225*I225</f>
        <v>4286.8</v>
      </c>
      <c r="K225" s="4">
        <v>0</v>
      </c>
      <c r="L225" s="9">
        <f>IF(J225=0,0,K225/J225)</f>
        <v>0</v>
      </c>
      <c r="M225" s="25">
        <v>4286.8</v>
      </c>
      <c r="N225" s="5" t="s">
        <v>23</v>
      </c>
      <c r="O225" s="5" t="s">
        <v>24</v>
      </c>
      <c r="P225" s="3">
        <v>9</v>
      </c>
      <c r="Q225" s="3">
        <v>4</v>
      </c>
      <c r="R225" s="5" t="b">
        <v>0</v>
      </c>
      <c r="S225" s="5" t="str">
        <f>IF(R225=TRUE,"Returning Customer","New Customer")</f>
        <v>New Customer</v>
      </c>
      <c r="T225" s="3">
        <v>11</v>
      </c>
      <c r="U225" s="12" t="str">
        <f>IF(T225&lt;=3,"Fast",IF(T225&lt;=7,"Standard",IF(T225&lt;=14,"Slow","Very Slow")))</f>
        <v>Slow</v>
      </c>
      <c r="V225" s="10" t="str">
        <f>IF(D225&lt;=25,"18-25",IF(D225&lt;=35,"26-35",IF(D225&lt;=45,"36-45",IF(D225&lt;=55,"46-55",IF(D225&lt;=65,"56-65","66-75")))))</f>
        <v>18-25</v>
      </c>
      <c r="W225" s="3">
        <v>4</v>
      </c>
    </row>
    <row r="226" spans="1:23">
      <c r="A226" s="5" t="s">
        <v>851</v>
      </c>
      <c r="B226" s="5" t="s">
        <v>852</v>
      </c>
      <c r="C226" s="6">
        <v>45092</v>
      </c>
      <c r="D226" s="8">
        <v>29</v>
      </c>
      <c r="E226" s="5" t="s">
        <v>20</v>
      </c>
      <c r="F226" s="5" t="s">
        <v>21</v>
      </c>
      <c r="G226" s="5" t="s">
        <v>46</v>
      </c>
      <c r="H226" s="7">
        <v>377.34</v>
      </c>
      <c r="I226" s="3">
        <v>3</v>
      </c>
      <c r="J226" s="33">
        <f>H226*I226</f>
        <v>1132.02</v>
      </c>
      <c r="K226" s="4">
        <v>0</v>
      </c>
      <c r="L226" s="9">
        <f>IF(J226=0,0,K226/J226)</f>
        <v>0</v>
      </c>
      <c r="M226" s="25">
        <v>1132.02</v>
      </c>
      <c r="N226" s="5" t="s">
        <v>692</v>
      </c>
      <c r="O226" s="5" t="s">
        <v>33</v>
      </c>
      <c r="P226" s="3">
        <v>22</v>
      </c>
      <c r="Q226" s="3">
        <v>4</v>
      </c>
      <c r="R226" s="5" t="b">
        <v>0</v>
      </c>
      <c r="S226" s="5" t="str">
        <f>IF(R226=TRUE,"Returning Customer","New Customer")</f>
        <v>New Customer</v>
      </c>
      <c r="T226" s="3">
        <v>3</v>
      </c>
      <c r="U226" s="12" t="str">
        <f>IF(T226&lt;=3,"Fast",IF(T226&lt;=7,"Standard",IF(T226&lt;=14,"Slow","Very Slow")))</f>
        <v>Fast</v>
      </c>
      <c r="V226" s="10" t="str">
        <f>IF(D226&lt;=25,"18-25",IF(D226&lt;=35,"26-35",IF(D226&lt;=45,"36-45",IF(D226&lt;=55,"46-55",IF(D226&lt;=65,"56-65","66-75")))))</f>
        <v>26-35</v>
      </c>
      <c r="W226" s="3">
        <v>4</v>
      </c>
    </row>
    <row r="227" spans="1:23">
      <c r="A227" s="5" t="s">
        <v>139</v>
      </c>
      <c r="B227" s="5" t="s">
        <v>140</v>
      </c>
      <c r="C227" s="6">
        <v>45177</v>
      </c>
      <c r="D227" s="8">
        <v>48</v>
      </c>
      <c r="E227" s="5" t="s">
        <v>20</v>
      </c>
      <c r="F227" s="5" t="s">
        <v>52</v>
      </c>
      <c r="G227" s="5" t="s">
        <v>56</v>
      </c>
      <c r="H227" s="7">
        <v>592.09</v>
      </c>
      <c r="I227" s="3">
        <v>1</v>
      </c>
      <c r="J227" s="33">
        <f>H227*I227</f>
        <v>592.09</v>
      </c>
      <c r="K227" s="4">
        <v>0</v>
      </c>
      <c r="L227" s="9">
        <f>IF(J227=0,0,K227/J227)</f>
        <v>0</v>
      </c>
      <c r="M227" s="25">
        <v>592.09</v>
      </c>
      <c r="N227" s="5" t="s">
        <v>23</v>
      </c>
      <c r="O227" s="5" t="s">
        <v>29</v>
      </c>
      <c r="P227" s="3">
        <v>16</v>
      </c>
      <c r="Q227" s="3">
        <v>8</v>
      </c>
      <c r="R227" s="5" t="b">
        <v>0</v>
      </c>
      <c r="S227" s="5" t="str">
        <f>IF(R227=TRUE,"Returning Customer","New Customer")</f>
        <v>New Customer</v>
      </c>
      <c r="T227" s="3">
        <v>5</v>
      </c>
      <c r="U227" s="12" t="str">
        <f>IF(T227&lt;=3,"Fast",IF(T227&lt;=7,"Standard",IF(T227&lt;=14,"Slow","Very Slow")))</f>
        <v>Standard</v>
      </c>
      <c r="V227" s="10" t="str">
        <f>IF(D227&lt;=25,"18-25",IF(D227&lt;=35,"26-35",IF(D227&lt;=45,"36-45",IF(D227&lt;=55,"46-55",IF(D227&lt;=65,"56-65","66-75")))))</f>
        <v>46-55</v>
      </c>
      <c r="W227" s="3">
        <v>5</v>
      </c>
    </row>
    <row r="228" spans="1:23">
      <c r="A228" s="5" t="s">
        <v>141</v>
      </c>
      <c r="B228" s="5" t="s">
        <v>142</v>
      </c>
      <c r="C228" s="6">
        <v>44936</v>
      </c>
      <c r="D228" s="8">
        <v>35</v>
      </c>
      <c r="E228" s="5" t="s">
        <v>20</v>
      </c>
      <c r="F228" s="5" t="s">
        <v>88</v>
      </c>
      <c r="G228" s="5" t="s">
        <v>115</v>
      </c>
      <c r="H228" s="7">
        <v>78.19</v>
      </c>
      <c r="I228" s="3">
        <v>1</v>
      </c>
      <c r="J228" s="33">
        <f>H228*I228</f>
        <v>78.19</v>
      </c>
      <c r="K228" s="4">
        <v>0</v>
      </c>
      <c r="L228" s="9">
        <f>IF(J228=0,0,K228/J228)</f>
        <v>0</v>
      </c>
      <c r="M228" s="25">
        <v>78.19</v>
      </c>
      <c r="N228" s="5" t="s">
        <v>23</v>
      </c>
      <c r="O228" s="5" t="s">
        <v>33</v>
      </c>
      <c r="P228" s="3">
        <v>12</v>
      </c>
      <c r="Q228" s="3">
        <v>12</v>
      </c>
      <c r="R228" s="5" t="b">
        <v>1</v>
      </c>
      <c r="S228" s="5" t="str">
        <f>IF(R228=TRUE,"Returning Customer","New Customer")</f>
        <v>Returning Customer</v>
      </c>
      <c r="T228" s="3">
        <v>3</v>
      </c>
      <c r="U228" s="12" t="str">
        <f>IF(T228&lt;=3,"Fast",IF(T228&lt;=7,"Standard",IF(T228&lt;=14,"Slow","Very Slow")))</f>
        <v>Fast</v>
      </c>
      <c r="V228" s="10" t="str">
        <f>IF(D228&lt;=25,"18-25",IF(D228&lt;=35,"26-35",IF(D228&lt;=45,"36-45",IF(D228&lt;=55,"46-55",IF(D228&lt;=65,"56-65","66-75")))))</f>
        <v>26-35</v>
      </c>
      <c r="W228" s="3">
        <v>5</v>
      </c>
    </row>
    <row r="229" spans="1:23">
      <c r="A229" s="5" t="s">
        <v>853</v>
      </c>
      <c r="B229" s="5" t="s">
        <v>854</v>
      </c>
      <c r="C229" s="6">
        <v>44984</v>
      </c>
      <c r="D229" s="8">
        <v>22</v>
      </c>
      <c r="E229" s="5" t="s">
        <v>36</v>
      </c>
      <c r="F229" s="5" t="s">
        <v>21</v>
      </c>
      <c r="G229" s="5" t="s">
        <v>56</v>
      </c>
      <c r="H229" s="7">
        <v>654.97</v>
      </c>
      <c r="I229" s="3">
        <v>4</v>
      </c>
      <c r="J229" s="33">
        <f>H229*I229</f>
        <v>2619.88</v>
      </c>
      <c r="K229" s="4">
        <v>195.13</v>
      </c>
      <c r="L229" s="9">
        <f>IF(J229=0,0,K229/J229)</f>
        <v>7.4480510557735469E-2</v>
      </c>
      <c r="M229" s="25">
        <v>2424.75</v>
      </c>
      <c r="N229" s="5" t="s">
        <v>692</v>
      </c>
      <c r="O229" s="5" t="s">
        <v>33</v>
      </c>
      <c r="P229" s="3">
        <v>3</v>
      </c>
      <c r="Q229" s="3">
        <v>16</v>
      </c>
      <c r="R229" s="5" t="b">
        <v>1</v>
      </c>
      <c r="S229" s="5" t="str">
        <f>IF(R229=TRUE,"Returning Customer","New Customer")</f>
        <v>Returning Customer</v>
      </c>
      <c r="T229" s="3">
        <v>10</v>
      </c>
      <c r="U229" s="12" t="str">
        <f>IF(T229&lt;=3,"Fast",IF(T229&lt;=7,"Standard",IF(T229&lt;=14,"Slow","Very Slow")))</f>
        <v>Slow</v>
      </c>
      <c r="V229" s="10" t="str">
        <f>IF(D229&lt;=25,"18-25",IF(D229&lt;=35,"26-35",IF(D229&lt;=45,"36-45",IF(D229&lt;=55,"46-55",IF(D229&lt;=65,"56-65","66-75")))))</f>
        <v>18-25</v>
      </c>
      <c r="W229" s="3">
        <v>5</v>
      </c>
    </row>
    <row r="230" spans="1:23">
      <c r="A230" s="5" t="s">
        <v>143</v>
      </c>
      <c r="B230" s="5" t="s">
        <v>144</v>
      </c>
      <c r="C230" s="6">
        <v>45112</v>
      </c>
      <c r="D230" s="8">
        <v>26</v>
      </c>
      <c r="E230" s="5" t="s">
        <v>20</v>
      </c>
      <c r="F230" s="5" t="s">
        <v>59</v>
      </c>
      <c r="G230" s="5" t="s">
        <v>37</v>
      </c>
      <c r="H230" s="7">
        <v>109.85</v>
      </c>
      <c r="I230" s="3">
        <v>1</v>
      </c>
      <c r="J230" s="33">
        <f>H230*I230</f>
        <v>109.85</v>
      </c>
      <c r="K230" s="4">
        <v>0</v>
      </c>
      <c r="L230" s="9">
        <f>IF(J230=0,0,K230/J230)</f>
        <v>0</v>
      </c>
      <c r="M230" s="25">
        <v>109.85</v>
      </c>
      <c r="N230" s="5" t="s">
        <v>23</v>
      </c>
      <c r="O230" s="5" t="s">
        <v>33</v>
      </c>
      <c r="P230" s="3">
        <v>15</v>
      </c>
      <c r="Q230" s="3">
        <v>10</v>
      </c>
      <c r="R230" s="5" t="b">
        <v>1</v>
      </c>
      <c r="S230" s="5" t="str">
        <f>IF(R230=TRUE,"Returning Customer","New Customer")</f>
        <v>Returning Customer</v>
      </c>
      <c r="T230" s="3">
        <v>2</v>
      </c>
      <c r="U230" s="12" t="str">
        <f>IF(T230&lt;=3,"Fast",IF(T230&lt;=7,"Standard",IF(T230&lt;=14,"Slow","Very Slow")))</f>
        <v>Fast</v>
      </c>
      <c r="V230" s="10" t="str">
        <f>IF(D230&lt;=25,"18-25",IF(D230&lt;=35,"26-35",IF(D230&lt;=45,"36-45",IF(D230&lt;=55,"46-55",IF(D230&lt;=65,"56-65","66-75")))))</f>
        <v>26-35</v>
      </c>
      <c r="W230" s="3">
        <v>4</v>
      </c>
    </row>
    <row r="231" spans="1:23">
      <c r="A231" s="5" t="s">
        <v>1256</v>
      </c>
      <c r="B231" s="5" t="s">
        <v>1257</v>
      </c>
      <c r="C231" s="6">
        <v>45376</v>
      </c>
      <c r="D231" s="8">
        <v>43</v>
      </c>
      <c r="E231" s="5" t="s">
        <v>20</v>
      </c>
      <c r="F231" s="5" t="s">
        <v>52</v>
      </c>
      <c r="G231" s="5" t="s">
        <v>64</v>
      </c>
      <c r="H231" s="7">
        <v>2275.2399999999998</v>
      </c>
      <c r="I231" s="3">
        <v>2</v>
      </c>
      <c r="J231" s="33">
        <f>H231*I231</f>
        <v>4550.4799999999996</v>
      </c>
      <c r="K231" s="4">
        <v>601.72</v>
      </c>
      <c r="L231" s="9">
        <f>IF(J231=0,0,K231/J231)</f>
        <v>0.1322322040751745</v>
      </c>
      <c r="M231" s="25">
        <v>3948.76</v>
      </c>
      <c r="N231" s="5" t="s">
        <v>1231</v>
      </c>
      <c r="O231" s="5" t="s">
        <v>24</v>
      </c>
      <c r="P231" s="3">
        <v>5</v>
      </c>
      <c r="Q231" s="3">
        <v>9</v>
      </c>
      <c r="R231" s="5" t="b">
        <v>1</v>
      </c>
      <c r="S231" s="5" t="str">
        <f>IF(R231=TRUE,"Returning Customer","New Customer")</f>
        <v>Returning Customer</v>
      </c>
      <c r="T231" s="3">
        <v>7</v>
      </c>
      <c r="U231" s="12" t="str">
        <f>IF(T231&lt;=3,"Fast",IF(T231&lt;=7,"Standard",IF(T231&lt;=14,"Slow","Very Slow")))</f>
        <v>Standard</v>
      </c>
      <c r="V231" s="10" t="str">
        <f>IF(D231&lt;=25,"18-25",IF(D231&lt;=35,"26-35",IF(D231&lt;=45,"36-45",IF(D231&lt;=55,"46-55",IF(D231&lt;=65,"56-65","66-75")))))</f>
        <v>36-45</v>
      </c>
      <c r="W231" s="3">
        <v>4</v>
      </c>
    </row>
    <row r="232" spans="1:23">
      <c r="A232" s="5" t="s">
        <v>855</v>
      </c>
      <c r="B232" s="5" t="s">
        <v>856</v>
      </c>
      <c r="C232" s="6">
        <v>45352</v>
      </c>
      <c r="D232" s="8">
        <v>26</v>
      </c>
      <c r="E232" s="5" t="s">
        <v>36</v>
      </c>
      <c r="F232" s="5" t="s">
        <v>32</v>
      </c>
      <c r="G232" s="5" t="s">
        <v>22</v>
      </c>
      <c r="H232" s="7">
        <v>380.48</v>
      </c>
      <c r="I232" s="3">
        <v>2</v>
      </c>
      <c r="J232" s="33">
        <f>H232*I232</f>
        <v>760.96</v>
      </c>
      <c r="K232" s="4">
        <v>54.13</v>
      </c>
      <c r="L232" s="9">
        <f>IF(J232=0,0,K232/J232)</f>
        <v>7.1133830950378465E-2</v>
      </c>
      <c r="M232" s="25">
        <v>706.83</v>
      </c>
      <c r="N232" s="5" t="s">
        <v>692</v>
      </c>
      <c r="O232" s="5" t="s">
        <v>33</v>
      </c>
      <c r="P232" s="3">
        <v>3</v>
      </c>
      <c r="Q232" s="3">
        <v>8</v>
      </c>
      <c r="R232" s="5" t="b">
        <v>0</v>
      </c>
      <c r="S232" s="5" t="str">
        <f>IF(R232=TRUE,"Returning Customer","New Customer")</f>
        <v>New Customer</v>
      </c>
      <c r="T232" s="3">
        <v>2</v>
      </c>
      <c r="U232" s="12" t="str">
        <f>IF(T232&lt;=3,"Fast",IF(T232&lt;=7,"Standard",IF(T232&lt;=14,"Slow","Very Slow")))</f>
        <v>Fast</v>
      </c>
      <c r="V232" s="10" t="str">
        <f>IF(D232&lt;=25,"18-25",IF(D232&lt;=35,"26-35",IF(D232&lt;=45,"36-45",IF(D232&lt;=55,"46-55",IF(D232&lt;=65,"56-65","66-75")))))</f>
        <v>26-35</v>
      </c>
      <c r="W232" s="3">
        <v>1</v>
      </c>
    </row>
    <row r="233" spans="1:23">
      <c r="A233" s="5" t="s">
        <v>1341</v>
      </c>
      <c r="B233" s="5" t="s">
        <v>1342</v>
      </c>
      <c r="C233" s="6">
        <v>45340</v>
      </c>
      <c r="D233" s="8">
        <v>37</v>
      </c>
      <c r="E233" s="5" t="s">
        <v>36</v>
      </c>
      <c r="F233" s="5" t="s">
        <v>21</v>
      </c>
      <c r="G233" s="5" t="s">
        <v>28</v>
      </c>
      <c r="H233" s="7">
        <v>146.1</v>
      </c>
      <c r="I233" s="3">
        <v>1</v>
      </c>
      <c r="J233" s="33">
        <f>H233*I233</f>
        <v>146.1</v>
      </c>
      <c r="K233" s="4">
        <v>0</v>
      </c>
      <c r="L233" s="9">
        <f>IF(J233=0,0,K233/J233)</f>
        <v>0</v>
      </c>
      <c r="M233" s="25">
        <v>146.1</v>
      </c>
      <c r="N233" s="5" t="s">
        <v>1298</v>
      </c>
      <c r="O233" s="5" t="s">
        <v>33</v>
      </c>
      <c r="P233" s="3">
        <v>7</v>
      </c>
      <c r="Q233" s="3">
        <v>8</v>
      </c>
      <c r="R233" s="5" t="b">
        <v>1</v>
      </c>
      <c r="S233" s="5" t="str">
        <f>IF(R233=TRUE,"Returning Customer","New Customer")</f>
        <v>Returning Customer</v>
      </c>
      <c r="T233" s="3">
        <v>5</v>
      </c>
      <c r="U233" s="12" t="str">
        <f>IF(T233&lt;=3,"Fast",IF(T233&lt;=7,"Standard",IF(T233&lt;=14,"Slow","Very Slow")))</f>
        <v>Standard</v>
      </c>
      <c r="V233" s="10" t="str">
        <f>IF(D233&lt;=25,"18-25",IF(D233&lt;=35,"26-35",IF(D233&lt;=45,"36-45",IF(D233&lt;=55,"46-55",IF(D233&lt;=65,"56-65","66-75")))))</f>
        <v>36-45</v>
      </c>
      <c r="W233" s="3">
        <v>4</v>
      </c>
    </row>
    <row r="234" spans="1:23">
      <c r="A234" s="5" t="s">
        <v>448</v>
      </c>
      <c r="B234" s="5" t="s">
        <v>449</v>
      </c>
      <c r="C234" s="6">
        <v>45084</v>
      </c>
      <c r="D234" s="8">
        <v>35</v>
      </c>
      <c r="E234" s="5" t="s">
        <v>20</v>
      </c>
      <c r="F234" s="5" t="s">
        <v>32</v>
      </c>
      <c r="G234" s="5" t="s">
        <v>28</v>
      </c>
      <c r="H234" s="7">
        <v>435.89</v>
      </c>
      <c r="I234" s="3">
        <v>1</v>
      </c>
      <c r="J234" s="33">
        <f>H234*I234</f>
        <v>435.89</v>
      </c>
      <c r="K234" s="4">
        <v>88.84</v>
      </c>
      <c r="L234" s="9">
        <f>IF(J234=0,0,K234/J234)</f>
        <v>0.20381288857280508</v>
      </c>
      <c r="M234" s="25">
        <v>347.05</v>
      </c>
      <c r="N234" s="5" t="s">
        <v>327</v>
      </c>
      <c r="O234" s="5" t="s">
        <v>33</v>
      </c>
      <c r="P234" s="3">
        <v>17</v>
      </c>
      <c r="Q234" s="3">
        <v>8</v>
      </c>
      <c r="R234" s="5" t="b">
        <v>1</v>
      </c>
      <c r="S234" s="5" t="str">
        <f>IF(R234=TRUE,"Returning Customer","New Customer")</f>
        <v>Returning Customer</v>
      </c>
      <c r="T234" s="3">
        <v>5</v>
      </c>
      <c r="U234" s="12" t="str">
        <f>IF(T234&lt;=3,"Fast",IF(T234&lt;=7,"Standard",IF(T234&lt;=14,"Slow","Very Slow")))</f>
        <v>Standard</v>
      </c>
      <c r="V234" s="10" t="str">
        <f>IF(D234&lt;=25,"18-25",IF(D234&lt;=35,"26-35",IF(D234&lt;=45,"36-45",IF(D234&lt;=55,"46-55",IF(D234&lt;=65,"56-65","66-75")))))</f>
        <v>26-35</v>
      </c>
      <c r="W234" s="3">
        <v>5</v>
      </c>
    </row>
    <row r="235" spans="1:23">
      <c r="A235" s="5" t="s">
        <v>450</v>
      </c>
      <c r="B235" s="5" t="s">
        <v>451</v>
      </c>
      <c r="C235" s="6">
        <v>45049</v>
      </c>
      <c r="D235" s="8">
        <v>27</v>
      </c>
      <c r="E235" s="5" t="s">
        <v>20</v>
      </c>
      <c r="F235" s="5" t="s">
        <v>27</v>
      </c>
      <c r="G235" s="5" t="s">
        <v>115</v>
      </c>
      <c r="H235" s="7">
        <v>33.950000000000003</v>
      </c>
      <c r="I235" s="3">
        <v>1</v>
      </c>
      <c r="J235" s="33">
        <f>H235*I235</f>
        <v>33.950000000000003</v>
      </c>
      <c r="K235" s="4">
        <v>6.33</v>
      </c>
      <c r="L235" s="9">
        <f>IF(J235=0,0,K235/J235)</f>
        <v>0.18645066273932251</v>
      </c>
      <c r="M235" s="25">
        <v>27.62</v>
      </c>
      <c r="N235" s="5" t="s">
        <v>327</v>
      </c>
      <c r="O235" s="5" t="s">
        <v>33</v>
      </c>
      <c r="P235" s="3">
        <v>17</v>
      </c>
      <c r="Q235" s="3">
        <v>12</v>
      </c>
      <c r="R235" s="5" t="b">
        <v>0</v>
      </c>
      <c r="S235" s="5" t="str">
        <f>IF(R235=TRUE,"Returning Customer","New Customer")</f>
        <v>New Customer</v>
      </c>
      <c r="T235" s="3">
        <v>12</v>
      </c>
      <c r="U235" s="12" t="str">
        <f>IF(T235&lt;=3,"Fast",IF(T235&lt;=7,"Standard",IF(T235&lt;=14,"Slow","Very Slow")))</f>
        <v>Slow</v>
      </c>
      <c r="V235" s="10" t="str">
        <f>IF(D235&lt;=25,"18-25",IF(D235&lt;=35,"26-35",IF(D235&lt;=45,"36-45",IF(D235&lt;=55,"46-55",IF(D235&lt;=65,"56-65","66-75")))))</f>
        <v>26-35</v>
      </c>
      <c r="W235" s="3">
        <v>4</v>
      </c>
    </row>
    <row r="236" spans="1:23">
      <c r="A236" s="5" t="s">
        <v>857</v>
      </c>
      <c r="B236" s="5" t="s">
        <v>858</v>
      </c>
      <c r="C236" s="6">
        <v>44956</v>
      </c>
      <c r="D236" s="8">
        <v>60</v>
      </c>
      <c r="E236" s="5" t="s">
        <v>36</v>
      </c>
      <c r="F236" s="5" t="s">
        <v>52</v>
      </c>
      <c r="G236" s="5" t="s">
        <v>46</v>
      </c>
      <c r="H236" s="7">
        <v>785.55</v>
      </c>
      <c r="I236" s="3">
        <v>1</v>
      </c>
      <c r="J236" s="33">
        <f>H236*I236</f>
        <v>785.55</v>
      </c>
      <c r="K236" s="4">
        <v>0</v>
      </c>
      <c r="L236" s="9">
        <f>IF(J236=0,0,K236/J236)</f>
        <v>0</v>
      </c>
      <c r="M236" s="25">
        <v>785.55</v>
      </c>
      <c r="N236" s="5" t="s">
        <v>692</v>
      </c>
      <c r="O236" s="5" t="s">
        <v>33</v>
      </c>
      <c r="P236" s="3">
        <v>1</v>
      </c>
      <c r="Q236" s="3">
        <v>11</v>
      </c>
      <c r="R236" s="5" t="b">
        <v>1</v>
      </c>
      <c r="S236" s="5" t="str">
        <f>IF(R236=TRUE,"Returning Customer","New Customer")</f>
        <v>Returning Customer</v>
      </c>
      <c r="T236" s="3">
        <v>9</v>
      </c>
      <c r="U236" s="12" t="str">
        <f>IF(T236&lt;=3,"Fast",IF(T236&lt;=7,"Standard",IF(T236&lt;=14,"Slow","Very Slow")))</f>
        <v>Slow</v>
      </c>
      <c r="V236" s="10" t="str">
        <f>IF(D236&lt;=25,"18-25",IF(D236&lt;=35,"26-35",IF(D236&lt;=45,"36-45",IF(D236&lt;=55,"46-55",IF(D236&lt;=65,"56-65","66-75")))))</f>
        <v>56-65</v>
      </c>
      <c r="W236" s="3">
        <v>4</v>
      </c>
    </row>
    <row r="237" spans="1:23">
      <c r="A237" s="5" t="s">
        <v>145</v>
      </c>
      <c r="B237" s="5" t="s">
        <v>146</v>
      </c>
      <c r="C237" s="6">
        <v>45050</v>
      </c>
      <c r="D237" s="8">
        <v>42</v>
      </c>
      <c r="E237" s="5" t="s">
        <v>20</v>
      </c>
      <c r="F237" s="5" t="s">
        <v>21</v>
      </c>
      <c r="G237" s="5" t="s">
        <v>53</v>
      </c>
      <c r="H237" s="7">
        <v>13.46</v>
      </c>
      <c r="I237" s="3">
        <v>2</v>
      </c>
      <c r="J237" s="33">
        <f>H237*I237</f>
        <v>26.92</v>
      </c>
      <c r="K237" s="4">
        <v>0</v>
      </c>
      <c r="L237" s="9">
        <f>IF(J237=0,0,K237/J237)</f>
        <v>0</v>
      </c>
      <c r="M237" s="25">
        <v>26.92</v>
      </c>
      <c r="N237" s="5" t="s">
        <v>23</v>
      </c>
      <c r="O237" s="5" t="s">
        <v>33</v>
      </c>
      <c r="P237" s="3">
        <v>16</v>
      </c>
      <c r="Q237" s="3">
        <v>6</v>
      </c>
      <c r="R237" s="5" t="b">
        <v>0</v>
      </c>
      <c r="S237" s="5" t="str">
        <f>IF(R237=TRUE,"Returning Customer","New Customer")</f>
        <v>New Customer</v>
      </c>
      <c r="T237" s="3">
        <v>7</v>
      </c>
      <c r="U237" s="12" t="str">
        <f>IF(T237&lt;=3,"Fast",IF(T237&lt;=7,"Standard",IF(T237&lt;=14,"Slow","Very Slow")))</f>
        <v>Standard</v>
      </c>
      <c r="V237" s="10" t="str">
        <f>IF(D237&lt;=25,"18-25",IF(D237&lt;=35,"26-35",IF(D237&lt;=45,"36-45",IF(D237&lt;=55,"46-55",IF(D237&lt;=65,"56-65","66-75")))))</f>
        <v>36-45</v>
      </c>
      <c r="W237" s="3">
        <v>3</v>
      </c>
    </row>
    <row r="238" spans="1:23">
      <c r="A238" s="5" t="s">
        <v>452</v>
      </c>
      <c r="B238" s="5" t="s">
        <v>453</v>
      </c>
      <c r="C238" s="6">
        <v>45376</v>
      </c>
      <c r="D238" s="8">
        <v>18</v>
      </c>
      <c r="E238" s="5" t="s">
        <v>20</v>
      </c>
      <c r="F238" s="5" t="s">
        <v>32</v>
      </c>
      <c r="G238" s="5" t="s">
        <v>28</v>
      </c>
      <c r="H238" s="7">
        <v>157.19</v>
      </c>
      <c r="I238" s="3">
        <v>1</v>
      </c>
      <c r="J238" s="33">
        <f>H238*I238</f>
        <v>157.19</v>
      </c>
      <c r="K238" s="4">
        <v>0</v>
      </c>
      <c r="L238" s="9">
        <f>IF(J238=0,0,K238/J238)</f>
        <v>0</v>
      </c>
      <c r="M238" s="25">
        <v>157.19</v>
      </c>
      <c r="N238" s="5" t="s">
        <v>327</v>
      </c>
      <c r="O238" s="5" t="s">
        <v>29</v>
      </c>
      <c r="P238" s="3">
        <v>4</v>
      </c>
      <c r="Q238" s="3">
        <v>8</v>
      </c>
      <c r="R238" s="5" t="b">
        <v>1</v>
      </c>
      <c r="S238" s="5" t="str">
        <f>IF(R238=TRUE,"Returning Customer","New Customer")</f>
        <v>Returning Customer</v>
      </c>
      <c r="T238" s="3">
        <v>3</v>
      </c>
      <c r="U238" s="12" t="str">
        <f>IF(T238&lt;=3,"Fast",IF(T238&lt;=7,"Standard",IF(T238&lt;=14,"Slow","Very Slow")))</f>
        <v>Fast</v>
      </c>
      <c r="V238" s="10" t="str">
        <f>IF(D238&lt;=25,"18-25",IF(D238&lt;=35,"26-35",IF(D238&lt;=45,"36-45",IF(D238&lt;=55,"46-55",IF(D238&lt;=65,"56-65","66-75")))))</f>
        <v>18-25</v>
      </c>
      <c r="W238" s="3">
        <v>5</v>
      </c>
    </row>
    <row r="239" spans="1:23">
      <c r="A239" s="5" t="s">
        <v>147</v>
      </c>
      <c r="B239" s="5" t="s">
        <v>148</v>
      </c>
      <c r="C239" s="6">
        <v>45217</v>
      </c>
      <c r="D239" s="8">
        <v>37</v>
      </c>
      <c r="E239" s="5" t="s">
        <v>36</v>
      </c>
      <c r="F239" s="5" t="s">
        <v>52</v>
      </c>
      <c r="G239" s="5" t="s">
        <v>56</v>
      </c>
      <c r="H239" s="7">
        <v>66.709999999999994</v>
      </c>
      <c r="I239" s="3">
        <v>1</v>
      </c>
      <c r="J239" s="33">
        <f>H239*I239</f>
        <v>66.709999999999994</v>
      </c>
      <c r="K239" s="4">
        <v>17.41</v>
      </c>
      <c r="L239" s="9">
        <f>IF(J239=0,0,K239/J239)</f>
        <v>0.26098036276420328</v>
      </c>
      <c r="M239" s="25">
        <v>49.3</v>
      </c>
      <c r="N239" s="5" t="s">
        <v>23</v>
      </c>
      <c r="O239" s="5" t="s">
        <v>33</v>
      </c>
      <c r="P239" s="3">
        <v>22</v>
      </c>
      <c r="Q239" s="3">
        <v>9</v>
      </c>
      <c r="R239" s="5" t="b">
        <v>0</v>
      </c>
      <c r="S239" s="5" t="str">
        <f>IF(R239=TRUE,"Returning Customer","New Customer")</f>
        <v>New Customer</v>
      </c>
      <c r="T239" s="3">
        <v>3</v>
      </c>
      <c r="U239" s="12" t="str">
        <f>IF(T239&lt;=3,"Fast",IF(T239&lt;=7,"Standard",IF(T239&lt;=14,"Slow","Very Slow")))</f>
        <v>Fast</v>
      </c>
      <c r="V239" s="10" t="str">
        <f>IF(D239&lt;=25,"18-25",IF(D239&lt;=35,"26-35",IF(D239&lt;=45,"36-45",IF(D239&lt;=55,"46-55",IF(D239&lt;=65,"56-65","66-75")))))</f>
        <v>36-45</v>
      </c>
      <c r="W239" s="3">
        <v>2</v>
      </c>
    </row>
    <row r="240" spans="1:23">
      <c r="A240" s="5" t="s">
        <v>149</v>
      </c>
      <c r="B240" s="5" t="s">
        <v>150</v>
      </c>
      <c r="C240" s="6">
        <v>44967</v>
      </c>
      <c r="D240" s="8">
        <v>27</v>
      </c>
      <c r="E240" s="5" t="s">
        <v>20</v>
      </c>
      <c r="F240" s="5" t="s">
        <v>59</v>
      </c>
      <c r="G240" s="5" t="s">
        <v>22</v>
      </c>
      <c r="H240" s="7">
        <v>266.44</v>
      </c>
      <c r="I240" s="3">
        <v>2</v>
      </c>
      <c r="J240" s="33">
        <f>H240*I240</f>
        <v>532.88</v>
      </c>
      <c r="K240" s="4">
        <v>0</v>
      </c>
      <c r="L240" s="9">
        <f>IF(J240=0,0,K240/J240)</f>
        <v>0</v>
      </c>
      <c r="M240" s="25">
        <v>532.88</v>
      </c>
      <c r="N240" s="5" t="s">
        <v>23</v>
      </c>
      <c r="O240" s="5" t="s">
        <v>29</v>
      </c>
      <c r="P240" s="3">
        <v>19</v>
      </c>
      <c r="Q240" s="3">
        <v>10</v>
      </c>
      <c r="R240" s="5" t="b">
        <v>0</v>
      </c>
      <c r="S240" s="5" t="str">
        <f>IF(R240=TRUE,"Returning Customer","New Customer")</f>
        <v>New Customer</v>
      </c>
      <c r="T240" s="3">
        <v>4</v>
      </c>
      <c r="U240" s="12" t="str">
        <f>IF(T240&lt;=3,"Fast",IF(T240&lt;=7,"Standard",IF(T240&lt;=14,"Slow","Very Slow")))</f>
        <v>Standard</v>
      </c>
      <c r="V240" s="10" t="str">
        <f>IF(D240&lt;=25,"18-25",IF(D240&lt;=35,"26-35",IF(D240&lt;=45,"36-45",IF(D240&lt;=55,"46-55",IF(D240&lt;=65,"56-65","66-75")))))</f>
        <v>26-35</v>
      </c>
      <c r="W240" s="3">
        <v>5</v>
      </c>
    </row>
    <row r="241" spans="1:23">
      <c r="A241" s="5" t="s">
        <v>454</v>
      </c>
      <c r="B241" s="5" t="s">
        <v>455</v>
      </c>
      <c r="C241" s="6">
        <v>44970</v>
      </c>
      <c r="D241" s="8">
        <v>45</v>
      </c>
      <c r="E241" s="5" t="s">
        <v>36</v>
      </c>
      <c r="F241" s="5" t="s">
        <v>32</v>
      </c>
      <c r="G241" s="5" t="s">
        <v>64</v>
      </c>
      <c r="H241" s="7">
        <v>2059.12</v>
      </c>
      <c r="I241" s="3">
        <v>5</v>
      </c>
      <c r="J241" s="33">
        <f>H241*I241</f>
        <v>10295.599999999999</v>
      </c>
      <c r="K241" s="4">
        <v>0</v>
      </c>
      <c r="L241" s="9">
        <f>IF(J241=0,0,K241/J241)</f>
        <v>0</v>
      </c>
      <c r="M241" s="25">
        <v>10295.6</v>
      </c>
      <c r="N241" s="5" t="s">
        <v>327</v>
      </c>
      <c r="O241" s="5" t="s">
        <v>33</v>
      </c>
      <c r="P241" s="3">
        <v>3</v>
      </c>
      <c r="Q241" s="3">
        <v>9</v>
      </c>
      <c r="R241" s="5" t="b">
        <v>0</v>
      </c>
      <c r="S241" s="5" t="str">
        <f>IF(R241=TRUE,"Returning Customer","New Customer")</f>
        <v>New Customer</v>
      </c>
      <c r="T241" s="3">
        <v>5</v>
      </c>
      <c r="U241" s="12" t="str">
        <f>IF(T241&lt;=3,"Fast",IF(T241&lt;=7,"Standard",IF(T241&lt;=14,"Slow","Very Slow")))</f>
        <v>Standard</v>
      </c>
      <c r="V241" s="10" t="str">
        <f>IF(D241&lt;=25,"18-25",IF(D241&lt;=35,"26-35",IF(D241&lt;=45,"36-45",IF(D241&lt;=55,"46-55",IF(D241&lt;=65,"56-65","66-75")))))</f>
        <v>36-45</v>
      </c>
      <c r="W241" s="3">
        <v>4</v>
      </c>
    </row>
    <row r="242" spans="1:23">
      <c r="A242" s="5" t="s">
        <v>859</v>
      </c>
      <c r="B242" s="5" t="s">
        <v>860</v>
      </c>
      <c r="C242" s="6">
        <v>45301</v>
      </c>
      <c r="D242" s="8">
        <v>25</v>
      </c>
      <c r="E242" s="5" t="s">
        <v>36</v>
      </c>
      <c r="F242" s="5" t="s">
        <v>49</v>
      </c>
      <c r="G242" s="5" t="s">
        <v>22</v>
      </c>
      <c r="H242" s="7">
        <v>193.18</v>
      </c>
      <c r="I242" s="3">
        <v>4</v>
      </c>
      <c r="J242" s="33">
        <f>H242*I242</f>
        <v>772.72</v>
      </c>
      <c r="K242" s="4">
        <v>0</v>
      </c>
      <c r="L242" s="9">
        <f>IF(J242=0,0,K242/J242)</f>
        <v>0</v>
      </c>
      <c r="M242" s="25">
        <v>772.72</v>
      </c>
      <c r="N242" s="5" t="s">
        <v>692</v>
      </c>
      <c r="O242" s="5" t="s">
        <v>33</v>
      </c>
      <c r="P242" s="3">
        <v>15</v>
      </c>
      <c r="Q242" s="3">
        <v>7</v>
      </c>
      <c r="R242" s="5" t="b">
        <v>0</v>
      </c>
      <c r="S242" s="5" t="str">
        <f>IF(R242=TRUE,"Returning Customer","New Customer")</f>
        <v>New Customer</v>
      </c>
      <c r="T242" s="3">
        <v>5</v>
      </c>
      <c r="U242" s="12" t="str">
        <f>IF(T242&lt;=3,"Fast",IF(T242&lt;=7,"Standard",IF(T242&lt;=14,"Slow","Very Slow")))</f>
        <v>Standard</v>
      </c>
      <c r="V242" s="10" t="str">
        <f>IF(D242&lt;=25,"18-25",IF(D242&lt;=35,"26-35",IF(D242&lt;=45,"36-45",IF(D242&lt;=55,"46-55",IF(D242&lt;=65,"56-65","66-75")))))</f>
        <v>18-25</v>
      </c>
      <c r="W242" s="3">
        <v>1</v>
      </c>
    </row>
    <row r="243" spans="1:23">
      <c r="A243" s="5" t="s">
        <v>861</v>
      </c>
      <c r="B243" s="5" t="s">
        <v>862</v>
      </c>
      <c r="C243" s="6">
        <v>45175</v>
      </c>
      <c r="D243" s="8">
        <v>33</v>
      </c>
      <c r="E243" s="5" t="s">
        <v>20</v>
      </c>
      <c r="F243" s="5" t="s">
        <v>76</v>
      </c>
      <c r="G243" s="5" t="s">
        <v>46</v>
      </c>
      <c r="H243" s="7">
        <v>458.12</v>
      </c>
      <c r="I243" s="3">
        <v>1</v>
      </c>
      <c r="J243" s="33">
        <f>H243*I243</f>
        <v>458.12</v>
      </c>
      <c r="K243" s="4">
        <v>0</v>
      </c>
      <c r="L243" s="9">
        <f>IF(J243=0,0,K243/J243)</f>
        <v>0</v>
      </c>
      <c r="M243" s="25">
        <v>458.12</v>
      </c>
      <c r="N243" s="5" t="s">
        <v>692</v>
      </c>
      <c r="O243" s="5" t="s">
        <v>33</v>
      </c>
      <c r="P243" s="3">
        <v>9</v>
      </c>
      <c r="Q243" s="3">
        <v>13</v>
      </c>
      <c r="R243" s="5" t="b">
        <v>1</v>
      </c>
      <c r="S243" s="5" t="str">
        <f>IF(R243=TRUE,"Returning Customer","New Customer")</f>
        <v>Returning Customer</v>
      </c>
      <c r="T243" s="3">
        <v>9</v>
      </c>
      <c r="U243" s="12" t="str">
        <f>IF(T243&lt;=3,"Fast",IF(T243&lt;=7,"Standard",IF(T243&lt;=14,"Slow","Very Slow")))</f>
        <v>Slow</v>
      </c>
      <c r="V243" s="10" t="str">
        <f>IF(D243&lt;=25,"18-25",IF(D243&lt;=35,"26-35",IF(D243&lt;=45,"36-45",IF(D243&lt;=55,"46-55",IF(D243&lt;=65,"56-65","66-75")))))</f>
        <v>26-35</v>
      </c>
      <c r="W243" s="3">
        <v>5</v>
      </c>
    </row>
    <row r="244" spans="1:23">
      <c r="A244" s="5" t="s">
        <v>863</v>
      </c>
      <c r="B244" s="5" t="s">
        <v>864</v>
      </c>
      <c r="C244" s="6">
        <v>45344</v>
      </c>
      <c r="D244" s="8">
        <v>41</v>
      </c>
      <c r="E244" s="5" t="s">
        <v>20</v>
      </c>
      <c r="F244" s="5" t="s">
        <v>49</v>
      </c>
      <c r="G244" s="5" t="s">
        <v>115</v>
      </c>
      <c r="H244" s="7">
        <v>99.82</v>
      </c>
      <c r="I244" s="3">
        <v>1</v>
      </c>
      <c r="J244" s="33">
        <f>H244*I244</f>
        <v>99.82</v>
      </c>
      <c r="K244" s="4">
        <v>0</v>
      </c>
      <c r="L244" s="9">
        <f>IF(J244=0,0,K244/J244)</f>
        <v>0</v>
      </c>
      <c r="M244" s="25">
        <v>99.82</v>
      </c>
      <c r="N244" s="5" t="s">
        <v>692</v>
      </c>
      <c r="O244" s="5" t="s">
        <v>33</v>
      </c>
      <c r="P244" s="3">
        <v>22</v>
      </c>
      <c r="Q244" s="3">
        <v>8</v>
      </c>
      <c r="R244" s="5" t="b">
        <v>0</v>
      </c>
      <c r="S244" s="5" t="str">
        <f>IF(R244=TRUE,"Returning Customer","New Customer")</f>
        <v>New Customer</v>
      </c>
      <c r="T244" s="3">
        <v>4</v>
      </c>
      <c r="U244" s="12" t="str">
        <f>IF(T244&lt;=3,"Fast",IF(T244&lt;=7,"Standard",IF(T244&lt;=14,"Slow","Very Slow")))</f>
        <v>Standard</v>
      </c>
      <c r="V244" s="10" t="str">
        <f>IF(D244&lt;=25,"18-25",IF(D244&lt;=35,"26-35",IF(D244&lt;=45,"36-45",IF(D244&lt;=55,"46-55",IF(D244&lt;=65,"56-65","66-75")))))</f>
        <v>36-45</v>
      </c>
      <c r="W244" s="3">
        <v>4</v>
      </c>
    </row>
    <row r="245" spans="1:23">
      <c r="A245" s="5" t="s">
        <v>1343</v>
      </c>
      <c r="B245" s="5" t="s">
        <v>1344</v>
      </c>
      <c r="C245" s="6">
        <v>44962</v>
      </c>
      <c r="D245" s="8">
        <v>45</v>
      </c>
      <c r="E245" s="5" t="s">
        <v>36</v>
      </c>
      <c r="F245" s="5" t="s">
        <v>59</v>
      </c>
      <c r="G245" s="5" t="s">
        <v>22</v>
      </c>
      <c r="H245" s="7">
        <v>21.76</v>
      </c>
      <c r="I245" s="3">
        <v>1</v>
      </c>
      <c r="J245" s="33">
        <f>H245*I245</f>
        <v>21.76</v>
      </c>
      <c r="K245" s="4">
        <v>0</v>
      </c>
      <c r="L245" s="9">
        <f>IF(J245=0,0,K245/J245)</f>
        <v>0</v>
      </c>
      <c r="M245" s="25">
        <v>21.76</v>
      </c>
      <c r="N245" s="5" t="s">
        <v>1298</v>
      </c>
      <c r="O245" s="5" t="s">
        <v>24</v>
      </c>
      <c r="P245" s="3">
        <v>8</v>
      </c>
      <c r="Q245" s="3">
        <v>9</v>
      </c>
      <c r="R245" s="5" t="b">
        <v>0</v>
      </c>
      <c r="S245" s="5" t="str">
        <f>IF(R245=TRUE,"Returning Customer","New Customer")</f>
        <v>New Customer</v>
      </c>
      <c r="T245" s="3">
        <v>9</v>
      </c>
      <c r="U245" s="12" t="str">
        <f>IF(T245&lt;=3,"Fast",IF(T245&lt;=7,"Standard",IF(T245&lt;=14,"Slow","Very Slow")))</f>
        <v>Slow</v>
      </c>
      <c r="V245" s="10" t="str">
        <f>IF(D245&lt;=25,"18-25",IF(D245&lt;=35,"26-35",IF(D245&lt;=45,"36-45",IF(D245&lt;=55,"46-55",IF(D245&lt;=65,"56-65","66-75")))))</f>
        <v>36-45</v>
      </c>
      <c r="W245" s="3">
        <v>4</v>
      </c>
    </row>
    <row r="246" spans="1:23">
      <c r="A246" s="5" t="s">
        <v>865</v>
      </c>
      <c r="B246" s="5" t="s">
        <v>866</v>
      </c>
      <c r="C246" s="6">
        <v>45316</v>
      </c>
      <c r="D246" s="8">
        <v>20</v>
      </c>
      <c r="E246" s="5" t="s">
        <v>36</v>
      </c>
      <c r="F246" s="5" t="s">
        <v>32</v>
      </c>
      <c r="G246" s="5" t="s">
        <v>46</v>
      </c>
      <c r="H246" s="7">
        <v>308.55</v>
      </c>
      <c r="I246" s="3">
        <v>3</v>
      </c>
      <c r="J246" s="33">
        <f>H246*I246</f>
        <v>925.65000000000009</v>
      </c>
      <c r="K246" s="4">
        <v>52.33</v>
      </c>
      <c r="L246" s="9">
        <f>IF(J246=0,0,K246/J246)</f>
        <v>5.6533246907578452E-2</v>
      </c>
      <c r="M246" s="25">
        <v>873.32</v>
      </c>
      <c r="N246" s="5" t="s">
        <v>692</v>
      </c>
      <c r="O246" s="5" t="s">
        <v>24</v>
      </c>
      <c r="P246" s="3">
        <v>27</v>
      </c>
      <c r="Q246" s="3">
        <v>9</v>
      </c>
      <c r="R246" s="5" t="b">
        <v>0</v>
      </c>
      <c r="S246" s="5" t="str">
        <f>IF(R246=TRUE,"Returning Customer","New Customer")</f>
        <v>New Customer</v>
      </c>
      <c r="T246" s="3">
        <v>7</v>
      </c>
      <c r="U246" s="12" t="str">
        <f>IF(T246&lt;=3,"Fast",IF(T246&lt;=7,"Standard",IF(T246&lt;=14,"Slow","Very Slow")))</f>
        <v>Standard</v>
      </c>
      <c r="V246" s="10" t="str">
        <f>IF(D246&lt;=25,"18-25",IF(D246&lt;=35,"26-35",IF(D246&lt;=45,"36-45",IF(D246&lt;=55,"46-55",IF(D246&lt;=65,"56-65","66-75")))))</f>
        <v>18-25</v>
      </c>
      <c r="W246" s="3">
        <v>5</v>
      </c>
    </row>
    <row r="247" spans="1:23">
      <c r="A247" s="5" t="s">
        <v>867</v>
      </c>
      <c r="B247" s="5" t="s">
        <v>868</v>
      </c>
      <c r="C247" s="6">
        <v>45199</v>
      </c>
      <c r="D247" s="8">
        <v>30</v>
      </c>
      <c r="E247" s="5" t="s">
        <v>36</v>
      </c>
      <c r="F247" s="5" t="s">
        <v>52</v>
      </c>
      <c r="G247" s="5" t="s">
        <v>37</v>
      </c>
      <c r="H247" s="7">
        <v>221.35</v>
      </c>
      <c r="I247" s="3">
        <v>5</v>
      </c>
      <c r="J247" s="33">
        <f>H247*I247</f>
        <v>1106.75</v>
      </c>
      <c r="K247" s="4">
        <v>0</v>
      </c>
      <c r="L247" s="9">
        <f>IF(J247=0,0,K247/J247)</f>
        <v>0</v>
      </c>
      <c r="M247" s="25">
        <v>1106.75</v>
      </c>
      <c r="N247" s="5" t="s">
        <v>692</v>
      </c>
      <c r="O247" s="5" t="s">
        <v>33</v>
      </c>
      <c r="P247" s="3">
        <v>20</v>
      </c>
      <c r="Q247" s="3">
        <v>6</v>
      </c>
      <c r="R247" s="5" t="b">
        <v>0</v>
      </c>
      <c r="S247" s="5" t="str">
        <f>IF(R247=TRUE,"Returning Customer","New Customer")</f>
        <v>New Customer</v>
      </c>
      <c r="T247" s="3">
        <v>3</v>
      </c>
      <c r="U247" s="12" t="str">
        <f>IF(T247&lt;=3,"Fast",IF(T247&lt;=7,"Standard",IF(T247&lt;=14,"Slow","Very Slow")))</f>
        <v>Fast</v>
      </c>
      <c r="V247" s="10" t="str">
        <f>IF(D247&lt;=25,"18-25",IF(D247&lt;=35,"26-35",IF(D247&lt;=45,"36-45",IF(D247&lt;=55,"46-55",IF(D247&lt;=65,"56-65","66-75")))))</f>
        <v>26-35</v>
      </c>
      <c r="W247" s="3">
        <v>5</v>
      </c>
    </row>
    <row r="248" spans="1:23">
      <c r="A248" s="5" t="s">
        <v>869</v>
      </c>
      <c r="B248" s="5" t="s">
        <v>870</v>
      </c>
      <c r="C248" s="6">
        <v>45319</v>
      </c>
      <c r="D248" s="8">
        <v>29</v>
      </c>
      <c r="E248" s="5" t="s">
        <v>36</v>
      </c>
      <c r="F248" s="5" t="s">
        <v>88</v>
      </c>
      <c r="G248" s="5" t="s">
        <v>56</v>
      </c>
      <c r="H248" s="7">
        <v>225.7</v>
      </c>
      <c r="I248" s="3">
        <v>1</v>
      </c>
      <c r="J248" s="33">
        <f>H248*I248</f>
        <v>225.7</v>
      </c>
      <c r="K248" s="4">
        <v>0</v>
      </c>
      <c r="L248" s="9">
        <f>IF(J248=0,0,K248/J248)</f>
        <v>0</v>
      </c>
      <c r="M248" s="25">
        <v>225.7</v>
      </c>
      <c r="N248" s="5" t="s">
        <v>692</v>
      </c>
      <c r="O248" s="5" t="s">
        <v>33</v>
      </c>
      <c r="P248" s="3">
        <v>5</v>
      </c>
      <c r="Q248" s="3">
        <v>7</v>
      </c>
      <c r="R248" s="5" t="b">
        <v>1</v>
      </c>
      <c r="S248" s="5" t="str">
        <f>IF(R248=TRUE,"Returning Customer","New Customer")</f>
        <v>Returning Customer</v>
      </c>
      <c r="T248" s="3">
        <v>7</v>
      </c>
      <c r="U248" s="12" t="str">
        <f>IF(T248&lt;=3,"Fast",IF(T248&lt;=7,"Standard",IF(T248&lt;=14,"Slow","Very Slow")))</f>
        <v>Standard</v>
      </c>
      <c r="V248" s="10" t="str">
        <f>IF(D248&lt;=25,"18-25",IF(D248&lt;=35,"26-35",IF(D248&lt;=45,"36-45",IF(D248&lt;=55,"46-55",IF(D248&lt;=65,"56-65","66-75")))))</f>
        <v>26-35</v>
      </c>
      <c r="W248" s="3">
        <v>5</v>
      </c>
    </row>
    <row r="249" spans="1:23">
      <c r="A249" s="5" t="s">
        <v>1345</v>
      </c>
      <c r="B249" s="5" t="s">
        <v>1346</v>
      </c>
      <c r="C249" s="6">
        <v>44991</v>
      </c>
      <c r="D249" s="8">
        <v>27</v>
      </c>
      <c r="E249" s="5" t="s">
        <v>20</v>
      </c>
      <c r="F249" s="5" t="s">
        <v>27</v>
      </c>
      <c r="G249" s="5" t="s">
        <v>56</v>
      </c>
      <c r="H249" s="7">
        <v>353.9</v>
      </c>
      <c r="I249" s="3">
        <v>1</v>
      </c>
      <c r="J249" s="33">
        <f>H249*I249</f>
        <v>353.9</v>
      </c>
      <c r="K249" s="4">
        <v>29.33</v>
      </c>
      <c r="L249" s="9">
        <f>IF(J249=0,0,K249/J249)</f>
        <v>8.2876518790618817E-2</v>
      </c>
      <c r="M249" s="25">
        <v>324.57</v>
      </c>
      <c r="N249" s="5" t="s">
        <v>1298</v>
      </c>
      <c r="O249" s="5" t="s">
        <v>29</v>
      </c>
      <c r="P249" s="3">
        <v>29</v>
      </c>
      <c r="Q249" s="3">
        <v>12</v>
      </c>
      <c r="R249" s="5" t="b">
        <v>0</v>
      </c>
      <c r="S249" s="5" t="str">
        <f>IF(R249=TRUE,"Returning Customer","New Customer")</f>
        <v>New Customer</v>
      </c>
      <c r="T249" s="3">
        <v>6</v>
      </c>
      <c r="U249" s="12" t="str">
        <f>IF(T249&lt;=3,"Fast",IF(T249&lt;=7,"Standard",IF(T249&lt;=14,"Slow","Very Slow")))</f>
        <v>Standard</v>
      </c>
      <c r="V249" s="10" t="str">
        <f>IF(D249&lt;=25,"18-25",IF(D249&lt;=35,"26-35",IF(D249&lt;=45,"36-45",IF(D249&lt;=55,"46-55",IF(D249&lt;=65,"56-65","66-75")))))</f>
        <v>26-35</v>
      </c>
      <c r="W249" s="3">
        <v>5</v>
      </c>
    </row>
    <row r="250" spans="1:23">
      <c r="A250" s="5" t="s">
        <v>456</v>
      </c>
      <c r="B250" s="5" t="s">
        <v>457</v>
      </c>
      <c r="C250" s="6">
        <v>44992</v>
      </c>
      <c r="D250" s="8">
        <v>56</v>
      </c>
      <c r="E250" s="5" t="s">
        <v>36</v>
      </c>
      <c r="F250" s="5" t="s">
        <v>49</v>
      </c>
      <c r="G250" s="5" t="s">
        <v>46</v>
      </c>
      <c r="H250" s="7">
        <v>77.87</v>
      </c>
      <c r="I250" s="3">
        <v>2</v>
      </c>
      <c r="J250" s="33">
        <f>H250*I250</f>
        <v>155.74</v>
      </c>
      <c r="K250" s="4">
        <v>13.24</v>
      </c>
      <c r="L250" s="9">
        <f>IF(J250=0,0,K250/J250)</f>
        <v>8.5013484011814563E-2</v>
      </c>
      <c r="M250" s="25">
        <v>142.5</v>
      </c>
      <c r="N250" s="5" t="s">
        <v>327</v>
      </c>
      <c r="O250" s="5" t="s">
        <v>33</v>
      </c>
      <c r="P250" s="3">
        <v>15</v>
      </c>
      <c r="Q250" s="3">
        <v>9</v>
      </c>
      <c r="R250" s="5" t="b">
        <v>1</v>
      </c>
      <c r="S250" s="5" t="str">
        <f>IF(R250=TRUE,"Returning Customer","New Customer")</f>
        <v>Returning Customer</v>
      </c>
      <c r="T250" s="3">
        <v>2</v>
      </c>
      <c r="U250" s="12" t="str">
        <f>IF(T250&lt;=3,"Fast",IF(T250&lt;=7,"Standard",IF(T250&lt;=14,"Slow","Very Slow")))</f>
        <v>Fast</v>
      </c>
      <c r="V250" s="10" t="str">
        <f>IF(D250&lt;=25,"18-25",IF(D250&lt;=35,"26-35",IF(D250&lt;=45,"36-45",IF(D250&lt;=55,"46-55",IF(D250&lt;=65,"56-65","66-75")))))</f>
        <v>56-65</v>
      </c>
      <c r="W250" s="3">
        <v>4</v>
      </c>
    </row>
    <row r="251" spans="1:23">
      <c r="A251" s="5" t="s">
        <v>1258</v>
      </c>
      <c r="B251" s="5" t="s">
        <v>1259</v>
      </c>
      <c r="C251" s="6">
        <v>45264</v>
      </c>
      <c r="D251" s="8">
        <v>39</v>
      </c>
      <c r="E251" s="5" t="s">
        <v>20</v>
      </c>
      <c r="F251" s="5" t="s">
        <v>49</v>
      </c>
      <c r="G251" s="5" t="s">
        <v>53</v>
      </c>
      <c r="H251" s="7">
        <v>37.119999999999997</v>
      </c>
      <c r="I251" s="3">
        <v>1</v>
      </c>
      <c r="J251" s="33">
        <f>H251*I251</f>
        <v>37.119999999999997</v>
      </c>
      <c r="K251" s="4">
        <v>0</v>
      </c>
      <c r="L251" s="9">
        <f>IF(J251=0,0,K251/J251)</f>
        <v>0</v>
      </c>
      <c r="M251" s="25">
        <v>37.119999999999997</v>
      </c>
      <c r="N251" s="5" t="s">
        <v>1231</v>
      </c>
      <c r="O251" s="5" t="s">
        <v>33</v>
      </c>
      <c r="P251" s="3">
        <v>12</v>
      </c>
      <c r="Q251" s="3">
        <v>4</v>
      </c>
      <c r="R251" s="5" t="b">
        <v>1</v>
      </c>
      <c r="S251" s="5" t="str">
        <f>IF(R251=TRUE,"Returning Customer","New Customer")</f>
        <v>Returning Customer</v>
      </c>
      <c r="T251" s="3">
        <v>3</v>
      </c>
      <c r="U251" s="12" t="str">
        <f>IF(T251&lt;=3,"Fast",IF(T251&lt;=7,"Standard",IF(T251&lt;=14,"Slow","Very Slow")))</f>
        <v>Fast</v>
      </c>
      <c r="V251" s="10" t="str">
        <f>IF(D251&lt;=25,"18-25",IF(D251&lt;=35,"26-35",IF(D251&lt;=45,"36-45",IF(D251&lt;=55,"46-55",IF(D251&lt;=65,"56-65","66-75")))))</f>
        <v>36-45</v>
      </c>
      <c r="W251" s="3">
        <v>4</v>
      </c>
    </row>
    <row r="252" spans="1:23">
      <c r="A252" s="5" t="s">
        <v>151</v>
      </c>
      <c r="B252" s="5" t="s">
        <v>152</v>
      </c>
      <c r="C252" s="6">
        <v>45170</v>
      </c>
      <c r="D252" s="8">
        <v>19</v>
      </c>
      <c r="E252" s="5" t="s">
        <v>20</v>
      </c>
      <c r="F252" s="5" t="s">
        <v>21</v>
      </c>
      <c r="G252" s="5" t="s">
        <v>56</v>
      </c>
      <c r="H252" s="7">
        <v>555.28</v>
      </c>
      <c r="I252" s="3">
        <v>1</v>
      </c>
      <c r="J252" s="33">
        <f>H252*I252</f>
        <v>555.28</v>
      </c>
      <c r="K252" s="4">
        <v>0</v>
      </c>
      <c r="L252" s="9">
        <f>IF(J252=0,0,K252/J252)</f>
        <v>0</v>
      </c>
      <c r="M252" s="25">
        <v>555.28</v>
      </c>
      <c r="N252" s="5" t="s">
        <v>23</v>
      </c>
      <c r="O252" s="5" t="s">
        <v>24</v>
      </c>
      <c r="P252" s="3">
        <v>7</v>
      </c>
      <c r="Q252" s="3">
        <v>8</v>
      </c>
      <c r="R252" s="5" t="b">
        <v>0</v>
      </c>
      <c r="S252" s="5" t="str">
        <f>IF(R252=TRUE,"Returning Customer","New Customer")</f>
        <v>New Customer</v>
      </c>
      <c r="T252" s="3">
        <v>8</v>
      </c>
      <c r="U252" s="12" t="str">
        <f>IF(T252&lt;=3,"Fast",IF(T252&lt;=7,"Standard",IF(T252&lt;=14,"Slow","Very Slow")))</f>
        <v>Slow</v>
      </c>
      <c r="V252" s="10" t="str">
        <f>IF(D252&lt;=25,"18-25",IF(D252&lt;=35,"26-35",IF(D252&lt;=45,"36-45",IF(D252&lt;=55,"46-55",IF(D252&lt;=65,"56-65","66-75")))))</f>
        <v>18-25</v>
      </c>
      <c r="W252" s="3">
        <v>3</v>
      </c>
    </row>
    <row r="253" spans="1:23">
      <c r="A253" s="5" t="s">
        <v>1347</v>
      </c>
      <c r="B253" s="5" t="s">
        <v>1348</v>
      </c>
      <c r="C253" s="6">
        <v>45208</v>
      </c>
      <c r="D253" s="8">
        <v>46</v>
      </c>
      <c r="E253" s="5" t="s">
        <v>20</v>
      </c>
      <c r="F253" s="5" t="s">
        <v>32</v>
      </c>
      <c r="G253" s="5" t="s">
        <v>115</v>
      </c>
      <c r="H253" s="7">
        <v>263.52999999999997</v>
      </c>
      <c r="I253" s="3">
        <v>5</v>
      </c>
      <c r="J253" s="33">
        <f>H253*I253</f>
        <v>1317.6499999999999</v>
      </c>
      <c r="K253" s="4">
        <v>0</v>
      </c>
      <c r="L253" s="9">
        <f>IF(J253=0,0,K253/J253)</f>
        <v>0</v>
      </c>
      <c r="M253" s="25">
        <v>1317.65</v>
      </c>
      <c r="N253" s="5" t="s">
        <v>1298</v>
      </c>
      <c r="O253" s="5" t="s">
        <v>33</v>
      </c>
      <c r="P253" s="3">
        <v>14</v>
      </c>
      <c r="Q253" s="3">
        <v>9</v>
      </c>
      <c r="R253" s="5" t="b">
        <v>1</v>
      </c>
      <c r="S253" s="5" t="str">
        <f>IF(R253=TRUE,"Returning Customer","New Customer")</f>
        <v>Returning Customer</v>
      </c>
      <c r="T253" s="3">
        <v>4</v>
      </c>
      <c r="U253" s="12" t="str">
        <f>IF(T253&lt;=3,"Fast",IF(T253&lt;=7,"Standard",IF(T253&lt;=14,"Slow","Very Slow")))</f>
        <v>Standard</v>
      </c>
      <c r="V253" s="10" t="str">
        <f>IF(D253&lt;=25,"18-25",IF(D253&lt;=35,"26-35",IF(D253&lt;=45,"36-45",IF(D253&lt;=55,"46-55",IF(D253&lt;=65,"56-65","66-75")))))</f>
        <v>46-55</v>
      </c>
      <c r="W253" s="3">
        <v>5</v>
      </c>
    </row>
    <row r="254" spans="1:23">
      <c r="A254" s="5" t="s">
        <v>871</v>
      </c>
      <c r="B254" s="5" t="s">
        <v>872</v>
      </c>
      <c r="C254" s="6">
        <v>45011</v>
      </c>
      <c r="D254" s="8">
        <v>60</v>
      </c>
      <c r="E254" s="5" t="s">
        <v>20</v>
      </c>
      <c r="F254" s="5" t="s">
        <v>59</v>
      </c>
      <c r="G254" s="5" t="s">
        <v>53</v>
      </c>
      <c r="H254" s="7">
        <v>64.23</v>
      </c>
      <c r="I254" s="3">
        <v>3</v>
      </c>
      <c r="J254" s="33">
        <f>H254*I254</f>
        <v>192.69</v>
      </c>
      <c r="K254" s="4">
        <v>0</v>
      </c>
      <c r="L254" s="9">
        <f>IF(J254=0,0,K254/J254)</f>
        <v>0</v>
      </c>
      <c r="M254" s="25">
        <v>192.69</v>
      </c>
      <c r="N254" s="5" t="s">
        <v>692</v>
      </c>
      <c r="O254" s="5" t="s">
        <v>24</v>
      </c>
      <c r="P254" s="3">
        <v>22</v>
      </c>
      <c r="Q254" s="3">
        <v>8</v>
      </c>
      <c r="R254" s="5" t="b">
        <v>0</v>
      </c>
      <c r="S254" s="5" t="str">
        <f>IF(R254=TRUE,"Returning Customer","New Customer")</f>
        <v>New Customer</v>
      </c>
      <c r="T254" s="3">
        <v>6</v>
      </c>
      <c r="U254" s="12" t="str">
        <f>IF(T254&lt;=3,"Fast",IF(T254&lt;=7,"Standard",IF(T254&lt;=14,"Slow","Very Slow")))</f>
        <v>Standard</v>
      </c>
      <c r="V254" s="10" t="str">
        <f>IF(D254&lt;=25,"18-25",IF(D254&lt;=35,"26-35",IF(D254&lt;=45,"36-45",IF(D254&lt;=55,"46-55",IF(D254&lt;=65,"56-65","66-75")))))</f>
        <v>56-65</v>
      </c>
      <c r="W254" s="3">
        <v>5</v>
      </c>
    </row>
    <row r="255" spans="1:23">
      <c r="A255" s="5" t="s">
        <v>873</v>
      </c>
      <c r="B255" s="5" t="s">
        <v>874</v>
      </c>
      <c r="C255" s="6">
        <v>45062</v>
      </c>
      <c r="D255" s="8">
        <v>47</v>
      </c>
      <c r="E255" s="5" t="s">
        <v>36</v>
      </c>
      <c r="F255" s="5" t="s">
        <v>49</v>
      </c>
      <c r="G255" s="5" t="s">
        <v>46</v>
      </c>
      <c r="H255" s="7">
        <v>322.29000000000002</v>
      </c>
      <c r="I255" s="3">
        <v>3</v>
      </c>
      <c r="J255" s="33">
        <f>H255*I255</f>
        <v>966.87000000000012</v>
      </c>
      <c r="K255" s="4">
        <v>0</v>
      </c>
      <c r="L255" s="9">
        <f>IF(J255=0,0,K255/J255)</f>
        <v>0</v>
      </c>
      <c r="M255" s="25">
        <v>966.87</v>
      </c>
      <c r="N255" s="5" t="s">
        <v>692</v>
      </c>
      <c r="O255" s="5" t="s">
        <v>33</v>
      </c>
      <c r="P255" s="3">
        <v>16</v>
      </c>
      <c r="Q255" s="3">
        <v>6</v>
      </c>
      <c r="R255" s="5" t="b">
        <v>0</v>
      </c>
      <c r="S255" s="5" t="str">
        <f>IF(R255=TRUE,"Returning Customer","New Customer")</f>
        <v>New Customer</v>
      </c>
      <c r="T255" s="3">
        <v>10</v>
      </c>
      <c r="U255" s="12" t="str">
        <f>IF(T255&lt;=3,"Fast",IF(T255&lt;=7,"Standard",IF(T255&lt;=14,"Slow","Very Slow")))</f>
        <v>Slow</v>
      </c>
      <c r="V255" s="10" t="str">
        <f>IF(D255&lt;=25,"18-25",IF(D255&lt;=35,"26-35",IF(D255&lt;=45,"36-45",IF(D255&lt;=55,"46-55",IF(D255&lt;=65,"56-65","66-75")))))</f>
        <v>46-55</v>
      </c>
      <c r="W255" s="3">
        <v>4</v>
      </c>
    </row>
    <row r="256" spans="1:23">
      <c r="A256" s="5" t="s">
        <v>875</v>
      </c>
      <c r="B256" s="5" t="s">
        <v>876</v>
      </c>
      <c r="C256" s="6">
        <v>45197</v>
      </c>
      <c r="D256" s="8">
        <v>18</v>
      </c>
      <c r="E256" s="5" t="s">
        <v>20</v>
      </c>
      <c r="F256" s="5" t="s">
        <v>21</v>
      </c>
      <c r="G256" s="5" t="s">
        <v>37</v>
      </c>
      <c r="H256" s="7">
        <v>33.17</v>
      </c>
      <c r="I256" s="3">
        <v>1</v>
      </c>
      <c r="J256" s="33">
        <f>H256*I256</f>
        <v>33.17</v>
      </c>
      <c r="K256" s="4">
        <v>2.64</v>
      </c>
      <c r="L256" s="9">
        <f>IF(J256=0,0,K256/J256)</f>
        <v>7.9589990955682852E-2</v>
      </c>
      <c r="M256" s="25">
        <v>30.53</v>
      </c>
      <c r="N256" s="5" t="s">
        <v>692</v>
      </c>
      <c r="O256" s="5" t="s">
        <v>33</v>
      </c>
      <c r="P256" s="3">
        <v>17</v>
      </c>
      <c r="Q256" s="3">
        <v>12</v>
      </c>
      <c r="R256" s="5" t="b">
        <v>1</v>
      </c>
      <c r="S256" s="5" t="str">
        <f>IF(R256=TRUE,"Returning Customer","New Customer")</f>
        <v>Returning Customer</v>
      </c>
      <c r="T256" s="3">
        <v>5</v>
      </c>
      <c r="U256" s="12" t="str">
        <f>IF(T256&lt;=3,"Fast",IF(T256&lt;=7,"Standard",IF(T256&lt;=14,"Slow","Very Slow")))</f>
        <v>Standard</v>
      </c>
      <c r="V256" s="10" t="str">
        <f>IF(D256&lt;=25,"18-25",IF(D256&lt;=35,"26-35",IF(D256&lt;=45,"36-45",IF(D256&lt;=55,"46-55",IF(D256&lt;=65,"56-65","66-75")))))</f>
        <v>18-25</v>
      </c>
      <c r="W256" s="3">
        <v>2</v>
      </c>
    </row>
    <row r="257" spans="1:23">
      <c r="A257" s="5" t="s">
        <v>458</v>
      </c>
      <c r="B257" s="5" t="s">
        <v>459</v>
      </c>
      <c r="C257" s="6">
        <v>45373</v>
      </c>
      <c r="D257" s="8">
        <v>29</v>
      </c>
      <c r="E257" s="5" t="s">
        <v>20</v>
      </c>
      <c r="F257" s="5" t="s">
        <v>88</v>
      </c>
      <c r="G257" s="5" t="s">
        <v>46</v>
      </c>
      <c r="H257" s="7">
        <v>269.26</v>
      </c>
      <c r="I257" s="3">
        <v>5</v>
      </c>
      <c r="J257" s="33">
        <f>H257*I257</f>
        <v>1346.3</v>
      </c>
      <c r="K257" s="4">
        <v>0</v>
      </c>
      <c r="L257" s="9">
        <f>IF(J257=0,0,K257/J257)</f>
        <v>0</v>
      </c>
      <c r="M257" s="25">
        <v>1346.3</v>
      </c>
      <c r="N257" s="5" t="s">
        <v>327</v>
      </c>
      <c r="O257" s="5" t="s">
        <v>33</v>
      </c>
      <c r="P257" s="3">
        <v>13</v>
      </c>
      <c r="Q257" s="3">
        <v>11</v>
      </c>
      <c r="R257" s="5" t="b">
        <v>0</v>
      </c>
      <c r="S257" s="5" t="str">
        <f>IF(R257=TRUE,"Returning Customer","New Customer")</f>
        <v>New Customer</v>
      </c>
      <c r="T257" s="3">
        <v>10</v>
      </c>
      <c r="U257" s="12" t="str">
        <f>IF(T257&lt;=3,"Fast",IF(T257&lt;=7,"Standard",IF(T257&lt;=14,"Slow","Very Slow")))</f>
        <v>Slow</v>
      </c>
      <c r="V257" s="10" t="str">
        <f>IF(D257&lt;=25,"18-25",IF(D257&lt;=35,"26-35",IF(D257&lt;=45,"36-45",IF(D257&lt;=55,"46-55",IF(D257&lt;=65,"56-65","66-75")))))</f>
        <v>26-35</v>
      </c>
      <c r="W257" s="3">
        <v>3</v>
      </c>
    </row>
    <row r="258" spans="1:23">
      <c r="A258" s="5" t="s">
        <v>153</v>
      </c>
      <c r="B258" s="5" t="s">
        <v>154</v>
      </c>
      <c r="C258" s="6">
        <v>45237</v>
      </c>
      <c r="D258" s="8">
        <v>50</v>
      </c>
      <c r="E258" s="5" t="s">
        <v>20</v>
      </c>
      <c r="F258" s="5" t="s">
        <v>52</v>
      </c>
      <c r="G258" s="5" t="s">
        <v>37</v>
      </c>
      <c r="H258" s="7">
        <v>54.26</v>
      </c>
      <c r="I258" s="3">
        <v>4</v>
      </c>
      <c r="J258" s="33">
        <f>H258*I258</f>
        <v>217.04</v>
      </c>
      <c r="K258" s="4">
        <v>13.67</v>
      </c>
      <c r="L258" s="9">
        <f>IF(J258=0,0,K258/J258)</f>
        <v>6.2983781791374857E-2</v>
      </c>
      <c r="M258" s="25">
        <v>203.37</v>
      </c>
      <c r="N258" s="5" t="s">
        <v>23</v>
      </c>
      <c r="O258" s="5" t="s">
        <v>33</v>
      </c>
      <c r="P258" s="3">
        <v>25</v>
      </c>
      <c r="Q258" s="3">
        <v>7</v>
      </c>
      <c r="R258" s="5" t="b">
        <v>0</v>
      </c>
      <c r="S258" s="5" t="str">
        <f>IF(R258=TRUE,"Returning Customer","New Customer")</f>
        <v>New Customer</v>
      </c>
      <c r="T258" s="3">
        <v>3</v>
      </c>
      <c r="U258" s="12" t="str">
        <f>IF(T258&lt;=3,"Fast",IF(T258&lt;=7,"Standard",IF(T258&lt;=14,"Slow","Very Slow")))</f>
        <v>Fast</v>
      </c>
      <c r="V258" s="10" t="str">
        <f>IF(D258&lt;=25,"18-25",IF(D258&lt;=35,"26-35",IF(D258&lt;=45,"36-45",IF(D258&lt;=55,"46-55",IF(D258&lt;=65,"56-65","66-75")))))</f>
        <v>46-55</v>
      </c>
      <c r="W258" s="3">
        <v>5</v>
      </c>
    </row>
    <row r="259" spans="1:23">
      <c r="A259" s="5" t="s">
        <v>877</v>
      </c>
      <c r="B259" s="5" t="s">
        <v>878</v>
      </c>
      <c r="C259" s="6">
        <v>45143</v>
      </c>
      <c r="D259" s="8">
        <v>26</v>
      </c>
      <c r="E259" s="5" t="s">
        <v>36</v>
      </c>
      <c r="F259" s="5" t="s">
        <v>52</v>
      </c>
      <c r="G259" s="5" t="s">
        <v>28</v>
      </c>
      <c r="H259" s="7">
        <v>23.78</v>
      </c>
      <c r="I259" s="3">
        <v>2</v>
      </c>
      <c r="J259" s="33">
        <f>H259*I259</f>
        <v>47.56</v>
      </c>
      <c r="K259" s="4">
        <v>2.1800000000000002</v>
      </c>
      <c r="L259" s="9">
        <f>IF(J259=0,0,K259/J259)</f>
        <v>4.5836837678721619E-2</v>
      </c>
      <c r="M259" s="25">
        <v>45.38</v>
      </c>
      <c r="N259" s="5" t="s">
        <v>692</v>
      </c>
      <c r="O259" s="5" t="s">
        <v>33</v>
      </c>
      <c r="P259" s="3">
        <v>15</v>
      </c>
      <c r="Q259" s="3">
        <v>9</v>
      </c>
      <c r="R259" s="5" t="b">
        <v>0</v>
      </c>
      <c r="S259" s="5" t="str">
        <f>IF(R259=TRUE,"Returning Customer","New Customer")</f>
        <v>New Customer</v>
      </c>
      <c r="T259" s="3">
        <v>10</v>
      </c>
      <c r="U259" s="12" t="str">
        <f>IF(T259&lt;=3,"Fast",IF(T259&lt;=7,"Standard",IF(T259&lt;=14,"Slow","Very Slow")))</f>
        <v>Slow</v>
      </c>
      <c r="V259" s="10" t="str">
        <f>IF(D259&lt;=25,"18-25",IF(D259&lt;=35,"26-35",IF(D259&lt;=45,"36-45",IF(D259&lt;=55,"46-55",IF(D259&lt;=65,"56-65","66-75")))))</f>
        <v>26-35</v>
      </c>
      <c r="W259" s="3">
        <v>3</v>
      </c>
    </row>
    <row r="260" spans="1:23">
      <c r="A260" s="5" t="s">
        <v>879</v>
      </c>
      <c r="B260" s="5" t="s">
        <v>880</v>
      </c>
      <c r="C260" s="6">
        <v>45035</v>
      </c>
      <c r="D260" s="8">
        <v>40</v>
      </c>
      <c r="E260" s="5" t="s">
        <v>36</v>
      </c>
      <c r="F260" s="5" t="s">
        <v>88</v>
      </c>
      <c r="G260" s="5" t="s">
        <v>56</v>
      </c>
      <c r="H260" s="7">
        <v>219.57</v>
      </c>
      <c r="I260" s="3">
        <v>1</v>
      </c>
      <c r="J260" s="33">
        <f>H260*I260</f>
        <v>219.57</v>
      </c>
      <c r="K260" s="4">
        <v>0</v>
      </c>
      <c r="L260" s="9">
        <f>IF(J260=0,0,K260/J260)</f>
        <v>0</v>
      </c>
      <c r="M260" s="25">
        <v>219.57</v>
      </c>
      <c r="N260" s="5" t="s">
        <v>692</v>
      </c>
      <c r="O260" s="5" t="s">
        <v>33</v>
      </c>
      <c r="P260" s="3">
        <v>8</v>
      </c>
      <c r="Q260" s="3">
        <v>9</v>
      </c>
      <c r="R260" s="5" t="b">
        <v>0</v>
      </c>
      <c r="S260" s="5" t="str">
        <f>IF(R260=TRUE,"Returning Customer","New Customer")</f>
        <v>New Customer</v>
      </c>
      <c r="T260" s="3">
        <v>3</v>
      </c>
      <c r="U260" s="12" t="str">
        <f>IF(T260&lt;=3,"Fast",IF(T260&lt;=7,"Standard",IF(T260&lt;=14,"Slow","Very Slow")))</f>
        <v>Fast</v>
      </c>
      <c r="V260" s="10" t="str">
        <f>IF(D260&lt;=25,"18-25",IF(D260&lt;=35,"26-35",IF(D260&lt;=45,"36-45",IF(D260&lt;=55,"46-55",IF(D260&lt;=65,"56-65","66-75")))))</f>
        <v>36-45</v>
      </c>
      <c r="W260" s="3">
        <v>5</v>
      </c>
    </row>
    <row r="261" spans="1:23">
      <c r="A261" s="5" t="s">
        <v>460</v>
      </c>
      <c r="B261" s="5" t="s">
        <v>461</v>
      </c>
      <c r="C261" s="6">
        <v>45203</v>
      </c>
      <c r="D261" s="8">
        <v>44</v>
      </c>
      <c r="E261" s="5" t="s">
        <v>20</v>
      </c>
      <c r="F261" s="5" t="s">
        <v>59</v>
      </c>
      <c r="G261" s="5" t="s">
        <v>115</v>
      </c>
      <c r="H261" s="7">
        <v>45.4</v>
      </c>
      <c r="I261" s="3">
        <v>1</v>
      </c>
      <c r="J261" s="33">
        <f>H261*I261</f>
        <v>45.4</v>
      </c>
      <c r="K261" s="4">
        <v>0</v>
      </c>
      <c r="L261" s="9">
        <f>IF(J261=0,0,K261/J261)</f>
        <v>0</v>
      </c>
      <c r="M261" s="25">
        <v>45.4</v>
      </c>
      <c r="N261" s="5" t="s">
        <v>327</v>
      </c>
      <c r="O261" s="5" t="s">
        <v>24</v>
      </c>
      <c r="P261" s="3">
        <v>9</v>
      </c>
      <c r="Q261" s="3">
        <v>5</v>
      </c>
      <c r="R261" s="5" t="b">
        <v>1</v>
      </c>
      <c r="S261" s="5" t="str">
        <f>IF(R261=TRUE,"Returning Customer","New Customer")</f>
        <v>Returning Customer</v>
      </c>
      <c r="T261" s="3">
        <v>7</v>
      </c>
      <c r="U261" s="12" t="str">
        <f>IF(T261&lt;=3,"Fast",IF(T261&lt;=7,"Standard",IF(T261&lt;=14,"Slow","Very Slow")))</f>
        <v>Standard</v>
      </c>
      <c r="V261" s="10" t="str">
        <f>IF(D261&lt;=25,"18-25",IF(D261&lt;=35,"26-35",IF(D261&lt;=45,"36-45",IF(D261&lt;=55,"46-55",IF(D261&lt;=65,"56-65","66-75")))))</f>
        <v>36-45</v>
      </c>
      <c r="W261" s="3">
        <v>5</v>
      </c>
    </row>
    <row r="262" spans="1:23">
      <c r="A262" s="5" t="s">
        <v>881</v>
      </c>
      <c r="B262" s="5" t="s">
        <v>882</v>
      </c>
      <c r="C262" s="6">
        <v>45313</v>
      </c>
      <c r="D262" s="8">
        <v>23</v>
      </c>
      <c r="E262" s="5" t="s">
        <v>20</v>
      </c>
      <c r="F262" s="5" t="s">
        <v>21</v>
      </c>
      <c r="G262" s="5" t="s">
        <v>53</v>
      </c>
      <c r="H262" s="7">
        <v>42.64</v>
      </c>
      <c r="I262" s="3">
        <v>5</v>
      </c>
      <c r="J262" s="33">
        <f>H262*I262</f>
        <v>213.2</v>
      </c>
      <c r="K262" s="4">
        <v>0</v>
      </c>
      <c r="L262" s="9">
        <f>IF(J262=0,0,K262/J262)</f>
        <v>0</v>
      </c>
      <c r="M262" s="25">
        <v>213.2</v>
      </c>
      <c r="N262" s="5" t="s">
        <v>692</v>
      </c>
      <c r="O262" s="5" t="s">
        <v>24</v>
      </c>
      <c r="P262" s="3">
        <v>13</v>
      </c>
      <c r="Q262" s="3">
        <v>4</v>
      </c>
      <c r="R262" s="5" t="b">
        <v>0</v>
      </c>
      <c r="S262" s="5" t="str">
        <f>IF(R262=TRUE,"Returning Customer","New Customer")</f>
        <v>New Customer</v>
      </c>
      <c r="T262" s="3">
        <v>9</v>
      </c>
      <c r="U262" s="12" t="str">
        <f>IF(T262&lt;=3,"Fast",IF(T262&lt;=7,"Standard",IF(T262&lt;=14,"Slow","Very Slow")))</f>
        <v>Slow</v>
      </c>
      <c r="V262" s="10" t="str">
        <f>IF(D262&lt;=25,"18-25",IF(D262&lt;=35,"26-35",IF(D262&lt;=45,"36-45",IF(D262&lt;=55,"46-55",IF(D262&lt;=65,"56-65","66-75")))))</f>
        <v>18-25</v>
      </c>
      <c r="W262" s="3">
        <v>5</v>
      </c>
    </row>
    <row r="263" spans="1:23">
      <c r="A263" s="5" t="s">
        <v>462</v>
      </c>
      <c r="B263" s="5" t="s">
        <v>463</v>
      </c>
      <c r="C263" s="6">
        <v>45300</v>
      </c>
      <c r="D263" s="8">
        <v>34</v>
      </c>
      <c r="E263" s="5" t="s">
        <v>20</v>
      </c>
      <c r="F263" s="5" t="s">
        <v>32</v>
      </c>
      <c r="G263" s="5" t="s">
        <v>115</v>
      </c>
      <c r="H263" s="7">
        <v>98.63</v>
      </c>
      <c r="I263" s="3">
        <v>4</v>
      </c>
      <c r="J263" s="33">
        <f>H263*I263</f>
        <v>394.52</v>
      </c>
      <c r="K263" s="4">
        <v>0</v>
      </c>
      <c r="L263" s="9">
        <f>IF(J263=0,0,K263/J263)</f>
        <v>0</v>
      </c>
      <c r="M263" s="25">
        <v>394.52</v>
      </c>
      <c r="N263" s="5" t="s">
        <v>327</v>
      </c>
      <c r="O263" s="5" t="s">
        <v>33</v>
      </c>
      <c r="P263" s="3">
        <v>11</v>
      </c>
      <c r="Q263" s="3">
        <v>7</v>
      </c>
      <c r="R263" s="5" t="b">
        <v>0</v>
      </c>
      <c r="S263" s="5" t="str">
        <f>IF(R263=TRUE,"Returning Customer","New Customer")</f>
        <v>New Customer</v>
      </c>
      <c r="T263" s="3">
        <v>14</v>
      </c>
      <c r="U263" s="12" t="str">
        <f>IF(T263&lt;=3,"Fast",IF(T263&lt;=7,"Standard",IF(T263&lt;=14,"Slow","Very Slow")))</f>
        <v>Slow</v>
      </c>
      <c r="V263" s="10" t="str">
        <f>IF(D263&lt;=25,"18-25",IF(D263&lt;=35,"26-35",IF(D263&lt;=45,"36-45",IF(D263&lt;=55,"46-55",IF(D263&lt;=65,"56-65","66-75")))))</f>
        <v>26-35</v>
      </c>
      <c r="W263" s="3">
        <v>1</v>
      </c>
    </row>
    <row r="264" spans="1:23">
      <c r="A264" s="5" t="s">
        <v>883</v>
      </c>
      <c r="B264" s="5" t="s">
        <v>884</v>
      </c>
      <c r="C264" s="6">
        <v>45280</v>
      </c>
      <c r="D264" s="8">
        <v>18</v>
      </c>
      <c r="E264" s="5" t="s">
        <v>36</v>
      </c>
      <c r="F264" s="5" t="s">
        <v>32</v>
      </c>
      <c r="G264" s="5" t="s">
        <v>46</v>
      </c>
      <c r="H264" s="7">
        <v>1125.8800000000001</v>
      </c>
      <c r="I264" s="3">
        <v>1</v>
      </c>
      <c r="J264" s="33">
        <f>H264*I264</f>
        <v>1125.8800000000001</v>
      </c>
      <c r="K264" s="4">
        <v>160.21</v>
      </c>
      <c r="L264" s="9">
        <f>IF(J264=0,0,K264/J264)</f>
        <v>0.14229758055920702</v>
      </c>
      <c r="M264" s="25">
        <v>965.67</v>
      </c>
      <c r="N264" s="5" t="s">
        <v>692</v>
      </c>
      <c r="O264" s="5" t="s">
        <v>24</v>
      </c>
      <c r="P264" s="3">
        <v>23</v>
      </c>
      <c r="Q264" s="3">
        <v>3</v>
      </c>
      <c r="R264" s="5" t="b">
        <v>1</v>
      </c>
      <c r="S264" s="5" t="str">
        <f>IF(R264=TRUE,"Returning Customer","New Customer")</f>
        <v>Returning Customer</v>
      </c>
      <c r="T264" s="3">
        <v>18</v>
      </c>
      <c r="U264" s="12" t="str">
        <f>IF(T264&lt;=3,"Fast",IF(T264&lt;=7,"Standard",IF(T264&lt;=14,"Slow","Very Slow")))</f>
        <v>Very Slow</v>
      </c>
      <c r="V264" s="10" t="str">
        <f>IF(D264&lt;=25,"18-25",IF(D264&lt;=35,"26-35",IF(D264&lt;=45,"36-45",IF(D264&lt;=55,"46-55",IF(D264&lt;=65,"56-65","66-75")))))</f>
        <v>18-25</v>
      </c>
      <c r="W264" s="3">
        <v>5</v>
      </c>
    </row>
    <row r="265" spans="1:23">
      <c r="A265" s="5" t="s">
        <v>155</v>
      </c>
      <c r="B265" s="5" t="s">
        <v>156</v>
      </c>
      <c r="C265" s="6">
        <v>45029</v>
      </c>
      <c r="D265" s="8">
        <v>22</v>
      </c>
      <c r="E265" s="5" t="s">
        <v>36</v>
      </c>
      <c r="F265" s="5" t="s">
        <v>49</v>
      </c>
      <c r="G265" s="5" t="s">
        <v>28</v>
      </c>
      <c r="H265" s="7">
        <v>122.17</v>
      </c>
      <c r="I265" s="3">
        <v>1</v>
      </c>
      <c r="J265" s="33">
        <f>H265*I265</f>
        <v>122.17</v>
      </c>
      <c r="K265" s="4">
        <v>0</v>
      </c>
      <c r="L265" s="9">
        <f>IF(J265=0,0,K265/J265)</f>
        <v>0</v>
      </c>
      <c r="M265" s="25">
        <v>122.17</v>
      </c>
      <c r="N265" s="5" t="s">
        <v>23</v>
      </c>
      <c r="O265" s="5" t="s">
        <v>33</v>
      </c>
      <c r="P265" s="3">
        <v>17</v>
      </c>
      <c r="Q265" s="3">
        <v>7</v>
      </c>
      <c r="R265" s="5" t="b">
        <v>1</v>
      </c>
      <c r="S265" s="5" t="str">
        <f>IF(R265=TRUE,"Returning Customer","New Customer")</f>
        <v>Returning Customer</v>
      </c>
      <c r="T265" s="3">
        <v>3</v>
      </c>
      <c r="U265" s="12" t="str">
        <f>IF(T265&lt;=3,"Fast",IF(T265&lt;=7,"Standard",IF(T265&lt;=14,"Slow","Very Slow")))</f>
        <v>Fast</v>
      </c>
      <c r="V265" s="10" t="str">
        <f>IF(D265&lt;=25,"18-25",IF(D265&lt;=35,"26-35",IF(D265&lt;=45,"36-45",IF(D265&lt;=55,"46-55",IF(D265&lt;=65,"56-65","66-75")))))</f>
        <v>18-25</v>
      </c>
      <c r="W265" s="3">
        <v>5</v>
      </c>
    </row>
    <row r="266" spans="1:23">
      <c r="A266" s="5" t="s">
        <v>464</v>
      </c>
      <c r="B266" s="5" t="s">
        <v>465</v>
      </c>
      <c r="C266" s="6">
        <v>45292</v>
      </c>
      <c r="D266" s="8">
        <v>31</v>
      </c>
      <c r="E266" s="5" t="s">
        <v>36</v>
      </c>
      <c r="F266" s="5" t="s">
        <v>52</v>
      </c>
      <c r="G266" s="5" t="s">
        <v>56</v>
      </c>
      <c r="H266" s="7">
        <v>1069.82</v>
      </c>
      <c r="I266" s="3">
        <v>1</v>
      </c>
      <c r="J266" s="33">
        <f>H266*I266</f>
        <v>1069.82</v>
      </c>
      <c r="K266" s="4">
        <v>0</v>
      </c>
      <c r="L266" s="9">
        <f>IF(J266=0,0,K266/J266)</f>
        <v>0</v>
      </c>
      <c r="M266" s="25">
        <v>1069.82</v>
      </c>
      <c r="N266" s="5" t="s">
        <v>327</v>
      </c>
      <c r="O266" s="5" t="s">
        <v>33</v>
      </c>
      <c r="P266" s="3">
        <v>13</v>
      </c>
      <c r="Q266" s="3">
        <v>11</v>
      </c>
      <c r="R266" s="5" t="b">
        <v>0</v>
      </c>
      <c r="S266" s="5" t="str">
        <f>IF(R266=TRUE,"Returning Customer","New Customer")</f>
        <v>New Customer</v>
      </c>
      <c r="T266" s="3">
        <v>15</v>
      </c>
      <c r="U266" s="12" t="str">
        <f>IF(T266&lt;=3,"Fast",IF(T266&lt;=7,"Standard",IF(T266&lt;=14,"Slow","Very Slow")))</f>
        <v>Very Slow</v>
      </c>
      <c r="V266" s="10" t="str">
        <f>IF(D266&lt;=25,"18-25",IF(D266&lt;=35,"26-35",IF(D266&lt;=45,"36-45",IF(D266&lt;=55,"46-55",IF(D266&lt;=65,"56-65","66-75")))))</f>
        <v>26-35</v>
      </c>
      <c r="W266" s="3">
        <v>2</v>
      </c>
    </row>
    <row r="267" spans="1:23">
      <c r="A267" s="5" t="s">
        <v>466</v>
      </c>
      <c r="B267" s="5" t="s">
        <v>467</v>
      </c>
      <c r="C267" s="6">
        <v>45086</v>
      </c>
      <c r="D267" s="8">
        <v>20</v>
      </c>
      <c r="E267" s="5" t="s">
        <v>36</v>
      </c>
      <c r="F267" s="5" t="s">
        <v>59</v>
      </c>
      <c r="G267" s="5" t="s">
        <v>115</v>
      </c>
      <c r="H267" s="7">
        <v>44.35</v>
      </c>
      <c r="I267" s="3">
        <v>3</v>
      </c>
      <c r="J267" s="33">
        <f>H267*I267</f>
        <v>133.05000000000001</v>
      </c>
      <c r="K267" s="4">
        <v>0</v>
      </c>
      <c r="L267" s="9">
        <f>IF(J267=0,0,K267/J267)</f>
        <v>0</v>
      </c>
      <c r="M267" s="25">
        <v>133.05000000000001</v>
      </c>
      <c r="N267" s="5" t="s">
        <v>327</v>
      </c>
      <c r="O267" s="5" t="s">
        <v>24</v>
      </c>
      <c r="P267" s="3">
        <v>8</v>
      </c>
      <c r="Q267" s="3">
        <v>10</v>
      </c>
      <c r="R267" s="5" t="b">
        <v>1</v>
      </c>
      <c r="S267" s="5" t="str">
        <f>IF(R267=TRUE,"Returning Customer","New Customer")</f>
        <v>Returning Customer</v>
      </c>
      <c r="T267" s="3">
        <v>7</v>
      </c>
      <c r="U267" s="12" t="str">
        <f>IF(T267&lt;=3,"Fast",IF(T267&lt;=7,"Standard",IF(T267&lt;=14,"Slow","Very Slow")))</f>
        <v>Standard</v>
      </c>
      <c r="V267" s="10" t="str">
        <f>IF(D267&lt;=25,"18-25",IF(D267&lt;=35,"26-35",IF(D267&lt;=45,"36-45",IF(D267&lt;=55,"46-55",IF(D267&lt;=65,"56-65","66-75")))))</f>
        <v>18-25</v>
      </c>
      <c r="W267" s="3">
        <v>4</v>
      </c>
    </row>
    <row r="268" spans="1:23">
      <c r="A268" s="5" t="s">
        <v>885</v>
      </c>
      <c r="B268" s="5" t="s">
        <v>886</v>
      </c>
      <c r="C268" s="6">
        <v>45131</v>
      </c>
      <c r="D268" s="8">
        <v>54</v>
      </c>
      <c r="E268" s="5" t="s">
        <v>20</v>
      </c>
      <c r="F268" s="5" t="s">
        <v>76</v>
      </c>
      <c r="G268" s="5" t="s">
        <v>28</v>
      </c>
      <c r="H268" s="7">
        <v>72.260000000000005</v>
      </c>
      <c r="I268" s="3">
        <v>1</v>
      </c>
      <c r="J268" s="33">
        <f>H268*I268</f>
        <v>72.260000000000005</v>
      </c>
      <c r="K268" s="4">
        <v>0</v>
      </c>
      <c r="L268" s="9">
        <f>IF(J268=0,0,K268/J268)</f>
        <v>0</v>
      </c>
      <c r="M268" s="25">
        <v>72.260000000000005</v>
      </c>
      <c r="N268" s="5" t="s">
        <v>692</v>
      </c>
      <c r="O268" s="5" t="s">
        <v>29</v>
      </c>
      <c r="P268" s="3">
        <v>11</v>
      </c>
      <c r="Q268" s="3">
        <v>9</v>
      </c>
      <c r="R268" s="5" t="b">
        <v>0</v>
      </c>
      <c r="S268" s="5" t="str">
        <f>IF(R268=TRUE,"Returning Customer","New Customer")</f>
        <v>New Customer</v>
      </c>
      <c r="T268" s="3">
        <v>4</v>
      </c>
      <c r="U268" s="12" t="str">
        <f>IF(T268&lt;=3,"Fast",IF(T268&lt;=7,"Standard",IF(T268&lt;=14,"Slow","Very Slow")))</f>
        <v>Standard</v>
      </c>
      <c r="V268" s="10" t="str">
        <f>IF(D268&lt;=25,"18-25",IF(D268&lt;=35,"26-35",IF(D268&lt;=45,"36-45",IF(D268&lt;=55,"46-55",IF(D268&lt;=65,"56-65","66-75")))))</f>
        <v>46-55</v>
      </c>
      <c r="W268" s="3">
        <v>5</v>
      </c>
    </row>
    <row r="269" spans="1:23">
      <c r="A269" s="5" t="s">
        <v>887</v>
      </c>
      <c r="B269" s="5" t="s">
        <v>888</v>
      </c>
      <c r="C269" s="6">
        <v>45270</v>
      </c>
      <c r="D269" s="8">
        <v>18</v>
      </c>
      <c r="E269" s="5" t="s">
        <v>36</v>
      </c>
      <c r="F269" s="5" t="s">
        <v>59</v>
      </c>
      <c r="G269" s="5" t="s">
        <v>37</v>
      </c>
      <c r="H269" s="7">
        <v>147.04</v>
      </c>
      <c r="I269" s="3">
        <v>4</v>
      </c>
      <c r="J269" s="33">
        <f>H269*I269</f>
        <v>588.16</v>
      </c>
      <c r="K269" s="4">
        <v>11.25</v>
      </c>
      <c r="L269" s="9">
        <f>IF(J269=0,0,K269/J269)</f>
        <v>1.9127448313384116E-2</v>
      </c>
      <c r="M269" s="25">
        <v>576.91</v>
      </c>
      <c r="N269" s="5" t="s">
        <v>692</v>
      </c>
      <c r="O269" s="5" t="s">
        <v>33</v>
      </c>
      <c r="P269" s="3">
        <v>10</v>
      </c>
      <c r="Q269" s="3">
        <v>7</v>
      </c>
      <c r="R269" s="5" t="b">
        <v>1</v>
      </c>
      <c r="S269" s="5" t="str">
        <f>IF(R269=TRUE,"Returning Customer","New Customer")</f>
        <v>Returning Customer</v>
      </c>
      <c r="T269" s="3">
        <v>12</v>
      </c>
      <c r="U269" s="12" t="str">
        <f>IF(T269&lt;=3,"Fast",IF(T269&lt;=7,"Standard",IF(T269&lt;=14,"Slow","Very Slow")))</f>
        <v>Slow</v>
      </c>
      <c r="V269" s="10" t="str">
        <f>IF(D269&lt;=25,"18-25",IF(D269&lt;=35,"26-35",IF(D269&lt;=45,"36-45",IF(D269&lt;=55,"46-55",IF(D269&lt;=65,"56-65","66-75")))))</f>
        <v>18-25</v>
      </c>
      <c r="W269" s="3">
        <v>5</v>
      </c>
    </row>
    <row r="270" spans="1:23">
      <c r="A270" s="5" t="s">
        <v>157</v>
      </c>
      <c r="B270" s="5" t="s">
        <v>158</v>
      </c>
      <c r="C270" s="6">
        <v>45259</v>
      </c>
      <c r="D270" s="8">
        <v>29</v>
      </c>
      <c r="E270" s="5" t="s">
        <v>36</v>
      </c>
      <c r="F270" s="5" t="s">
        <v>52</v>
      </c>
      <c r="G270" s="5" t="s">
        <v>46</v>
      </c>
      <c r="H270" s="7">
        <v>318.48</v>
      </c>
      <c r="I270" s="3">
        <v>3</v>
      </c>
      <c r="J270" s="33">
        <f>H270*I270</f>
        <v>955.44</v>
      </c>
      <c r="K270" s="4">
        <v>0</v>
      </c>
      <c r="L270" s="9">
        <f>IF(J270=0,0,K270/J270)</f>
        <v>0</v>
      </c>
      <c r="M270" s="25">
        <v>955.44</v>
      </c>
      <c r="N270" s="5" t="s">
        <v>23</v>
      </c>
      <c r="O270" s="5" t="s">
        <v>24</v>
      </c>
      <c r="P270" s="3">
        <v>20</v>
      </c>
      <c r="Q270" s="3">
        <v>9</v>
      </c>
      <c r="R270" s="5" t="b">
        <v>1</v>
      </c>
      <c r="S270" s="5" t="str">
        <f>IF(R270=TRUE,"Returning Customer","New Customer")</f>
        <v>Returning Customer</v>
      </c>
      <c r="T270" s="3">
        <v>8</v>
      </c>
      <c r="U270" s="12" t="str">
        <f>IF(T270&lt;=3,"Fast",IF(T270&lt;=7,"Standard",IF(T270&lt;=14,"Slow","Very Slow")))</f>
        <v>Slow</v>
      </c>
      <c r="V270" s="10" t="str">
        <f>IF(D270&lt;=25,"18-25",IF(D270&lt;=35,"26-35",IF(D270&lt;=45,"36-45",IF(D270&lt;=55,"46-55",IF(D270&lt;=65,"56-65","66-75")))))</f>
        <v>26-35</v>
      </c>
      <c r="W270" s="3">
        <v>3</v>
      </c>
    </row>
    <row r="271" spans="1:23">
      <c r="A271" s="5" t="s">
        <v>159</v>
      </c>
      <c r="B271" s="5" t="s">
        <v>160</v>
      </c>
      <c r="C271" s="6">
        <v>45118</v>
      </c>
      <c r="D271" s="8">
        <v>36</v>
      </c>
      <c r="E271" s="5" t="s">
        <v>20</v>
      </c>
      <c r="F271" s="5" t="s">
        <v>59</v>
      </c>
      <c r="G271" s="5" t="s">
        <v>28</v>
      </c>
      <c r="H271" s="7">
        <v>80.06</v>
      </c>
      <c r="I271" s="3">
        <v>1</v>
      </c>
      <c r="J271" s="33">
        <f>H271*I271</f>
        <v>80.06</v>
      </c>
      <c r="K271" s="4">
        <v>11.58</v>
      </c>
      <c r="L271" s="9">
        <f>IF(J271=0,0,K271/J271)</f>
        <v>0.14464151886085436</v>
      </c>
      <c r="M271" s="25">
        <v>68.48</v>
      </c>
      <c r="N271" s="5" t="s">
        <v>23</v>
      </c>
      <c r="O271" s="5" t="s">
        <v>24</v>
      </c>
      <c r="P271" s="3">
        <v>2</v>
      </c>
      <c r="Q271" s="3">
        <v>10</v>
      </c>
      <c r="R271" s="5" t="b">
        <v>0</v>
      </c>
      <c r="S271" s="5" t="str">
        <f>IF(R271=TRUE,"Returning Customer","New Customer")</f>
        <v>New Customer</v>
      </c>
      <c r="T271" s="3">
        <v>6</v>
      </c>
      <c r="U271" s="12" t="str">
        <f>IF(T271&lt;=3,"Fast",IF(T271&lt;=7,"Standard",IF(T271&lt;=14,"Slow","Very Slow")))</f>
        <v>Standard</v>
      </c>
      <c r="V271" s="10" t="str">
        <f>IF(D271&lt;=25,"18-25",IF(D271&lt;=35,"26-35",IF(D271&lt;=45,"36-45",IF(D271&lt;=55,"46-55",IF(D271&lt;=65,"56-65","66-75")))))</f>
        <v>36-45</v>
      </c>
      <c r="W271" s="3">
        <v>2</v>
      </c>
    </row>
    <row r="272" spans="1:23">
      <c r="A272" s="5" t="s">
        <v>468</v>
      </c>
      <c r="B272" s="5" t="s">
        <v>469</v>
      </c>
      <c r="C272" s="6">
        <v>45151</v>
      </c>
      <c r="D272" s="8">
        <v>52</v>
      </c>
      <c r="E272" s="5" t="s">
        <v>20</v>
      </c>
      <c r="F272" s="5" t="s">
        <v>52</v>
      </c>
      <c r="G272" s="5" t="s">
        <v>115</v>
      </c>
      <c r="H272" s="7">
        <v>28.67</v>
      </c>
      <c r="I272" s="3">
        <v>5</v>
      </c>
      <c r="J272" s="33">
        <f>H272*I272</f>
        <v>143.35000000000002</v>
      </c>
      <c r="K272" s="4">
        <v>8.34</v>
      </c>
      <c r="L272" s="9">
        <f>IF(J272=0,0,K272/J272)</f>
        <v>5.8179281478897796E-2</v>
      </c>
      <c r="M272" s="25">
        <v>135.01</v>
      </c>
      <c r="N272" s="5" t="s">
        <v>327</v>
      </c>
      <c r="O272" s="5" t="s">
        <v>24</v>
      </c>
      <c r="P272" s="3">
        <v>8</v>
      </c>
      <c r="Q272" s="3">
        <v>11</v>
      </c>
      <c r="R272" s="5" t="b">
        <v>1</v>
      </c>
      <c r="S272" s="5" t="str">
        <f>IF(R272=TRUE,"Returning Customer","New Customer")</f>
        <v>Returning Customer</v>
      </c>
      <c r="T272" s="3">
        <v>6</v>
      </c>
      <c r="U272" s="12" t="str">
        <f>IF(T272&lt;=3,"Fast",IF(T272&lt;=7,"Standard",IF(T272&lt;=14,"Slow","Very Slow")))</f>
        <v>Standard</v>
      </c>
      <c r="V272" s="10" t="str">
        <f>IF(D272&lt;=25,"18-25",IF(D272&lt;=35,"26-35",IF(D272&lt;=45,"36-45",IF(D272&lt;=55,"46-55",IF(D272&lt;=65,"56-65","66-75")))))</f>
        <v>46-55</v>
      </c>
      <c r="W272" s="3">
        <v>4</v>
      </c>
    </row>
    <row r="273" spans="1:23">
      <c r="A273" s="5" t="s">
        <v>470</v>
      </c>
      <c r="B273" s="5" t="s">
        <v>471</v>
      </c>
      <c r="C273" s="6">
        <v>45191</v>
      </c>
      <c r="D273" s="8">
        <v>18</v>
      </c>
      <c r="E273" s="5" t="s">
        <v>36</v>
      </c>
      <c r="F273" s="5" t="s">
        <v>32</v>
      </c>
      <c r="G273" s="5" t="s">
        <v>28</v>
      </c>
      <c r="H273" s="7">
        <v>37.04</v>
      </c>
      <c r="I273" s="3">
        <v>2</v>
      </c>
      <c r="J273" s="33">
        <f>H273*I273</f>
        <v>74.08</v>
      </c>
      <c r="K273" s="4">
        <v>10.46</v>
      </c>
      <c r="L273" s="9">
        <f>IF(J273=0,0,K273/J273)</f>
        <v>0.14119870410367172</v>
      </c>
      <c r="M273" s="25">
        <v>63.62</v>
      </c>
      <c r="N273" s="5" t="s">
        <v>327</v>
      </c>
      <c r="O273" s="5" t="s">
        <v>33</v>
      </c>
      <c r="P273" s="3">
        <v>5</v>
      </c>
      <c r="Q273" s="3">
        <v>4</v>
      </c>
      <c r="R273" s="5" t="b">
        <v>0</v>
      </c>
      <c r="S273" s="5" t="str">
        <f>IF(R273=TRUE,"Returning Customer","New Customer")</f>
        <v>New Customer</v>
      </c>
      <c r="T273" s="3">
        <v>13</v>
      </c>
      <c r="U273" s="12" t="str">
        <f>IF(T273&lt;=3,"Fast",IF(T273&lt;=7,"Standard",IF(T273&lt;=14,"Slow","Very Slow")))</f>
        <v>Slow</v>
      </c>
      <c r="V273" s="10" t="str">
        <f>IF(D273&lt;=25,"18-25",IF(D273&lt;=35,"26-35",IF(D273&lt;=45,"36-45",IF(D273&lt;=55,"46-55",IF(D273&lt;=65,"56-65","66-75")))))</f>
        <v>18-25</v>
      </c>
      <c r="W273" s="3">
        <v>5</v>
      </c>
    </row>
    <row r="274" spans="1:23">
      <c r="A274" s="5" t="s">
        <v>889</v>
      </c>
      <c r="B274" s="5" t="s">
        <v>890</v>
      </c>
      <c r="C274" s="6">
        <v>45158</v>
      </c>
      <c r="D274" s="8">
        <v>48</v>
      </c>
      <c r="E274" s="5" t="s">
        <v>36</v>
      </c>
      <c r="F274" s="5" t="s">
        <v>32</v>
      </c>
      <c r="G274" s="5" t="s">
        <v>37</v>
      </c>
      <c r="H274" s="7">
        <v>98.5</v>
      </c>
      <c r="I274" s="3">
        <v>1</v>
      </c>
      <c r="J274" s="33">
        <f>H274*I274</f>
        <v>98.5</v>
      </c>
      <c r="K274" s="4">
        <v>18.79</v>
      </c>
      <c r="L274" s="9">
        <f>IF(J274=0,0,K274/J274)</f>
        <v>0.19076142131979695</v>
      </c>
      <c r="M274" s="25">
        <v>79.709999999999994</v>
      </c>
      <c r="N274" s="5" t="s">
        <v>692</v>
      </c>
      <c r="O274" s="5" t="s">
        <v>29</v>
      </c>
      <c r="P274" s="3">
        <v>8</v>
      </c>
      <c r="Q274" s="3">
        <v>11</v>
      </c>
      <c r="R274" s="5" t="b">
        <v>1</v>
      </c>
      <c r="S274" s="5" t="str">
        <f>IF(R274=TRUE,"Returning Customer","New Customer")</f>
        <v>Returning Customer</v>
      </c>
      <c r="T274" s="3">
        <v>8</v>
      </c>
      <c r="U274" s="12" t="str">
        <f>IF(T274&lt;=3,"Fast",IF(T274&lt;=7,"Standard",IF(T274&lt;=14,"Slow","Very Slow")))</f>
        <v>Slow</v>
      </c>
      <c r="V274" s="10" t="str">
        <f>IF(D274&lt;=25,"18-25",IF(D274&lt;=35,"26-35",IF(D274&lt;=45,"36-45",IF(D274&lt;=55,"46-55",IF(D274&lt;=65,"56-65","66-75")))))</f>
        <v>46-55</v>
      </c>
      <c r="W274" s="3">
        <v>5</v>
      </c>
    </row>
    <row r="275" spans="1:23">
      <c r="A275" s="5" t="s">
        <v>1349</v>
      </c>
      <c r="B275" s="5" t="s">
        <v>1350</v>
      </c>
      <c r="C275" s="6">
        <v>44988</v>
      </c>
      <c r="D275" s="8">
        <v>35</v>
      </c>
      <c r="E275" s="5" t="s">
        <v>20</v>
      </c>
      <c r="F275" s="5" t="s">
        <v>52</v>
      </c>
      <c r="G275" s="5" t="s">
        <v>22</v>
      </c>
      <c r="H275" s="7">
        <v>154.55000000000001</v>
      </c>
      <c r="I275" s="3">
        <v>3</v>
      </c>
      <c r="J275" s="33">
        <f>H275*I275</f>
        <v>463.65000000000003</v>
      </c>
      <c r="K275" s="4">
        <v>32.39</v>
      </c>
      <c r="L275" s="9">
        <f>IF(J275=0,0,K275/J275)</f>
        <v>6.9858729645206508E-2</v>
      </c>
      <c r="M275" s="25">
        <v>431.26</v>
      </c>
      <c r="N275" s="5" t="s">
        <v>1298</v>
      </c>
      <c r="O275" s="5" t="s">
        <v>33</v>
      </c>
      <c r="P275" s="3">
        <v>17</v>
      </c>
      <c r="Q275" s="3">
        <v>8</v>
      </c>
      <c r="R275" s="5" t="b">
        <v>1</v>
      </c>
      <c r="S275" s="5" t="str">
        <f>IF(R275=TRUE,"Returning Customer","New Customer")</f>
        <v>Returning Customer</v>
      </c>
      <c r="T275" s="3">
        <v>8</v>
      </c>
      <c r="U275" s="12" t="str">
        <f>IF(T275&lt;=3,"Fast",IF(T275&lt;=7,"Standard",IF(T275&lt;=14,"Slow","Very Slow")))</f>
        <v>Slow</v>
      </c>
      <c r="V275" s="10" t="str">
        <f>IF(D275&lt;=25,"18-25",IF(D275&lt;=35,"26-35",IF(D275&lt;=45,"36-45",IF(D275&lt;=55,"46-55",IF(D275&lt;=65,"56-65","66-75")))))</f>
        <v>26-35</v>
      </c>
      <c r="W275" s="3">
        <v>3</v>
      </c>
    </row>
    <row r="276" spans="1:23">
      <c r="A276" s="5" t="s">
        <v>161</v>
      </c>
      <c r="B276" s="5" t="s">
        <v>162</v>
      </c>
      <c r="C276" s="6">
        <v>45053</v>
      </c>
      <c r="D276" s="8">
        <v>23</v>
      </c>
      <c r="E276" s="5" t="s">
        <v>36</v>
      </c>
      <c r="F276" s="5" t="s">
        <v>88</v>
      </c>
      <c r="G276" s="5" t="s">
        <v>115</v>
      </c>
      <c r="H276" s="7">
        <v>110.67</v>
      </c>
      <c r="I276" s="3">
        <v>2</v>
      </c>
      <c r="J276" s="33">
        <f>H276*I276</f>
        <v>221.34</v>
      </c>
      <c r="K276" s="4">
        <v>0</v>
      </c>
      <c r="L276" s="9">
        <f>IF(J276=0,0,K276/J276)</f>
        <v>0</v>
      </c>
      <c r="M276" s="25">
        <v>221.34</v>
      </c>
      <c r="N276" s="5" t="s">
        <v>23</v>
      </c>
      <c r="O276" s="5" t="s">
        <v>33</v>
      </c>
      <c r="P276" s="3">
        <v>17</v>
      </c>
      <c r="Q276" s="3">
        <v>6</v>
      </c>
      <c r="R276" s="5" t="b">
        <v>0</v>
      </c>
      <c r="S276" s="5" t="str">
        <f>IF(R276=TRUE,"Returning Customer","New Customer")</f>
        <v>New Customer</v>
      </c>
      <c r="T276" s="3">
        <v>10</v>
      </c>
      <c r="U276" s="12" t="str">
        <f>IF(T276&lt;=3,"Fast",IF(T276&lt;=7,"Standard",IF(T276&lt;=14,"Slow","Very Slow")))</f>
        <v>Slow</v>
      </c>
      <c r="V276" s="10" t="str">
        <f>IF(D276&lt;=25,"18-25",IF(D276&lt;=35,"26-35",IF(D276&lt;=45,"36-45",IF(D276&lt;=55,"46-55",IF(D276&lt;=65,"56-65","66-75")))))</f>
        <v>18-25</v>
      </c>
      <c r="W276" s="3">
        <v>4</v>
      </c>
    </row>
    <row r="277" spans="1:23">
      <c r="A277" s="5" t="s">
        <v>472</v>
      </c>
      <c r="B277" s="5" t="s">
        <v>473</v>
      </c>
      <c r="C277" s="6">
        <v>45042</v>
      </c>
      <c r="D277" s="8">
        <v>40</v>
      </c>
      <c r="E277" s="5" t="s">
        <v>36</v>
      </c>
      <c r="F277" s="5" t="s">
        <v>32</v>
      </c>
      <c r="G277" s="5" t="s">
        <v>37</v>
      </c>
      <c r="H277" s="7">
        <v>265.5</v>
      </c>
      <c r="I277" s="3">
        <v>4</v>
      </c>
      <c r="J277" s="33">
        <f>H277*I277</f>
        <v>1062</v>
      </c>
      <c r="K277" s="4">
        <v>36.65</v>
      </c>
      <c r="L277" s="9">
        <f>IF(J277=0,0,K277/J277)</f>
        <v>3.4510357815442559E-2</v>
      </c>
      <c r="M277" s="25">
        <v>1025.3499999999999</v>
      </c>
      <c r="N277" s="5" t="s">
        <v>327</v>
      </c>
      <c r="O277" s="5" t="s">
        <v>24</v>
      </c>
      <c r="P277" s="3">
        <v>16</v>
      </c>
      <c r="Q277" s="3">
        <v>5</v>
      </c>
      <c r="R277" s="5" t="b">
        <v>0</v>
      </c>
      <c r="S277" s="5" t="str">
        <f>IF(R277=TRUE,"Returning Customer","New Customer")</f>
        <v>New Customer</v>
      </c>
      <c r="T277" s="3">
        <v>4</v>
      </c>
      <c r="U277" s="12" t="str">
        <f>IF(T277&lt;=3,"Fast",IF(T277&lt;=7,"Standard",IF(T277&lt;=14,"Slow","Very Slow")))</f>
        <v>Standard</v>
      </c>
      <c r="V277" s="10" t="str">
        <f>IF(D277&lt;=25,"18-25",IF(D277&lt;=35,"26-35",IF(D277&lt;=45,"36-45",IF(D277&lt;=55,"46-55",IF(D277&lt;=65,"56-65","66-75")))))</f>
        <v>36-45</v>
      </c>
      <c r="W277" s="3">
        <v>5</v>
      </c>
    </row>
    <row r="278" spans="1:23">
      <c r="A278" s="5" t="s">
        <v>1351</v>
      </c>
      <c r="B278" s="5" t="s">
        <v>1352</v>
      </c>
      <c r="C278" s="6">
        <v>44959</v>
      </c>
      <c r="D278" s="8">
        <v>37</v>
      </c>
      <c r="E278" s="5" t="s">
        <v>20</v>
      </c>
      <c r="F278" s="5" t="s">
        <v>32</v>
      </c>
      <c r="G278" s="5" t="s">
        <v>22</v>
      </c>
      <c r="H278" s="7">
        <v>114.14</v>
      </c>
      <c r="I278" s="3">
        <v>2</v>
      </c>
      <c r="J278" s="33">
        <f>H278*I278</f>
        <v>228.28</v>
      </c>
      <c r="K278" s="4">
        <v>0</v>
      </c>
      <c r="L278" s="9">
        <f>IF(J278=0,0,K278/J278)</f>
        <v>0</v>
      </c>
      <c r="M278" s="25">
        <v>228.28</v>
      </c>
      <c r="N278" s="5" t="s">
        <v>1298</v>
      </c>
      <c r="O278" s="5" t="s">
        <v>33</v>
      </c>
      <c r="P278" s="3">
        <v>5</v>
      </c>
      <c r="Q278" s="3">
        <v>10</v>
      </c>
      <c r="R278" s="5" t="b">
        <v>1</v>
      </c>
      <c r="S278" s="5" t="str">
        <f>IF(R278=TRUE,"Returning Customer","New Customer")</f>
        <v>Returning Customer</v>
      </c>
      <c r="T278" s="3">
        <v>9</v>
      </c>
      <c r="U278" s="12" t="str">
        <f>IF(T278&lt;=3,"Fast",IF(T278&lt;=7,"Standard",IF(T278&lt;=14,"Slow","Very Slow")))</f>
        <v>Slow</v>
      </c>
      <c r="V278" s="10" t="str">
        <f>IF(D278&lt;=25,"18-25",IF(D278&lt;=35,"26-35",IF(D278&lt;=45,"36-45",IF(D278&lt;=55,"46-55",IF(D278&lt;=65,"56-65","66-75")))))</f>
        <v>36-45</v>
      </c>
      <c r="W278" s="3">
        <v>5</v>
      </c>
    </row>
    <row r="279" spans="1:23">
      <c r="A279" s="5" t="s">
        <v>891</v>
      </c>
      <c r="B279" s="5" t="s">
        <v>892</v>
      </c>
      <c r="C279" s="6">
        <v>45100</v>
      </c>
      <c r="D279" s="8">
        <v>27</v>
      </c>
      <c r="E279" s="5" t="s">
        <v>20</v>
      </c>
      <c r="F279" s="5" t="s">
        <v>83</v>
      </c>
      <c r="G279" s="5" t="s">
        <v>56</v>
      </c>
      <c r="H279" s="7">
        <v>181.56</v>
      </c>
      <c r="I279" s="3">
        <v>2</v>
      </c>
      <c r="J279" s="33">
        <f>H279*I279</f>
        <v>363.12</v>
      </c>
      <c r="K279" s="4">
        <v>0</v>
      </c>
      <c r="L279" s="9">
        <f>IF(J279=0,0,K279/J279)</f>
        <v>0</v>
      </c>
      <c r="M279" s="25">
        <v>363.12</v>
      </c>
      <c r="N279" s="5" t="s">
        <v>692</v>
      </c>
      <c r="O279" s="5" t="s">
        <v>33</v>
      </c>
      <c r="P279" s="3">
        <v>14</v>
      </c>
      <c r="Q279" s="3">
        <v>5</v>
      </c>
      <c r="R279" s="5" t="b">
        <v>1</v>
      </c>
      <c r="S279" s="5" t="str">
        <f>IF(R279=TRUE,"Returning Customer","New Customer")</f>
        <v>Returning Customer</v>
      </c>
      <c r="T279" s="3">
        <v>7</v>
      </c>
      <c r="U279" s="12" t="str">
        <f>IF(T279&lt;=3,"Fast",IF(T279&lt;=7,"Standard",IF(T279&lt;=14,"Slow","Very Slow")))</f>
        <v>Standard</v>
      </c>
      <c r="V279" s="10" t="str">
        <f>IF(D279&lt;=25,"18-25",IF(D279&lt;=35,"26-35",IF(D279&lt;=45,"36-45",IF(D279&lt;=55,"46-55",IF(D279&lt;=65,"56-65","66-75")))))</f>
        <v>26-35</v>
      </c>
      <c r="W279" s="3">
        <v>5</v>
      </c>
    </row>
    <row r="280" spans="1:23">
      <c r="A280" s="5" t="s">
        <v>163</v>
      </c>
      <c r="B280" s="5" t="s">
        <v>164</v>
      </c>
      <c r="C280" s="6">
        <v>44937</v>
      </c>
      <c r="D280" s="8">
        <v>35</v>
      </c>
      <c r="E280" s="5" t="s">
        <v>20</v>
      </c>
      <c r="F280" s="5" t="s">
        <v>32</v>
      </c>
      <c r="G280" s="5" t="s">
        <v>46</v>
      </c>
      <c r="H280" s="7">
        <v>1148.1099999999999</v>
      </c>
      <c r="I280" s="3">
        <v>1</v>
      </c>
      <c r="J280" s="33">
        <f>H280*I280</f>
        <v>1148.1099999999999</v>
      </c>
      <c r="K280" s="4">
        <v>0</v>
      </c>
      <c r="L280" s="9">
        <f>IF(J280=0,0,K280/J280)</f>
        <v>0</v>
      </c>
      <c r="M280" s="25">
        <v>1148.1099999999999</v>
      </c>
      <c r="N280" s="5" t="s">
        <v>23</v>
      </c>
      <c r="O280" s="5" t="s">
        <v>33</v>
      </c>
      <c r="P280" s="3">
        <v>26</v>
      </c>
      <c r="Q280" s="3">
        <v>9</v>
      </c>
      <c r="R280" s="5" t="b">
        <v>0</v>
      </c>
      <c r="S280" s="5" t="str">
        <f>IF(R280=TRUE,"Returning Customer","New Customer")</f>
        <v>New Customer</v>
      </c>
      <c r="T280" s="3">
        <v>12</v>
      </c>
      <c r="U280" s="12" t="str">
        <f>IF(T280&lt;=3,"Fast",IF(T280&lt;=7,"Standard",IF(T280&lt;=14,"Slow","Very Slow")))</f>
        <v>Slow</v>
      </c>
      <c r="V280" s="10" t="str">
        <f>IF(D280&lt;=25,"18-25",IF(D280&lt;=35,"26-35",IF(D280&lt;=45,"36-45",IF(D280&lt;=55,"46-55",IF(D280&lt;=65,"56-65","66-75")))))</f>
        <v>26-35</v>
      </c>
      <c r="W280" s="3">
        <v>5</v>
      </c>
    </row>
    <row r="281" spans="1:23">
      <c r="A281" s="5" t="s">
        <v>1260</v>
      </c>
      <c r="B281" s="5" t="s">
        <v>1261</v>
      </c>
      <c r="C281" s="6">
        <v>45228</v>
      </c>
      <c r="D281" s="8">
        <v>30</v>
      </c>
      <c r="E281" s="5" t="s">
        <v>36</v>
      </c>
      <c r="F281" s="5" t="s">
        <v>59</v>
      </c>
      <c r="G281" s="5" t="s">
        <v>28</v>
      </c>
      <c r="H281" s="7">
        <v>164.95</v>
      </c>
      <c r="I281" s="3">
        <v>4</v>
      </c>
      <c r="J281" s="33">
        <f>H281*I281</f>
        <v>659.8</v>
      </c>
      <c r="K281" s="4">
        <v>0</v>
      </c>
      <c r="L281" s="9">
        <f>IF(J281=0,0,K281/J281)</f>
        <v>0</v>
      </c>
      <c r="M281" s="25">
        <v>659.8</v>
      </c>
      <c r="N281" s="5" t="s">
        <v>1231</v>
      </c>
      <c r="O281" s="5" t="s">
        <v>33</v>
      </c>
      <c r="P281" s="3">
        <v>11</v>
      </c>
      <c r="Q281" s="3">
        <v>8</v>
      </c>
      <c r="R281" s="5" t="b">
        <v>0</v>
      </c>
      <c r="S281" s="5" t="str">
        <f>IF(R281=TRUE,"Returning Customer","New Customer")</f>
        <v>New Customer</v>
      </c>
      <c r="T281" s="3">
        <v>9</v>
      </c>
      <c r="U281" s="12" t="str">
        <f>IF(T281&lt;=3,"Fast",IF(T281&lt;=7,"Standard",IF(T281&lt;=14,"Slow","Very Slow")))</f>
        <v>Slow</v>
      </c>
      <c r="V281" s="10" t="str">
        <f>IF(D281&lt;=25,"18-25",IF(D281&lt;=35,"26-35",IF(D281&lt;=45,"36-45",IF(D281&lt;=55,"46-55",IF(D281&lt;=65,"56-65","66-75")))))</f>
        <v>26-35</v>
      </c>
      <c r="W281" s="3">
        <v>3</v>
      </c>
    </row>
    <row r="282" spans="1:23">
      <c r="A282" s="5" t="s">
        <v>893</v>
      </c>
      <c r="B282" s="5" t="s">
        <v>894</v>
      </c>
      <c r="C282" s="6">
        <v>45210</v>
      </c>
      <c r="D282" s="8">
        <v>36</v>
      </c>
      <c r="E282" s="5" t="s">
        <v>20</v>
      </c>
      <c r="F282" s="5" t="s">
        <v>52</v>
      </c>
      <c r="G282" s="5" t="s">
        <v>56</v>
      </c>
      <c r="H282" s="7">
        <v>635.86</v>
      </c>
      <c r="I282" s="3">
        <v>1</v>
      </c>
      <c r="J282" s="33">
        <f>H282*I282</f>
        <v>635.86</v>
      </c>
      <c r="K282" s="4">
        <v>65.25</v>
      </c>
      <c r="L282" s="9">
        <f>IF(J282=0,0,K282/J282)</f>
        <v>0.10261692825464724</v>
      </c>
      <c r="M282" s="25">
        <v>570.61</v>
      </c>
      <c r="N282" s="5" t="s">
        <v>692</v>
      </c>
      <c r="O282" s="5" t="s">
        <v>33</v>
      </c>
      <c r="P282" s="3">
        <v>12</v>
      </c>
      <c r="Q282" s="3">
        <v>9</v>
      </c>
      <c r="R282" s="5" t="b">
        <v>0</v>
      </c>
      <c r="S282" s="5" t="str">
        <f>IF(R282=TRUE,"Returning Customer","New Customer")</f>
        <v>New Customer</v>
      </c>
      <c r="T282" s="3">
        <v>3</v>
      </c>
      <c r="U282" s="12" t="str">
        <f>IF(T282&lt;=3,"Fast",IF(T282&lt;=7,"Standard",IF(T282&lt;=14,"Slow","Very Slow")))</f>
        <v>Fast</v>
      </c>
      <c r="V282" s="10" t="str">
        <f>IF(D282&lt;=25,"18-25",IF(D282&lt;=35,"26-35",IF(D282&lt;=45,"36-45",IF(D282&lt;=55,"46-55",IF(D282&lt;=65,"56-65","66-75")))))</f>
        <v>36-45</v>
      </c>
      <c r="W282" s="3">
        <v>5</v>
      </c>
    </row>
    <row r="283" spans="1:23">
      <c r="A283" s="5" t="s">
        <v>895</v>
      </c>
      <c r="B283" s="5" t="s">
        <v>896</v>
      </c>
      <c r="C283" s="6">
        <v>45044</v>
      </c>
      <c r="D283" s="8">
        <v>42</v>
      </c>
      <c r="E283" s="5" t="s">
        <v>20</v>
      </c>
      <c r="F283" s="5" t="s">
        <v>32</v>
      </c>
      <c r="G283" s="5" t="s">
        <v>64</v>
      </c>
      <c r="H283" s="7">
        <v>1843.57</v>
      </c>
      <c r="I283" s="3">
        <v>1</v>
      </c>
      <c r="J283" s="33">
        <f>H283*I283</f>
        <v>1843.57</v>
      </c>
      <c r="K283" s="4">
        <v>0</v>
      </c>
      <c r="L283" s="9">
        <f>IF(J283=0,0,K283/J283)</f>
        <v>0</v>
      </c>
      <c r="M283" s="25">
        <v>1843.57</v>
      </c>
      <c r="N283" s="5" t="s">
        <v>692</v>
      </c>
      <c r="O283" s="5" t="s">
        <v>29</v>
      </c>
      <c r="P283" s="3">
        <v>9</v>
      </c>
      <c r="Q283" s="3">
        <v>7</v>
      </c>
      <c r="R283" s="5" t="b">
        <v>1</v>
      </c>
      <c r="S283" s="5" t="str">
        <f>IF(R283=TRUE,"Returning Customer","New Customer")</f>
        <v>Returning Customer</v>
      </c>
      <c r="T283" s="3">
        <v>4</v>
      </c>
      <c r="U283" s="12" t="str">
        <f>IF(T283&lt;=3,"Fast",IF(T283&lt;=7,"Standard",IF(T283&lt;=14,"Slow","Very Slow")))</f>
        <v>Standard</v>
      </c>
      <c r="V283" s="10" t="str">
        <f>IF(D283&lt;=25,"18-25",IF(D283&lt;=35,"26-35",IF(D283&lt;=45,"36-45",IF(D283&lt;=55,"46-55",IF(D283&lt;=65,"56-65","66-75")))))</f>
        <v>36-45</v>
      </c>
      <c r="W283" s="3">
        <v>1</v>
      </c>
    </row>
    <row r="284" spans="1:23">
      <c r="A284" s="5" t="s">
        <v>165</v>
      </c>
      <c r="B284" s="5" t="s">
        <v>166</v>
      </c>
      <c r="C284" s="6">
        <v>45228</v>
      </c>
      <c r="D284" s="8">
        <v>54</v>
      </c>
      <c r="E284" s="5" t="s">
        <v>36</v>
      </c>
      <c r="F284" s="5" t="s">
        <v>76</v>
      </c>
      <c r="G284" s="5" t="s">
        <v>37</v>
      </c>
      <c r="H284" s="7">
        <v>188.47</v>
      </c>
      <c r="I284" s="3">
        <v>1</v>
      </c>
      <c r="J284" s="33">
        <f>H284*I284</f>
        <v>188.47</v>
      </c>
      <c r="K284" s="4">
        <v>0</v>
      </c>
      <c r="L284" s="9">
        <f>IF(J284=0,0,K284/J284)</f>
        <v>0</v>
      </c>
      <c r="M284" s="25">
        <v>188.47</v>
      </c>
      <c r="N284" s="5" t="s">
        <v>23</v>
      </c>
      <c r="O284" s="5" t="s">
        <v>33</v>
      </c>
      <c r="P284" s="3">
        <v>13</v>
      </c>
      <c r="Q284" s="3">
        <v>7</v>
      </c>
      <c r="R284" s="5" t="b">
        <v>1</v>
      </c>
      <c r="S284" s="5" t="str">
        <f>IF(R284=TRUE,"Returning Customer","New Customer")</f>
        <v>Returning Customer</v>
      </c>
      <c r="T284" s="3">
        <v>9</v>
      </c>
      <c r="U284" s="12" t="str">
        <f>IF(T284&lt;=3,"Fast",IF(T284&lt;=7,"Standard",IF(T284&lt;=14,"Slow","Very Slow")))</f>
        <v>Slow</v>
      </c>
      <c r="V284" s="10" t="str">
        <f>IF(D284&lt;=25,"18-25",IF(D284&lt;=35,"26-35",IF(D284&lt;=45,"36-45",IF(D284&lt;=55,"46-55",IF(D284&lt;=65,"56-65","66-75")))))</f>
        <v>46-55</v>
      </c>
      <c r="W284" s="3">
        <v>5</v>
      </c>
    </row>
    <row r="285" spans="1:23">
      <c r="A285" s="5" t="s">
        <v>897</v>
      </c>
      <c r="B285" s="5" t="s">
        <v>898</v>
      </c>
      <c r="C285" s="6">
        <v>45039</v>
      </c>
      <c r="D285" s="8">
        <v>20</v>
      </c>
      <c r="E285" s="5" t="s">
        <v>36</v>
      </c>
      <c r="F285" s="5" t="s">
        <v>32</v>
      </c>
      <c r="G285" s="5" t="s">
        <v>56</v>
      </c>
      <c r="H285" s="7">
        <v>1223.3699999999999</v>
      </c>
      <c r="I285" s="3">
        <v>2</v>
      </c>
      <c r="J285" s="33">
        <f>H285*I285</f>
        <v>2446.7399999999998</v>
      </c>
      <c r="K285" s="4">
        <v>146.22</v>
      </c>
      <c r="L285" s="9">
        <f>IF(J285=0,0,K285/J285)</f>
        <v>5.9761151573113618E-2</v>
      </c>
      <c r="M285" s="25">
        <v>2300.52</v>
      </c>
      <c r="N285" s="5" t="s">
        <v>692</v>
      </c>
      <c r="O285" s="5" t="s">
        <v>33</v>
      </c>
      <c r="P285" s="3">
        <v>13</v>
      </c>
      <c r="Q285" s="3">
        <v>6</v>
      </c>
      <c r="R285" s="5" t="b">
        <v>0</v>
      </c>
      <c r="S285" s="5" t="str">
        <f>IF(R285=TRUE,"Returning Customer","New Customer")</f>
        <v>New Customer</v>
      </c>
      <c r="T285" s="3">
        <v>6</v>
      </c>
      <c r="U285" s="12" t="str">
        <f>IF(T285&lt;=3,"Fast",IF(T285&lt;=7,"Standard",IF(T285&lt;=14,"Slow","Very Slow")))</f>
        <v>Standard</v>
      </c>
      <c r="V285" s="10" t="str">
        <f>IF(D285&lt;=25,"18-25",IF(D285&lt;=35,"26-35",IF(D285&lt;=45,"36-45",IF(D285&lt;=55,"46-55",IF(D285&lt;=65,"56-65","66-75")))))</f>
        <v>18-25</v>
      </c>
      <c r="W285" s="3">
        <v>4</v>
      </c>
    </row>
    <row r="286" spans="1:23">
      <c r="A286" s="5" t="s">
        <v>1353</v>
      </c>
      <c r="B286" s="5" t="s">
        <v>1354</v>
      </c>
      <c r="C286" s="6">
        <v>44930</v>
      </c>
      <c r="D286" s="8">
        <v>60</v>
      </c>
      <c r="E286" s="5" t="s">
        <v>20</v>
      </c>
      <c r="F286" s="5" t="s">
        <v>73</v>
      </c>
      <c r="G286" s="5" t="s">
        <v>56</v>
      </c>
      <c r="H286" s="7">
        <v>912.21</v>
      </c>
      <c r="I286" s="3">
        <v>4</v>
      </c>
      <c r="J286" s="33">
        <f>H286*I286</f>
        <v>3648.84</v>
      </c>
      <c r="K286" s="4">
        <v>63.68</v>
      </c>
      <c r="L286" s="9">
        <f>IF(J286=0,0,K286/J286)</f>
        <v>1.745212177020642E-2</v>
      </c>
      <c r="M286" s="25">
        <v>3585.16</v>
      </c>
      <c r="N286" s="5" t="s">
        <v>1298</v>
      </c>
      <c r="O286" s="5" t="s">
        <v>33</v>
      </c>
      <c r="P286" s="3">
        <v>13</v>
      </c>
      <c r="Q286" s="3">
        <v>10</v>
      </c>
      <c r="R286" s="5" t="b">
        <v>1</v>
      </c>
      <c r="S286" s="5" t="str">
        <f>IF(R286=TRUE,"Returning Customer","New Customer")</f>
        <v>Returning Customer</v>
      </c>
      <c r="T286" s="3">
        <v>4</v>
      </c>
      <c r="U286" s="12" t="str">
        <f>IF(T286&lt;=3,"Fast",IF(T286&lt;=7,"Standard",IF(T286&lt;=14,"Slow","Very Slow")))</f>
        <v>Standard</v>
      </c>
      <c r="V286" s="10" t="str">
        <f>IF(D286&lt;=25,"18-25",IF(D286&lt;=35,"26-35",IF(D286&lt;=45,"36-45",IF(D286&lt;=55,"46-55",IF(D286&lt;=65,"56-65","66-75")))))</f>
        <v>56-65</v>
      </c>
      <c r="W286" s="3">
        <v>5</v>
      </c>
    </row>
    <row r="287" spans="1:23">
      <c r="A287" s="5" t="s">
        <v>899</v>
      </c>
      <c r="B287" s="5" t="s">
        <v>900</v>
      </c>
      <c r="C287" s="6">
        <v>44963</v>
      </c>
      <c r="D287" s="8">
        <v>18</v>
      </c>
      <c r="E287" s="5" t="s">
        <v>20</v>
      </c>
      <c r="F287" s="5" t="s">
        <v>52</v>
      </c>
      <c r="G287" s="5" t="s">
        <v>28</v>
      </c>
      <c r="H287" s="7">
        <v>58.38</v>
      </c>
      <c r="I287" s="3">
        <v>4</v>
      </c>
      <c r="J287" s="33">
        <f>H287*I287</f>
        <v>233.52</v>
      </c>
      <c r="K287" s="4">
        <v>0</v>
      </c>
      <c r="L287" s="9">
        <f>IF(J287=0,0,K287/J287)</f>
        <v>0</v>
      </c>
      <c r="M287" s="25">
        <v>233.52</v>
      </c>
      <c r="N287" s="5" t="s">
        <v>692</v>
      </c>
      <c r="O287" s="5" t="s">
        <v>33</v>
      </c>
      <c r="P287" s="3">
        <v>12</v>
      </c>
      <c r="Q287" s="3">
        <v>11</v>
      </c>
      <c r="R287" s="5" t="b">
        <v>0</v>
      </c>
      <c r="S287" s="5" t="str">
        <f>IF(R287=TRUE,"Returning Customer","New Customer")</f>
        <v>New Customer</v>
      </c>
      <c r="T287" s="3">
        <v>3</v>
      </c>
      <c r="U287" s="12" t="str">
        <f>IF(T287&lt;=3,"Fast",IF(T287&lt;=7,"Standard",IF(T287&lt;=14,"Slow","Very Slow")))</f>
        <v>Fast</v>
      </c>
      <c r="V287" s="10" t="str">
        <f>IF(D287&lt;=25,"18-25",IF(D287&lt;=35,"26-35",IF(D287&lt;=45,"36-45",IF(D287&lt;=55,"46-55",IF(D287&lt;=65,"56-65","66-75")))))</f>
        <v>18-25</v>
      </c>
      <c r="W287" s="3">
        <v>5</v>
      </c>
    </row>
    <row r="288" spans="1:23">
      <c r="A288" s="5" t="s">
        <v>167</v>
      </c>
      <c r="B288" s="5" t="s">
        <v>168</v>
      </c>
      <c r="C288" s="6">
        <v>45289</v>
      </c>
      <c r="D288" s="8">
        <v>33</v>
      </c>
      <c r="E288" s="5" t="s">
        <v>36</v>
      </c>
      <c r="F288" s="5" t="s">
        <v>32</v>
      </c>
      <c r="G288" s="5" t="s">
        <v>22</v>
      </c>
      <c r="H288" s="7">
        <v>53.49</v>
      </c>
      <c r="I288" s="3">
        <v>3</v>
      </c>
      <c r="J288" s="33">
        <f>H288*I288</f>
        <v>160.47</v>
      </c>
      <c r="K288" s="4">
        <v>0</v>
      </c>
      <c r="L288" s="9">
        <f>IF(J288=0,0,K288/J288)</f>
        <v>0</v>
      </c>
      <c r="M288" s="25">
        <v>160.47</v>
      </c>
      <c r="N288" s="5" t="s">
        <v>23</v>
      </c>
      <c r="O288" s="5" t="s">
        <v>24</v>
      </c>
      <c r="P288" s="3">
        <v>2</v>
      </c>
      <c r="Q288" s="3">
        <v>12</v>
      </c>
      <c r="R288" s="5" t="b">
        <v>0</v>
      </c>
      <c r="S288" s="5" t="str">
        <f>IF(R288=TRUE,"Returning Customer","New Customer")</f>
        <v>New Customer</v>
      </c>
      <c r="T288" s="3">
        <v>5</v>
      </c>
      <c r="U288" s="12" t="str">
        <f>IF(T288&lt;=3,"Fast",IF(T288&lt;=7,"Standard",IF(T288&lt;=14,"Slow","Very Slow")))</f>
        <v>Standard</v>
      </c>
      <c r="V288" s="10" t="str">
        <f>IF(D288&lt;=25,"18-25",IF(D288&lt;=35,"26-35",IF(D288&lt;=45,"36-45",IF(D288&lt;=55,"46-55",IF(D288&lt;=65,"56-65","66-75")))))</f>
        <v>26-35</v>
      </c>
      <c r="W288" s="3">
        <v>2</v>
      </c>
    </row>
    <row r="289" spans="1:23">
      <c r="A289" s="5" t="s">
        <v>901</v>
      </c>
      <c r="B289" s="5" t="s">
        <v>902</v>
      </c>
      <c r="C289" s="6">
        <v>45250</v>
      </c>
      <c r="D289" s="8">
        <v>42</v>
      </c>
      <c r="E289" s="5" t="s">
        <v>36</v>
      </c>
      <c r="F289" s="5" t="s">
        <v>32</v>
      </c>
      <c r="G289" s="5" t="s">
        <v>37</v>
      </c>
      <c r="H289" s="7">
        <v>43.39</v>
      </c>
      <c r="I289" s="3">
        <v>3</v>
      </c>
      <c r="J289" s="33">
        <f>H289*I289</f>
        <v>130.17000000000002</v>
      </c>
      <c r="K289" s="4">
        <v>7</v>
      </c>
      <c r="L289" s="9">
        <f>IF(J289=0,0,K289/J289)</f>
        <v>5.3775831604824451E-2</v>
      </c>
      <c r="M289" s="25">
        <v>123.17</v>
      </c>
      <c r="N289" s="5" t="s">
        <v>692</v>
      </c>
      <c r="O289" s="5" t="s">
        <v>33</v>
      </c>
      <c r="P289" s="3">
        <v>35</v>
      </c>
      <c r="Q289" s="3">
        <v>7</v>
      </c>
      <c r="R289" s="5" t="b">
        <v>1</v>
      </c>
      <c r="S289" s="5" t="str">
        <f>IF(R289=TRUE,"Returning Customer","New Customer")</f>
        <v>Returning Customer</v>
      </c>
      <c r="T289" s="3">
        <v>6</v>
      </c>
      <c r="U289" s="12" t="str">
        <f>IF(T289&lt;=3,"Fast",IF(T289&lt;=7,"Standard",IF(T289&lt;=14,"Slow","Very Slow")))</f>
        <v>Standard</v>
      </c>
      <c r="V289" s="10" t="str">
        <f>IF(D289&lt;=25,"18-25",IF(D289&lt;=35,"26-35",IF(D289&lt;=45,"36-45",IF(D289&lt;=55,"46-55",IF(D289&lt;=65,"56-65","66-75")))))</f>
        <v>36-45</v>
      </c>
      <c r="W289" s="3">
        <v>3</v>
      </c>
    </row>
    <row r="290" spans="1:23">
      <c r="A290" s="5" t="s">
        <v>903</v>
      </c>
      <c r="B290" s="5" t="s">
        <v>904</v>
      </c>
      <c r="C290" s="6">
        <v>44957</v>
      </c>
      <c r="D290" s="8">
        <v>38</v>
      </c>
      <c r="E290" s="5" t="s">
        <v>36</v>
      </c>
      <c r="F290" s="5" t="s">
        <v>32</v>
      </c>
      <c r="G290" s="5" t="s">
        <v>22</v>
      </c>
      <c r="H290" s="7">
        <v>66.84</v>
      </c>
      <c r="I290" s="3">
        <v>4</v>
      </c>
      <c r="J290" s="33">
        <f>H290*I290</f>
        <v>267.36</v>
      </c>
      <c r="K290" s="4">
        <v>0</v>
      </c>
      <c r="L290" s="9">
        <f>IF(J290=0,0,K290/J290)</f>
        <v>0</v>
      </c>
      <c r="M290" s="25">
        <v>267.36</v>
      </c>
      <c r="N290" s="5" t="s">
        <v>692</v>
      </c>
      <c r="O290" s="5" t="s">
        <v>24</v>
      </c>
      <c r="P290" s="3">
        <v>27</v>
      </c>
      <c r="Q290" s="3">
        <v>7</v>
      </c>
      <c r="R290" s="5" t="b">
        <v>0</v>
      </c>
      <c r="S290" s="5" t="str">
        <f>IF(R290=TRUE,"Returning Customer","New Customer")</f>
        <v>New Customer</v>
      </c>
      <c r="T290" s="3">
        <v>5</v>
      </c>
      <c r="U290" s="12" t="str">
        <f>IF(T290&lt;=3,"Fast",IF(T290&lt;=7,"Standard",IF(T290&lt;=14,"Slow","Very Slow")))</f>
        <v>Standard</v>
      </c>
      <c r="V290" s="10" t="str">
        <f>IF(D290&lt;=25,"18-25",IF(D290&lt;=35,"26-35",IF(D290&lt;=45,"36-45",IF(D290&lt;=55,"46-55",IF(D290&lt;=65,"56-65","66-75")))))</f>
        <v>36-45</v>
      </c>
      <c r="W290" s="3">
        <v>4</v>
      </c>
    </row>
    <row r="291" spans="1:23">
      <c r="A291" s="5" t="s">
        <v>1355</v>
      </c>
      <c r="B291" s="5" t="s">
        <v>1356</v>
      </c>
      <c r="C291" s="6">
        <v>45044</v>
      </c>
      <c r="D291" s="8">
        <v>27</v>
      </c>
      <c r="E291" s="5" t="s">
        <v>20</v>
      </c>
      <c r="F291" s="5" t="s">
        <v>32</v>
      </c>
      <c r="G291" s="5" t="s">
        <v>46</v>
      </c>
      <c r="H291" s="7">
        <v>742.38</v>
      </c>
      <c r="I291" s="3">
        <v>2</v>
      </c>
      <c r="J291" s="33">
        <f>H291*I291</f>
        <v>1484.76</v>
      </c>
      <c r="K291" s="4">
        <v>0</v>
      </c>
      <c r="L291" s="9">
        <f>IF(J291=0,0,K291/J291)</f>
        <v>0</v>
      </c>
      <c r="M291" s="25">
        <v>1484.76</v>
      </c>
      <c r="N291" s="5" t="s">
        <v>1298</v>
      </c>
      <c r="O291" s="5" t="s">
        <v>33</v>
      </c>
      <c r="P291" s="3">
        <v>18</v>
      </c>
      <c r="Q291" s="3">
        <v>6</v>
      </c>
      <c r="R291" s="5" t="b">
        <v>0</v>
      </c>
      <c r="S291" s="5" t="str">
        <f>IF(R291=TRUE,"Returning Customer","New Customer")</f>
        <v>New Customer</v>
      </c>
      <c r="T291" s="3">
        <v>8</v>
      </c>
      <c r="U291" s="12" t="str">
        <f>IF(T291&lt;=3,"Fast",IF(T291&lt;=7,"Standard",IF(T291&lt;=14,"Slow","Very Slow")))</f>
        <v>Slow</v>
      </c>
      <c r="V291" s="10" t="str">
        <f>IF(D291&lt;=25,"18-25",IF(D291&lt;=35,"26-35",IF(D291&lt;=45,"36-45",IF(D291&lt;=55,"46-55",IF(D291&lt;=65,"56-65","66-75")))))</f>
        <v>26-35</v>
      </c>
      <c r="W291" s="3">
        <v>5</v>
      </c>
    </row>
    <row r="292" spans="1:23">
      <c r="A292" s="5" t="s">
        <v>169</v>
      </c>
      <c r="B292" s="5" t="s">
        <v>170</v>
      </c>
      <c r="C292" s="6">
        <v>44961</v>
      </c>
      <c r="D292" s="8">
        <v>32</v>
      </c>
      <c r="E292" s="5" t="s">
        <v>36</v>
      </c>
      <c r="F292" s="5" t="s">
        <v>27</v>
      </c>
      <c r="G292" s="5" t="s">
        <v>56</v>
      </c>
      <c r="H292" s="7">
        <v>349.92</v>
      </c>
      <c r="I292" s="3">
        <v>1</v>
      </c>
      <c r="J292" s="33">
        <f>H292*I292</f>
        <v>349.92</v>
      </c>
      <c r="K292" s="4">
        <v>0</v>
      </c>
      <c r="L292" s="9">
        <f>IF(J292=0,0,K292/J292)</f>
        <v>0</v>
      </c>
      <c r="M292" s="25">
        <v>349.92</v>
      </c>
      <c r="N292" s="5" t="s">
        <v>23</v>
      </c>
      <c r="O292" s="5" t="s">
        <v>33</v>
      </c>
      <c r="P292" s="3">
        <v>12</v>
      </c>
      <c r="Q292" s="3">
        <v>7</v>
      </c>
      <c r="R292" s="5" t="b">
        <v>1</v>
      </c>
      <c r="S292" s="5" t="str">
        <f>IF(R292=TRUE,"Returning Customer","New Customer")</f>
        <v>Returning Customer</v>
      </c>
      <c r="T292" s="3">
        <v>3</v>
      </c>
      <c r="U292" s="12" t="str">
        <f>IF(T292&lt;=3,"Fast",IF(T292&lt;=7,"Standard",IF(T292&lt;=14,"Slow","Very Slow")))</f>
        <v>Fast</v>
      </c>
      <c r="V292" s="10" t="str">
        <f>IF(D292&lt;=25,"18-25",IF(D292&lt;=35,"26-35",IF(D292&lt;=45,"36-45",IF(D292&lt;=55,"46-55",IF(D292&lt;=65,"56-65","66-75")))))</f>
        <v>26-35</v>
      </c>
      <c r="W292" s="3">
        <v>5</v>
      </c>
    </row>
    <row r="293" spans="1:23">
      <c r="A293" s="5" t="s">
        <v>905</v>
      </c>
      <c r="B293" s="5" t="s">
        <v>906</v>
      </c>
      <c r="C293" s="6">
        <v>44943</v>
      </c>
      <c r="D293" s="8">
        <v>29</v>
      </c>
      <c r="E293" s="5" t="s">
        <v>36</v>
      </c>
      <c r="F293" s="5" t="s">
        <v>21</v>
      </c>
      <c r="G293" s="5" t="s">
        <v>37</v>
      </c>
      <c r="H293" s="7">
        <v>140.69</v>
      </c>
      <c r="I293" s="3">
        <v>1</v>
      </c>
      <c r="J293" s="33">
        <f>H293*I293</f>
        <v>140.69</v>
      </c>
      <c r="K293" s="4">
        <v>0</v>
      </c>
      <c r="L293" s="9">
        <f>IF(J293=0,0,K293/J293)</f>
        <v>0</v>
      </c>
      <c r="M293" s="25">
        <v>140.69</v>
      </c>
      <c r="N293" s="5" t="s">
        <v>692</v>
      </c>
      <c r="O293" s="5" t="s">
        <v>33</v>
      </c>
      <c r="P293" s="3">
        <v>22</v>
      </c>
      <c r="Q293" s="3">
        <v>12</v>
      </c>
      <c r="R293" s="5" t="b">
        <v>0</v>
      </c>
      <c r="S293" s="5" t="str">
        <f>IF(R293=TRUE,"Returning Customer","New Customer")</f>
        <v>New Customer</v>
      </c>
      <c r="T293" s="3">
        <v>5</v>
      </c>
      <c r="U293" s="12" t="str">
        <f>IF(T293&lt;=3,"Fast",IF(T293&lt;=7,"Standard",IF(T293&lt;=14,"Slow","Very Slow")))</f>
        <v>Standard</v>
      </c>
      <c r="V293" s="10" t="str">
        <f>IF(D293&lt;=25,"18-25",IF(D293&lt;=35,"26-35",IF(D293&lt;=45,"36-45",IF(D293&lt;=55,"46-55",IF(D293&lt;=65,"56-65","66-75")))))</f>
        <v>26-35</v>
      </c>
      <c r="W293" s="3">
        <v>5</v>
      </c>
    </row>
    <row r="294" spans="1:23">
      <c r="A294" s="5" t="s">
        <v>907</v>
      </c>
      <c r="B294" s="5" t="s">
        <v>908</v>
      </c>
      <c r="C294" s="6">
        <v>45367</v>
      </c>
      <c r="D294" s="8">
        <v>27</v>
      </c>
      <c r="E294" s="5" t="s">
        <v>36</v>
      </c>
      <c r="F294" s="5" t="s">
        <v>52</v>
      </c>
      <c r="G294" s="5" t="s">
        <v>56</v>
      </c>
      <c r="H294" s="7">
        <v>584.78</v>
      </c>
      <c r="I294" s="3">
        <v>1</v>
      </c>
      <c r="J294" s="33">
        <f>H294*I294</f>
        <v>584.78</v>
      </c>
      <c r="K294" s="4">
        <v>0</v>
      </c>
      <c r="L294" s="9">
        <f>IF(J294=0,0,K294/J294)</f>
        <v>0</v>
      </c>
      <c r="M294" s="25">
        <v>584.78</v>
      </c>
      <c r="N294" s="5" t="s">
        <v>692</v>
      </c>
      <c r="O294" s="5" t="s">
        <v>24</v>
      </c>
      <c r="P294" s="3">
        <v>18</v>
      </c>
      <c r="Q294" s="3">
        <v>8</v>
      </c>
      <c r="R294" s="5" t="b">
        <v>0</v>
      </c>
      <c r="S294" s="5" t="str">
        <f>IF(R294=TRUE,"Returning Customer","New Customer")</f>
        <v>New Customer</v>
      </c>
      <c r="T294" s="3">
        <v>6</v>
      </c>
      <c r="U294" s="12" t="str">
        <f>IF(T294&lt;=3,"Fast",IF(T294&lt;=7,"Standard",IF(T294&lt;=14,"Slow","Very Slow")))</f>
        <v>Standard</v>
      </c>
      <c r="V294" s="10" t="str">
        <f>IF(D294&lt;=25,"18-25",IF(D294&lt;=35,"26-35",IF(D294&lt;=45,"36-45",IF(D294&lt;=55,"46-55",IF(D294&lt;=65,"56-65","66-75")))))</f>
        <v>26-35</v>
      </c>
      <c r="W294" s="3">
        <v>4</v>
      </c>
    </row>
    <row r="295" spans="1:23">
      <c r="A295" s="5" t="s">
        <v>171</v>
      </c>
      <c r="B295" s="5" t="s">
        <v>172</v>
      </c>
      <c r="C295" s="6">
        <v>45096</v>
      </c>
      <c r="D295" s="8">
        <v>45</v>
      </c>
      <c r="E295" s="5" t="s">
        <v>36</v>
      </c>
      <c r="F295" s="5" t="s">
        <v>21</v>
      </c>
      <c r="G295" s="5" t="s">
        <v>46</v>
      </c>
      <c r="H295" s="7">
        <v>261.44</v>
      </c>
      <c r="I295" s="3">
        <v>1</v>
      </c>
      <c r="J295" s="33">
        <f>H295*I295</f>
        <v>261.44</v>
      </c>
      <c r="K295" s="4">
        <v>0</v>
      </c>
      <c r="L295" s="9">
        <f>IF(J295=0,0,K295/J295)</f>
        <v>0</v>
      </c>
      <c r="M295" s="25">
        <v>261.44</v>
      </c>
      <c r="N295" s="5" t="s">
        <v>23</v>
      </c>
      <c r="O295" s="5" t="s">
        <v>33</v>
      </c>
      <c r="P295" s="3">
        <v>25</v>
      </c>
      <c r="Q295" s="3">
        <v>7</v>
      </c>
      <c r="R295" s="5" t="b">
        <v>0</v>
      </c>
      <c r="S295" s="5" t="str">
        <f>IF(R295=TRUE,"Returning Customer","New Customer")</f>
        <v>New Customer</v>
      </c>
      <c r="T295" s="3">
        <v>8</v>
      </c>
      <c r="U295" s="12" t="str">
        <f>IF(T295&lt;=3,"Fast",IF(T295&lt;=7,"Standard",IF(T295&lt;=14,"Slow","Very Slow")))</f>
        <v>Slow</v>
      </c>
      <c r="V295" s="10" t="str">
        <f>IF(D295&lt;=25,"18-25",IF(D295&lt;=35,"26-35",IF(D295&lt;=45,"36-45",IF(D295&lt;=55,"46-55",IF(D295&lt;=65,"56-65","66-75")))))</f>
        <v>36-45</v>
      </c>
      <c r="W295" s="3">
        <v>3</v>
      </c>
    </row>
    <row r="296" spans="1:23">
      <c r="A296" s="5" t="s">
        <v>173</v>
      </c>
      <c r="B296" s="5" t="s">
        <v>174</v>
      </c>
      <c r="C296" s="6">
        <v>44963</v>
      </c>
      <c r="D296" s="8">
        <v>39</v>
      </c>
      <c r="E296" s="5" t="s">
        <v>20</v>
      </c>
      <c r="F296" s="5" t="s">
        <v>76</v>
      </c>
      <c r="G296" s="5" t="s">
        <v>53</v>
      </c>
      <c r="H296" s="7">
        <v>27.2</v>
      </c>
      <c r="I296" s="3">
        <v>3</v>
      </c>
      <c r="J296" s="33">
        <f>H296*I296</f>
        <v>81.599999999999994</v>
      </c>
      <c r="K296" s="4">
        <v>0</v>
      </c>
      <c r="L296" s="9">
        <f>IF(J296=0,0,K296/J296)</f>
        <v>0</v>
      </c>
      <c r="M296" s="25">
        <v>81.599999999999994</v>
      </c>
      <c r="N296" s="5" t="s">
        <v>23</v>
      </c>
      <c r="O296" s="5" t="s">
        <v>33</v>
      </c>
      <c r="P296" s="3">
        <v>10</v>
      </c>
      <c r="Q296" s="3">
        <v>10</v>
      </c>
      <c r="R296" s="5" t="b">
        <v>1</v>
      </c>
      <c r="S296" s="5" t="str">
        <f>IF(R296=TRUE,"Returning Customer","New Customer")</f>
        <v>Returning Customer</v>
      </c>
      <c r="T296" s="3">
        <v>6</v>
      </c>
      <c r="U296" s="12" t="str">
        <f>IF(T296&lt;=3,"Fast",IF(T296&lt;=7,"Standard",IF(T296&lt;=14,"Slow","Very Slow")))</f>
        <v>Standard</v>
      </c>
      <c r="V296" s="10" t="str">
        <f>IF(D296&lt;=25,"18-25",IF(D296&lt;=35,"26-35",IF(D296&lt;=45,"36-45",IF(D296&lt;=55,"46-55",IF(D296&lt;=65,"56-65","66-75")))))</f>
        <v>36-45</v>
      </c>
      <c r="W296" s="3">
        <v>1</v>
      </c>
    </row>
    <row r="297" spans="1:23">
      <c r="A297" s="5" t="s">
        <v>175</v>
      </c>
      <c r="B297" s="5" t="s">
        <v>176</v>
      </c>
      <c r="C297" s="6">
        <v>45190</v>
      </c>
      <c r="D297" s="8">
        <v>26</v>
      </c>
      <c r="E297" s="5" t="s">
        <v>20</v>
      </c>
      <c r="F297" s="5" t="s">
        <v>76</v>
      </c>
      <c r="G297" s="5" t="s">
        <v>46</v>
      </c>
      <c r="H297" s="7">
        <v>246.94</v>
      </c>
      <c r="I297" s="3">
        <v>1</v>
      </c>
      <c r="J297" s="33">
        <f>H297*I297</f>
        <v>246.94</v>
      </c>
      <c r="K297" s="4">
        <v>0</v>
      </c>
      <c r="L297" s="9">
        <f>IF(J297=0,0,K297/J297)</f>
        <v>0</v>
      </c>
      <c r="M297" s="25">
        <v>246.94</v>
      </c>
      <c r="N297" s="5" t="s">
        <v>23</v>
      </c>
      <c r="O297" s="5" t="s">
        <v>24</v>
      </c>
      <c r="P297" s="3">
        <v>10</v>
      </c>
      <c r="Q297" s="3">
        <v>13</v>
      </c>
      <c r="R297" s="5" t="b">
        <v>1</v>
      </c>
      <c r="S297" s="5" t="str">
        <f>IF(R297=TRUE,"Returning Customer","New Customer")</f>
        <v>Returning Customer</v>
      </c>
      <c r="T297" s="3">
        <v>5</v>
      </c>
      <c r="U297" s="12" t="str">
        <f>IF(T297&lt;=3,"Fast",IF(T297&lt;=7,"Standard",IF(T297&lt;=14,"Slow","Very Slow")))</f>
        <v>Standard</v>
      </c>
      <c r="V297" s="10" t="str">
        <f>IF(D297&lt;=25,"18-25",IF(D297&lt;=35,"26-35",IF(D297&lt;=45,"36-45",IF(D297&lt;=55,"46-55",IF(D297&lt;=65,"56-65","66-75")))))</f>
        <v>26-35</v>
      </c>
      <c r="W297" s="3">
        <v>3</v>
      </c>
    </row>
    <row r="298" spans="1:23">
      <c r="A298" s="5" t="s">
        <v>474</v>
      </c>
      <c r="B298" s="5" t="s">
        <v>475</v>
      </c>
      <c r="C298" s="6">
        <v>45048</v>
      </c>
      <c r="D298" s="8">
        <v>45</v>
      </c>
      <c r="E298" s="5" t="s">
        <v>36</v>
      </c>
      <c r="F298" s="5" t="s">
        <v>27</v>
      </c>
      <c r="G298" s="5" t="s">
        <v>22</v>
      </c>
      <c r="H298" s="7">
        <v>80.91</v>
      </c>
      <c r="I298" s="3">
        <v>3</v>
      </c>
      <c r="J298" s="33">
        <f>H298*I298</f>
        <v>242.73</v>
      </c>
      <c r="K298" s="4">
        <v>0</v>
      </c>
      <c r="L298" s="9">
        <f>IF(J298=0,0,K298/J298)</f>
        <v>0</v>
      </c>
      <c r="M298" s="25">
        <v>242.73</v>
      </c>
      <c r="N298" s="5" t="s">
        <v>327</v>
      </c>
      <c r="O298" s="5" t="s">
        <v>24</v>
      </c>
      <c r="P298" s="3">
        <v>33</v>
      </c>
      <c r="Q298" s="3">
        <v>7</v>
      </c>
      <c r="R298" s="5" t="b">
        <v>1</v>
      </c>
      <c r="S298" s="5" t="str">
        <f>IF(R298=TRUE,"Returning Customer","New Customer")</f>
        <v>Returning Customer</v>
      </c>
      <c r="T298" s="3">
        <v>4</v>
      </c>
      <c r="U298" s="12" t="str">
        <f>IF(T298&lt;=3,"Fast",IF(T298&lt;=7,"Standard",IF(T298&lt;=14,"Slow","Very Slow")))</f>
        <v>Standard</v>
      </c>
      <c r="V298" s="10" t="str">
        <f>IF(D298&lt;=25,"18-25",IF(D298&lt;=35,"26-35",IF(D298&lt;=45,"36-45",IF(D298&lt;=55,"46-55",IF(D298&lt;=65,"56-65","66-75")))))</f>
        <v>36-45</v>
      </c>
      <c r="W298" s="3">
        <v>5</v>
      </c>
    </row>
    <row r="299" spans="1:23">
      <c r="A299" s="5" t="s">
        <v>909</v>
      </c>
      <c r="B299" s="5" t="s">
        <v>910</v>
      </c>
      <c r="C299" s="6">
        <v>45069</v>
      </c>
      <c r="D299" s="8">
        <v>38</v>
      </c>
      <c r="E299" s="5" t="s">
        <v>36</v>
      </c>
      <c r="F299" s="5" t="s">
        <v>88</v>
      </c>
      <c r="G299" s="5" t="s">
        <v>22</v>
      </c>
      <c r="H299" s="7">
        <v>718.22</v>
      </c>
      <c r="I299" s="3">
        <v>2</v>
      </c>
      <c r="J299" s="33">
        <f>H299*I299</f>
        <v>1436.44</v>
      </c>
      <c r="K299" s="4">
        <v>0</v>
      </c>
      <c r="L299" s="9">
        <f>IF(J299=0,0,K299/J299)</f>
        <v>0</v>
      </c>
      <c r="M299" s="25">
        <v>1436.44</v>
      </c>
      <c r="N299" s="5" t="s">
        <v>692</v>
      </c>
      <c r="O299" s="5" t="s">
        <v>33</v>
      </c>
      <c r="P299" s="3">
        <v>23</v>
      </c>
      <c r="Q299" s="3">
        <v>17</v>
      </c>
      <c r="R299" s="5" t="b">
        <v>0</v>
      </c>
      <c r="S299" s="5" t="str">
        <f>IF(R299=TRUE,"Returning Customer","New Customer")</f>
        <v>New Customer</v>
      </c>
      <c r="T299" s="3">
        <v>7</v>
      </c>
      <c r="U299" s="12" t="str">
        <f>IF(T299&lt;=3,"Fast",IF(T299&lt;=7,"Standard",IF(T299&lt;=14,"Slow","Very Slow")))</f>
        <v>Standard</v>
      </c>
      <c r="V299" s="10" t="str">
        <f>IF(D299&lt;=25,"18-25",IF(D299&lt;=35,"26-35",IF(D299&lt;=45,"36-45",IF(D299&lt;=55,"46-55",IF(D299&lt;=65,"56-65","66-75")))))</f>
        <v>36-45</v>
      </c>
      <c r="W299" s="3">
        <v>5</v>
      </c>
    </row>
    <row r="300" spans="1:23">
      <c r="A300" s="5" t="s">
        <v>1357</v>
      </c>
      <c r="B300" s="5" t="s">
        <v>1358</v>
      </c>
      <c r="C300" s="6">
        <v>45269</v>
      </c>
      <c r="D300" s="8">
        <v>44</v>
      </c>
      <c r="E300" s="5" t="s">
        <v>36</v>
      </c>
      <c r="F300" s="5" t="s">
        <v>52</v>
      </c>
      <c r="G300" s="5" t="s">
        <v>115</v>
      </c>
      <c r="H300" s="7">
        <v>55.19</v>
      </c>
      <c r="I300" s="3">
        <v>1</v>
      </c>
      <c r="J300" s="33">
        <f>H300*I300</f>
        <v>55.19</v>
      </c>
      <c r="K300" s="4">
        <v>3.94</v>
      </c>
      <c r="L300" s="9">
        <f>IF(J300=0,0,K300/J300)</f>
        <v>7.1389744518934595E-2</v>
      </c>
      <c r="M300" s="25">
        <v>51.25</v>
      </c>
      <c r="N300" s="5" t="s">
        <v>1298</v>
      </c>
      <c r="O300" s="5" t="s">
        <v>24</v>
      </c>
      <c r="P300" s="3">
        <v>20</v>
      </c>
      <c r="Q300" s="3">
        <v>4</v>
      </c>
      <c r="R300" s="5" t="b">
        <v>1</v>
      </c>
      <c r="S300" s="5" t="str">
        <f>IF(R300=TRUE,"Returning Customer","New Customer")</f>
        <v>Returning Customer</v>
      </c>
      <c r="T300" s="3">
        <v>6</v>
      </c>
      <c r="U300" s="12" t="str">
        <f>IF(T300&lt;=3,"Fast",IF(T300&lt;=7,"Standard",IF(T300&lt;=14,"Slow","Very Slow")))</f>
        <v>Standard</v>
      </c>
      <c r="V300" s="10" t="str">
        <f>IF(D300&lt;=25,"18-25",IF(D300&lt;=35,"26-35",IF(D300&lt;=45,"36-45",IF(D300&lt;=55,"46-55",IF(D300&lt;=65,"56-65","66-75")))))</f>
        <v>36-45</v>
      </c>
      <c r="W300" s="3">
        <v>4</v>
      </c>
    </row>
    <row r="301" spans="1:23">
      <c r="A301" s="5" t="s">
        <v>177</v>
      </c>
      <c r="B301" s="5" t="s">
        <v>178</v>
      </c>
      <c r="C301" s="6">
        <v>45175</v>
      </c>
      <c r="D301" s="8">
        <v>42</v>
      </c>
      <c r="E301" s="5" t="s">
        <v>20</v>
      </c>
      <c r="F301" s="5" t="s">
        <v>52</v>
      </c>
      <c r="G301" s="5" t="s">
        <v>56</v>
      </c>
      <c r="H301" s="7">
        <v>585.42999999999995</v>
      </c>
      <c r="I301" s="3">
        <v>1</v>
      </c>
      <c r="J301" s="33">
        <f>H301*I301</f>
        <v>585.42999999999995</v>
      </c>
      <c r="K301" s="4">
        <v>83.78</v>
      </c>
      <c r="L301" s="9">
        <f>IF(J301=0,0,K301/J301)</f>
        <v>0.14310848436192203</v>
      </c>
      <c r="M301" s="25">
        <v>501.65</v>
      </c>
      <c r="N301" s="5" t="s">
        <v>23</v>
      </c>
      <c r="O301" s="5" t="s">
        <v>24</v>
      </c>
      <c r="P301" s="3">
        <v>6</v>
      </c>
      <c r="Q301" s="3">
        <v>7</v>
      </c>
      <c r="R301" s="5" t="b">
        <v>1</v>
      </c>
      <c r="S301" s="5" t="str">
        <f>IF(R301=TRUE,"Returning Customer","New Customer")</f>
        <v>Returning Customer</v>
      </c>
      <c r="T301" s="3">
        <v>5</v>
      </c>
      <c r="U301" s="12" t="str">
        <f>IF(T301&lt;=3,"Fast",IF(T301&lt;=7,"Standard",IF(T301&lt;=14,"Slow","Very Slow")))</f>
        <v>Standard</v>
      </c>
      <c r="V301" s="10" t="str">
        <f>IF(D301&lt;=25,"18-25",IF(D301&lt;=35,"26-35",IF(D301&lt;=45,"36-45",IF(D301&lt;=55,"46-55",IF(D301&lt;=65,"56-65","66-75")))))</f>
        <v>36-45</v>
      </c>
      <c r="W301" s="3">
        <v>5</v>
      </c>
    </row>
    <row r="302" spans="1:23">
      <c r="A302" s="5" t="s">
        <v>476</v>
      </c>
      <c r="B302" s="5" t="s">
        <v>477</v>
      </c>
      <c r="C302" s="6">
        <v>45036</v>
      </c>
      <c r="D302" s="8">
        <v>25</v>
      </c>
      <c r="E302" s="5" t="s">
        <v>36</v>
      </c>
      <c r="F302" s="5" t="s">
        <v>73</v>
      </c>
      <c r="G302" s="5" t="s">
        <v>22</v>
      </c>
      <c r="H302" s="7">
        <v>235.34</v>
      </c>
      <c r="I302" s="3">
        <v>5</v>
      </c>
      <c r="J302" s="33">
        <f>H302*I302</f>
        <v>1176.7</v>
      </c>
      <c r="K302" s="4">
        <v>0</v>
      </c>
      <c r="L302" s="9">
        <f>IF(J302=0,0,K302/J302)</f>
        <v>0</v>
      </c>
      <c r="M302" s="25">
        <v>1176.7</v>
      </c>
      <c r="N302" s="5" t="s">
        <v>327</v>
      </c>
      <c r="O302" s="5" t="s">
        <v>33</v>
      </c>
      <c r="P302" s="3">
        <v>8</v>
      </c>
      <c r="Q302" s="3">
        <v>10</v>
      </c>
      <c r="R302" s="5" t="b">
        <v>0</v>
      </c>
      <c r="S302" s="5" t="str">
        <f>IF(R302=TRUE,"Returning Customer","New Customer")</f>
        <v>New Customer</v>
      </c>
      <c r="T302" s="3">
        <v>5</v>
      </c>
      <c r="U302" s="12" t="str">
        <f>IF(T302&lt;=3,"Fast",IF(T302&lt;=7,"Standard",IF(T302&lt;=14,"Slow","Very Slow")))</f>
        <v>Standard</v>
      </c>
      <c r="V302" s="10" t="str">
        <f>IF(D302&lt;=25,"18-25",IF(D302&lt;=35,"26-35",IF(D302&lt;=45,"36-45",IF(D302&lt;=55,"46-55",IF(D302&lt;=65,"56-65","66-75")))))</f>
        <v>18-25</v>
      </c>
      <c r="W302" s="3">
        <v>4</v>
      </c>
    </row>
    <row r="303" spans="1:23">
      <c r="A303" s="5" t="s">
        <v>478</v>
      </c>
      <c r="B303" s="5" t="s">
        <v>479</v>
      </c>
      <c r="C303" s="6">
        <v>45203</v>
      </c>
      <c r="D303" s="8">
        <v>28</v>
      </c>
      <c r="E303" s="5" t="s">
        <v>36</v>
      </c>
      <c r="F303" s="5" t="s">
        <v>49</v>
      </c>
      <c r="G303" s="5" t="s">
        <v>37</v>
      </c>
      <c r="H303" s="7">
        <v>151.13</v>
      </c>
      <c r="I303" s="3">
        <v>1</v>
      </c>
      <c r="J303" s="33">
        <f>H303*I303</f>
        <v>151.13</v>
      </c>
      <c r="K303" s="4">
        <v>0</v>
      </c>
      <c r="L303" s="9">
        <f>IF(J303=0,0,K303/J303)</f>
        <v>0</v>
      </c>
      <c r="M303" s="25">
        <v>151.13</v>
      </c>
      <c r="N303" s="5" t="s">
        <v>327</v>
      </c>
      <c r="O303" s="5" t="s">
        <v>29</v>
      </c>
      <c r="P303" s="3">
        <v>4</v>
      </c>
      <c r="Q303" s="3">
        <v>7</v>
      </c>
      <c r="R303" s="5" t="b">
        <v>1</v>
      </c>
      <c r="S303" s="5" t="str">
        <f>IF(R303=TRUE,"Returning Customer","New Customer")</f>
        <v>Returning Customer</v>
      </c>
      <c r="T303" s="3">
        <v>3</v>
      </c>
      <c r="U303" s="12" t="str">
        <f>IF(T303&lt;=3,"Fast",IF(T303&lt;=7,"Standard",IF(T303&lt;=14,"Slow","Very Slow")))</f>
        <v>Fast</v>
      </c>
      <c r="V303" s="10" t="str">
        <f>IF(D303&lt;=25,"18-25",IF(D303&lt;=35,"26-35",IF(D303&lt;=45,"36-45",IF(D303&lt;=55,"46-55",IF(D303&lt;=65,"56-65","66-75")))))</f>
        <v>26-35</v>
      </c>
      <c r="W303" s="3">
        <v>4</v>
      </c>
    </row>
    <row r="304" spans="1:23">
      <c r="A304" s="5" t="s">
        <v>480</v>
      </c>
      <c r="B304" s="5" t="s">
        <v>481</v>
      </c>
      <c r="C304" s="6">
        <v>44994</v>
      </c>
      <c r="D304" s="8">
        <v>43</v>
      </c>
      <c r="E304" s="5" t="s">
        <v>20</v>
      </c>
      <c r="F304" s="5" t="s">
        <v>21</v>
      </c>
      <c r="G304" s="5" t="s">
        <v>46</v>
      </c>
      <c r="H304" s="7">
        <v>228.88</v>
      </c>
      <c r="I304" s="3">
        <v>1</v>
      </c>
      <c r="J304" s="33">
        <f>H304*I304</f>
        <v>228.88</v>
      </c>
      <c r="K304" s="4">
        <v>0</v>
      </c>
      <c r="L304" s="9">
        <f>IF(J304=0,0,K304/J304)</f>
        <v>0</v>
      </c>
      <c r="M304" s="25">
        <v>228.88</v>
      </c>
      <c r="N304" s="5" t="s">
        <v>327</v>
      </c>
      <c r="O304" s="5" t="s">
        <v>24</v>
      </c>
      <c r="P304" s="3">
        <v>5</v>
      </c>
      <c r="Q304" s="3">
        <v>6</v>
      </c>
      <c r="R304" s="5" t="b">
        <v>1</v>
      </c>
      <c r="S304" s="5" t="str">
        <f>IF(R304=TRUE,"Returning Customer","New Customer")</f>
        <v>Returning Customer</v>
      </c>
      <c r="T304" s="3">
        <v>6</v>
      </c>
      <c r="U304" s="12" t="str">
        <f>IF(T304&lt;=3,"Fast",IF(T304&lt;=7,"Standard",IF(T304&lt;=14,"Slow","Very Slow")))</f>
        <v>Standard</v>
      </c>
      <c r="V304" s="10" t="str">
        <f>IF(D304&lt;=25,"18-25",IF(D304&lt;=35,"26-35",IF(D304&lt;=45,"36-45",IF(D304&lt;=55,"46-55",IF(D304&lt;=65,"56-65","66-75")))))</f>
        <v>36-45</v>
      </c>
      <c r="W304" s="3">
        <v>4</v>
      </c>
    </row>
    <row r="305" spans="1:23">
      <c r="A305" s="5" t="s">
        <v>179</v>
      </c>
      <c r="B305" s="5" t="s">
        <v>180</v>
      </c>
      <c r="C305" s="6">
        <v>45297</v>
      </c>
      <c r="D305" s="8">
        <v>42</v>
      </c>
      <c r="E305" s="5" t="s">
        <v>20</v>
      </c>
      <c r="F305" s="5" t="s">
        <v>21</v>
      </c>
      <c r="G305" s="5" t="s">
        <v>56</v>
      </c>
      <c r="H305" s="7">
        <v>1271.81</v>
      </c>
      <c r="I305" s="3">
        <v>5</v>
      </c>
      <c r="J305" s="33">
        <f>H305*I305</f>
        <v>6359.0499999999993</v>
      </c>
      <c r="K305" s="4">
        <v>0</v>
      </c>
      <c r="L305" s="9">
        <f>IF(J305=0,0,K305/J305)</f>
        <v>0</v>
      </c>
      <c r="M305" s="25">
        <v>6359.05</v>
      </c>
      <c r="N305" s="5" t="s">
        <v>23</v>
      </c>
      <c r="O305" s="5" t="s">
        <v>24</v>
      </c>
      <c r="P305" s="3">
        <v>11</v>
      </c>
      <c r="Q305" s="3">
        <v>8</v>
      </c>
      <c r="R305" s="5" t="b">
        <v>1</v>
      </c>
      <c r="S305" s="5" t="str">
        <f>IF(R305=TRUE,"Returning Customer","New Customer")</f>
        <v>Returning Customer</v>
      </c>
      <c r="T305" s="3">
        <v>4</v>
      </c>
      <c r="U305" s="12" t="str">
        <f>IF(T305&lt;=3,"Fast",IF(T305&lt;=7,"Standard",IF(T305&lt;=14,"Slow","Very Slow")))</f>
        <v>Standard</v>
      </c>
      <c r="V305" s="10" t="str">
        <f>IF(D305&lt;=25,"18-25",IF(D305&lt;=35,"26-35",IF(D305&lt;=45,"36-45",IF(D305&lt;=55,"46-55",IF(D305&lt;=65,"56-65","66-75")))))</f>
        <v>36-45</v>
      </c>
      <c r="W305" s="3">
        <v>4</v>
      </c>
    </row>
    <row r="306" spans="1:23">
      <c r="A306" s="5" t="s">
        <v>181</v>
      </c>
      <c r="B306" s="5" t="s">
        <v>182</v>
      </c>
      <c r="C306" s="6">
        <v>45219</v>
      </c>
      <c r="D306" s="8">
        <v>34</v>
      </c>
      <c r="E306" s="5" t="s">
        <v>36</v>
      </c>
      <c r="F306" s="5" t="s">
        <v>83</v>
      </c>
      <c r="G306" s="5" t="s">
        <v>46</v>
      </c>
      <c r="H306" s="7">
        <v>342.67</v>
      </c>
      <c r="I306" s="3">
        <v>5</v>
      </c>
      <c r="J306" s="33">
        <f>H306*I306</f>
        <v>1713.3500000000001</v>
      </c>
      <c r="K306" s="4">
        <v>90.04</v>
      </c>
      <c r="L306" s="9">
        <f>IF(J306=0,0,K306/J306)</f>
        <v>5.2552017976478828E-2</v>
      </c>
      <c r="M306" s="25">
        <v>1623.31</v>
      </c>
      <c r="N306" s="5" t="s">
        <v>23</v>
      </c>
      <c r="O306" s="5" t="s">
        <v>24</v>
      </c>
      <c r="P306" s="3">
        <v>9</v>
      </c>
      <c r="Q306" s="3">
        <v>9</v>
      </c>
      <c r="R306" s="5" t="b">
        <v>1</v>
      </c>
      <c r="S306" s="5" t="str">
        <f>IF(R306=TRUE,"Returning Customer","New Customer")</f>
        <v>Returning Customer</v>
      </c>
      <c r="T306" s="3">
        <v>5</v>
      </c>
      <c r="U306" s="12" t="str">
        <f>IF(T306&lt;=3,"Fast",IF(T306&lt;=7,"Standard",IF(T306&lt;=14,"Slow","Very Slow")))</f>
        <v>Standard</v>
      </c>
      <c r="V306" s="10" t="str">
        <f>IF(D306&lt;=25,"18-25",IF(D306&lt;=35,"26-35",IF(D306&lt;=45,"36-45",IF(D306&lt;=55,"46-55",IF(D306&lt;=65,"56-65","66-75")))))</f>
        <v>26-35</v>
      </c>
      <c r="W306" s="3">
        <v>5</v>
      </c>
    </row>
    <row r="307" spans="1:23">
      <c r="A307" s="5" t="s">
        <v>1359</v>
      </c>
      <c r="B307" s="5" t="s">
        <v>1360</v>
      </c>
      <c r="C307" s="6">
        <v>45222</v>
      </c>
      <c r="D307" s="8">
        <v>36</v>
      </c>
      <c r="E307" s="5" t="s">
        <v>36</v>
      </c>
      <c r="F307" s="5" t="s">
        <v>59</v>
      </c>
      <c r="G307" s="5" t="s">
        <v>46</v>
      </c>
      <c r="H307" s="7">
        <v>332.34</v>
      </c>
      <c r="I307" s="3">
        <v>1</v>
      </c>
      <c r="J307" s="33">
        <f>H307*I307</f>
        <v>332.34</v>
      </c>
      <c r="K307" s="4">
        <v>0</v>
      </c>
      <c r="L307" s="9">
        <f>IF(J307=0,0,K307/J307)</f>
        <v>0</v>
      </c>
      <c r="M307" s="25">
        <v>332.34</v>
      </c>
      <c r="N307" s="5" t="s">
        <v>1298</v>
      </c>
      <c r="O307" s="5" t="s">
        <v>29</v>
      </c>
      <c r="P307" s="3">
        <v>13</v>
      </c>
      <c r="Q307" s="3">
        <v>5</v>
      </c>
      <c r="R307" s="5" t="b">
        <v>1</v>
      </c>
      <c r="S307" s="5" t="str">
        <f>IF(R307=TRUE,"Returning Customer","New Customer")</f>
        <v>Returning Customer</v>
      </c>
      <c r="T307" s="3">
        <v>6</v>
      </c>
      <c r="U307" s="12" t="str">
        <f>IF(T307&lt;=3,"Fast",IF(T307&lt;=7,"Standard",IF(T307&lt;=14,"Slow","Very Slow")))</f>
        <v>Standard</v>
      </c>
      <c r="V307" s="10" t="str">
        <f>IF(D307&lt;=25,"18-25",IF(D307&lt;=35,"26-35",IF(D307&lt;=45,"36-45",IF(D307&lt;=55,"46-55",IF(D307&lt;=65,"56-65","66-75")))))</f>
        <v>36-45</v>
      </c>
      <c r="W307" s="3">
        <v>4</v>
      </c>
    </row>
    <row r="308" spans="1:23">
      <c r="A308" s="5" t="s">
        <v>482</v>
      </c>
      <c r="B308" s="5" t="s">
        <v>483</v>
      </c>
      <c r="C308" s="6">
        <v>45169</v>
      </c>
      <c r="D308" s="8">
        <v>50</v>
      </c>
      <c r="E308" s="5" t="s">
        <v>36</v>
      </c>
      <c r="F308" s="5" t="s">
        <v>21</v>
      </c>
      <c r="G308" s="5" t="s">
        <v>56</v>
      </c>
      <c r="H308" s="7">
        <v>1406.24</v>
      </c>
      <c r="I308" s="3">
        <v>1</v>
      </c>
      <c r="J308" s="33">
        <f>H308*I308</f>
        <v>1406.24</v>
      </c>
      <c r="K308" s="4">
        <v>0</v>
      </c>
      <c r="L308" s="9">
        <f>IF(J308=0,0,K308/J308)</f>
        <v>0</v>
      </c>
      <c r="M308" s="25">
        <v>1406.24</v>
      </c>
      <c r="N308" s="5" t="s">
        <v>327</v>
      </c>
      <c r="O308" s="5" t="s">
        <v>24</v>
      </c>
      <c r="P308" s="3">
        <v>15</v>
      </c>
      <c r="Q308" s="3">
        <v>8</v>
      </c>
      <c r="R308" s="5" t="b">
        <v>1</v>
      </c>
      <c r="S308" s="5" t="str">
        <f>IF(R308=TRUE,"Returning Customer","New Customer")</f>
        <v>Returning Customer</v>
      </c>
      <c r="T308" s="3">
        <v>4</v>
      </c>
      <c r="U308" s="12" t="str">
        <f>IF(T308&lt;=3,"Fast",IF(T308&lt;=7,"Standard",IF(T308&lt;=14,"Slow","Very Slow")))</f>
        <v>Standard</v>
      </c>
      <c r="V308" s="10" t="str">
        <f>IF(D308&lt;=25,"18-25",IF(D308&lt;=35,"26-35",IF(D308&lt;=45,"36-45",IF(D308&lt;=55,"46-55",IF(D308&lt;=65,"56-65","66-75")))))</f>
        <v>46-55</v>
      </c>
      <c r="W308" s="3">
        <v>3</v>
      </c>
    </row>
    <row r="309" spans="1:23">
      <c r="A309" s="5" t="s">
        <v>484</v>
      </c>
      <c r="B309" s="5" t="s">
        <v>485</v>
      </c>
      <c r="C309" s="6">
        <v>45051</v>
      </c>
      <c r="D309" s="8">
        <v>27</v>
      </c>
      <c r="E309" s="5" t="s">
        <v>36</v>
      </c>
      <c r="F309" s="5" t="s">
        <v>27</v>
      </c>
      <c r="G309" s="5" t="s">
        <v>28</v>
      </c>
      <c r="H309" s="7">
        <v>76.77</v>
      </c>
      <c r="I309" s="3">
        <v>1</v>
      </c>
      <c r="J309" s="33">
        <f>H309*I309</f>
        <v>76.77</v>
      </c>
      <c r="K309" s="4">
        <v>0</v>
      </c>
      <c r="L309" s="9">
        <f>IF(J309=0,0,K309/J309)</f>
        <v>0</v>
      </c>
      <c r="M309" s="25">
        <v>76.77</v>
      </c>
      <c r="N309" s="5" t="s">
        <v>327</v>
      </c>
      <c r="O309" s="5" t="s">
        <v>24</v>
      </c>
      <c r="P309" s="3">
        <v>7</v>
      </c>
      <c r="Q309" s="3">
        <v>7</v>
      </c>
      <c r="R309" s="5" t="b">
        <v>1</v>
      </c>
      <c r="S309" s="5" t="str">
        <f>IF(R309=TRUE,"Returning Customer","New Customer")</f>
        <v>Returning Customer</v>
      </c>
      <c r="T309" s="3">
        <v>2</v>
      </c>
      <c r="U309" s="12" t="str">
        <f>IF(T309&lt;=3,"Fast",IF(T309&lt;=7,"Standard",IF(T309&lt;=14,"Slow","Very Slow")))</f>
        <v>Fast</v>
      </c>
      <c r="V309" s="10" t="str">
        <f>IF(D309&lt;=25,"18-25",IF(D309&lt;=35,"26-35",IF(D309&lt;=45,"36-45",IF(D309&lt;=55,"46-55",IF(D309&lt;=65,"56-65","66-75")))))</f>
        <v>26-35</v>
      </c>
      <c r="W309" s="3">
        <v>5</v>
      </c>
    </row>
    <row r="310" spans="1:23">
      <c r="A310" s="5" t="s">
        <v>1361</v>
      </c>
      <c r="B310" s="5" t="s">
        <v>1362</v>
      </c>
      <c r="C310" s="6">
        <v>45328</v>
      </c>
      <c r="D310" s="8">
        <v>41</v>
      </c>
      <c r="E310" s="5" t="s">
        <v>20</v>
      </c>
      <c r="F310" s="5" t="s">
        <v>52</v>
      </c>
      <c r="G310" s="5" t="s">
        <v>53</v>
      </c>
      <c r="H310" s="7">
        <v>63</v>
      </c>
      <c r="I310" s="3">
        <v>1</v>
      </c>
      <c r="J310" s="33">
        <f>H310*I310</f>
        <v>63</v>
      </c>
      <c r="K310" s="4">
        <v>0</v>
      </c>
      <c r="L310" s="9">
        <f>IF(J310=0,0,K310/J310)</f>
        <v>0</v>
      </c>
      <c r="M310" s="25">
        <v>63</v>
      </c>
      <c r="N310" s="5" t="s">
        <v>1298</v>
      </c>
      <c r="O310" s="5" t="s">
        <v>33</v>
      </c>
      <c r="P310" s="3">
        <v>16</v>
      </c>
      <c r="Q310" s="3">
        <v>11</v>
      </c>
      <c r="R310" s="5" t="b">
        <v>1</v>
      </c>
      <c r="S310" s="5" t="str">
        <f>IF(R310=TRUE,"Returning Customer","New Customer")</f>
        <v>Returning Customer</v>
      </c>
      <c r="T310" s="3">
        <v>12</v>
      </c>
      <c r="U310" s="12" t="str">
        <f>IF(T310&lt;=3,"Fast",IF(T310&lt;=7,"Standard",IF(T310&lt;=14,"Slow","Very Slow")))</f>
        <v>Slow</v>
      </c>
      <c r="V310" s="10" t="str">
        <f>IF(D310&lt;=25,"18-25",IF(D310&lt;=35,"26-35",IF(D310&lt;=45,"36-45",IF(D310&lt;=55,"46-55",IF(D310&lt;=65,"56-65","66-75")))))</f>
        <v>36-45</v>
      </c>
      <c r="W310" s="3">
        <v>5</v>
      </c>
    </row>
    <row r="311" spans="1:23">
      <c r="A311" s="5" t="s">
        <v>911</v>
      </c>
      <c r="B311" s="5" t="s">
        <v>912</v>
      </c>
      <c r="C311" s="6">
        <v>45169</v>
      </c>
      <c r="D311" s="8">
        <v>32</v>
      </c>
      <c r="E311" s="5" t="s">
        <v>20</v>
      </c>
      <c r="F311" s="5" t="s">
        <v>32</v>
      </c>
      <c r="G311" s="5" t="s">
        <v>115</v>
      </c>
      <c r="H311" s="7">
        <v>58.5</v>
      </c>
      <c r="I311" s="3">
        <v>4</v>
      </c>
      <c r="J311" s="33">
        <f>H311*I311</f>
        <v>234</v>
      </c>
      <c r="K311" s="4">
        <v>0</v>
      </c>
      <c r="L311" s="9">
        <f>IF(J311=0,0,K311/J311)</f>
        <v>0</v>
      </c>
      <c r="M311" s="25">
        <v>234</v>
      </c>
      <c r="N311" s="5" t="s">
        <v>692</v>
      </c>
      <c r="O311" s="5" t="s">
        <v>33</v>
      </c>
      <c r="P311" s="3">
        <v>14</v>
      </c>
      <c r="Q311" s="3">
        <v>9</v>
      </c>
      <c r="R311" s="5" t="b">
        <v>1</v>
      </c>
      <c r="S311" s="5" t="str">
        <f>IF(R311=TRUE,"Returning Customer","New Customer")</f>
        <v>Returning Customer</v>
      </c>
      <c r="T311" s="3">
        <v>3</v>
      </c>
      <c r="U311" s="12" t="str">
        <f>IF(T311&lt;=3,"Fast",IF(T311&lt;=7,"Standard",IF(T311&lt;=14,"Slow","Very Slow")))</f>
        <v>Fast</v>
      </c>
      <c r="V311" s="10" t="str">
        <f>IF(D311&lt;=25,"18-25",IF(D311&lt;=35,"26-35",IF(D311&lt;=45,"36-45",IF(D311&lt;=55,"46-55",IF(D311&lt;=65,"56-65","66-75")))))</f>
        <v>26-35</v>
      </c>
      <c r="W311" s="3">
        <v>5</v>
      </c>
    </row>
    <row r="312" spans="1:23">
      <c r="A312" s="5" t="s">
        <v>486</v>
      </c>
      <c r="B312" s="5" t="s">
        <v>487</v>
      </c>
      <c r="C312" s="6">
        <v>45340</v>
      </c>
      <c r="D312" s="8">
        <v>32</v>
      </c>
      <c r="E312" s="5" t="s">
        <v>36</v>
      </c>
      <c r="F312" s="5" t="s">
        <v>52</v>
      </c>
      <c r="G312" s="5" t="s">
        <v>28</v>
      </c>
      <c r="H312" s="7">
        <v>88.12</v>
      </c>
      <c r="I312" s="3">
        <v>4</v>
      </c>
      <c r="J312" s="33">
        <f>H312*I312</f>
        <v>352.48</v>
      </c>
      <c r="K312" s="4">
        <v>0</v>
      </c>
      <c r="L312" s="9">
        <f>IF(J312=0,0,K312/J312)</f>
        <v>0</v>
      </c>
      <c r="M312" s="25">
        <v>352.48</v>
      </c>
      <c r="N312" s="5" t="s">
        <v>327</v>
      </c>
      <c r="O312" s="5" t="s">
        <v>33</v>
      </c>
      <c r="P312" s="3">
        <v>8</v>
      </c>
      <c r="Q312" s="3">
        <v>5</v>
      </c>
      <c r="R312" s="5" t="b">
        <v>0</v>
      </c>
      <c r="S312" s="5" t="str">
        <f>IF(R312=TRUE,"Returning Customer","New Customer")</f>
        <v>New Customer</v>
      </c>
      <c r="T312" s="3">
        <v>6</v>
      </c>
      <c r="U312" s="12" t="str">
        <f>IF(T312&lt;=3,"Fast",IF(T312&lt;=7,"Standard",IF(T312&lt;=14,"Slow","Very Slow")))</f>
        <v>Standard</v>
      </c>
      <c r="V312" s="10" t="str">
        <f>IF(D312&lt;=25,"18-25",IF(D312&lt;=35,"26-35",IF(D312&lt;=45,"36-45",IF(D312&lt;=55,"46-55",IF(D312&lt;=65,"56-65","66-75")))))</f>
        <v>26-35</v>
      </c>
      <c r="W312" s="3">
        <v>3</v>
      </c>
    </row>
    <row r="313" spans="1:23">
      <c r="A313" s="5" t="s">
        <v>488</v>
      </c>
      <c r="B313" s="5" t="s">
        <v>489</v>
      </c>
      <c r="C313" s="6">
        <v>45135</v>
      </c>
      <c r="D313" s="8">
        <v>48</v>
      </c>
      <c r="E313" s="5" t="s">
        <v>36</v>
      </c>
      <c r="F313" s="5" t="s">
        <v>21</v>
      </c>
      <c r="G313" s="5" t="s">
        <v>22</v>
      </c>
      <c r="H313" s="7">
        <v>350.76</v>
      </c>
      <c r="I313" s="3">
        <v>4</v>
      </c>
      <c r="J313" s="33">
        <f>H313*I313</f>
        <v>1403.04</v>
      </c>
      <c r="K313" s="4">
        <v>51.81</v>
      </c>
      <c r="L313" s="9">
        <f>IF(J313=0,0,K313/J313)</f>
        <v>3.6926958604173797E-2</v>
      </c>
      <c r="M313" s="25">
        <v>1351.23</v>
      </c>
      <c r="N313" s="5" t="s">
        <v>327</v>
      </c>
      <c r="O313" s="5" t="s">
        <v>33</v>
      </c>
      <c r="P313" s="3">
        <v>22</v>
      </c>
      <c r="Q313" s="3">
        <v>10</v>
      </c>
      <c r="R313" s="5" t="b">
        <v>0</v>
      </c>
      <c r="S313" s="5" t="str">
        <f>IF(R313=TRUE,"Returning Customer","New Customer")</f>
        <v>New Customer</v>
      </c>
      <c r="T313" s="3">
        <v>7</v>
      </c>
      <c r="U313" s="12" t="str">
        <f>IF(T313&lt;=3,"Fast",IF(T313&lt;=7,"Standard",IF(T313&lt;=14,"Slow","Very Slow")))</f>
        <v>Standard</v>
      </c>
      <c r="V313" s="10" t="str">
        <f>IF(D313&lt;=25,"18-25",IF(D313&lt;=35,"26-35",IF(D313&lt;=45,"36-45",IF(D313&lt;=55,"46-55",IF(D313&lt;=65,"56-65","66-75")))))</f>
        <v>46-55</v>
      </c>
      <c r="W313" s="3">
        <v>3</v>
      </c>
    </row>
    <row r="314" spans="1:23">
      <c r="A314" s="5" t="s">
        <v>1363</v>
      </c>
      <c r="B314" s="5" t="s">
        <v>1364</v>
      </c>
      <c r="C314" s="6">
        <v>45024</v>
      </c>
      <c r="D314" s="8">
        <v>44</v>
      </c>
      <c r="E314" s="5" t="s">
        <v>36</v>
      </c>
      <c r="F314" s="5" t="s">
        <v>32</v>
      </c>
      <c r="G314" s="5" t="s">
        <v>64</v>
      </c>
      <c r="H314" s="7">
        <v>504.27</v>
      </c>
      <c r="I314" s="3">
        <v>1</v>
      </c>
      <c r="J314" s="33">
        <f>H314*I314</f>
        <v>504.27</v>
      </c>
      <c r="K314" s="4">
        <v>80.12</v>
      </c>
      <c r="L314" s="9">
        <f>IF(J314=0,0,K314/J314)</f>
        <v>0.15888313800146747</v>
      </c>
      <c r="M314" s="25">
        <v>424.15</v>
      </c>
      <c r="N314" s="5" t="s">
        <v>1298</v>
      </c>
      <c r="O314" s="5" t="s">
        <v>33</v>
      </c>
      <c r="P314" s="3">
        <v>12</v>
      </c>
      <c r="Q314" s="3">
        <v>10</v>
      </c>
      <c r="R314" s="5" t="b">
        <v>1</v>
      </c>
      <c r="S314" s="5" t="str">
        <f>IF(R314=TRUE,"Returning Customer","New Customer")</f>
        <v>Returning Customer</v>
      </c>
      <c r="T314" s="3">
        <v>9</v>
      </c>
      <c r="U314" s="12" t="str">
        <f>IF(T314&lt;=3,"Fast",IF(T314&lt;=7,"Standard",IF(T314&lt;=14,"Slow","Very Slow")))</f>
        <v>Slow</v>
      </c>
      <c r="V314" s="10" t="str">
        <f>IF(D314&lt;=25,"18-25",IF(D314&lt;=35,"26-35",IF(D314&lt;=45,"36-45",IF(D314&lt;=55,"46-55",IF(D314&lt;=65,"56-65","66-75")))))</f>
        <v>36-45</v>
      </c>
      <c r="W314" s="3">
        <v>2</v>
      </c>
    </row>
    <row r="315" spans="1:23">
      <c r="A315" s="5" t="s">
        <v>913</v>
      </c>
      <c r="B315" s="5" t="s">
        <v>914</v>
      </c>
      <c r="C315" s="6">
        <v>44975</v>
      </c>
      <c r="D315" s="8">
        <v>44</v>
      </c>
      <c r="E315" s="5" t="s">
        <v>36</v>
      </c>
      <c r="F315" s="5" t="s">
        <v>59</v>
      </c>
      <c r="G315" s="5" t="s">
        <v>115</v>
      </c>
      <c r="H315" s="7">
        <v>35.85</v>
      </c>
      <c r="I315" s="3">
        <v>4</v>
      </c>
      <c r="J315" s="33">
        <f>H315*I315</f>
        <v>143.4</v>
      </c>
      <c r="K315" s="4">
        <v>0</v>
      </c>
      <c r="L315" s="9">
        <f>IF(J315=0,0,K315/J315)</f>
        <v>0</v>
      </c>
      <c r="M315" s="25">
        <v>143.4</v>
      </c>
      <c r="N315" s="5" t="s">
        <v>692</v>
      </c>
      <c r="O315" s="5" t="s">
        <v>33</v>
      </c>
      <c r="P315" s="3">
        <v>5</v>
      </c>
      <c r="Q315" s="3">
        <v>7</v>
      </c>
      <c r="R315" s="5" t="b">
        <v>0</v>
      </c>
      <c r="S315" s="5" t="str">
        <f>IF(R315=TRUE,"Returning Customer","New Customer")</f>
        <v>New Customer</v>
      </c>
      <c r="T315" s="3">
        <v>2</v>
      </c>
      <c r="U315" s="12" t="str">
        <f>IF(T315&lt;=3,"Fast",IF(T315&lt;=7,"Standard",IF(T315&lt;=14,"Slow","Very Slow")))</f>
        <v>Fast</v>
      </c>
      <c r="V315" s="10" t="str">
        <f>IF(D315&lt;=25,"18-25",IF(D315&lt;=35,"26-35",IF(D315&lt;=45,"36-45",IF(D315&lt;=55,"46-55",IF(D315&lt;=65,"56-65","66-75")))))</f>
        <v>36-45</v>
      </c>
      <c r="W315" s="3">
        <v>2</v>
      </c>
    </row>
    <row r="316" spans="1:23">
      <c r="A316" s="5" t="s">
        <v>915</v>
      </c>
      <c r="B316" s="5" t="s">
        <v>916</v>
      </c>
      <c r="C316" s="6">
        <v>44976</v>
      </c>
      <c r="D316" s="8">
        <v>50</v>
      </c>
      <c r="E316" s="5" t="s">
        <v>20</v>
      </c>
      <c r="F316" s="5" t="s">
        <v>52</v>
      </c>
      <c r="G316" s="5" t="s">
        <v>28</v>
      </c>
      <c r="H316" s="7">
        <v>157.02000000000001</v>
      </c>
      <c r="I316" s="3">
        <v>3</v>
      </c>
      <c r="J316" s="33">
        <f>H316*I316</f>
        <v>471.06000000000006</v>
      </c>
      <c r="K316" s="4">
        <v>0</v>
      </c>
      <c r="L316" s="9">
        <f>IF(J316=0,0,K316/J316)</f>
        <v>0</v>
      </c>
      <c r="M316" s="25">
        <v>471.06</v>
      </c>
      <c r="N316" s="5" t="s">
        <v>692</v>
      </c>
      <c r="O316" s="5" t="s">
        <v>33</v>
      </c>
      <c r="P316" s="3">
        <v>5</v>
      </c>
      <c r="Q316" s="3">
        <v>8</v>
      </c>
      <c r="R316" s="5" t="b">
        <v>1</v>
      </c>
      <c r="S316" s="5" t="str">
        <f>IF(R316=TRUE,"Returning Customer","New Customer")</f>
        <v>Returning Customer</v>
      </c>
      <c r="T316" s="3">
        <v>5</v>
      </c>
      <c r="U316" s="12" t="str">
        <f>IF(T316&lt;=3,"Fast",IF(T316&lt;=7,"Standard",IF(T316&lt;=14,"Slow","Very Slow")))</f>
        <v>Standard</v>
      </c>
      <c r="V316" s="10" t="str">
        <f>IF(D316&lt;=25,"18-25",IF(D316&lt;=35,"26-35",IF(D316&lt;=45,"36-45",IF(D316&lt;=55,"46-55",IF(D316&lt;=65,"56-65","66-75")))))</f>
        <v>46-55</v>
      </c>
      <c r="W316" s="3">
        <v>5</v>
      </c>
    </row>
    <row r="317" spans="1:23">
      <c r="A317" s="5" t="s">
        <v>917</v>
      </c>
      <c r="B317" s="5" t="s">
        <v>918</v>
      </c>
      <c r="C317" s="6">
        <v>45264</v>
      </c>
      <c r="D317" s="8">
        <v>35</v>
      </c>
      <c r="E317" s="5" t="s">
        <v>36</v>
      </c>
      <c r="F317" s="5" t="s">
        <v>73</v>
      </c>
      <c r="G317" s="5" t="s">
        <v>64</v>
      </c>
      <c r="H317" s="7">
        <v>4047.49</v>
      </c>
      <c r="I317" s="3">
        <v>4</v>
      </c>
      <c r="J317" s="33">
        <f>H317*I317</f>
        <v>16189.96</v>
      </c>
      <c r="K317" s="4">
        <v>735.59</v>
      </c>
      <c r="L317" s="9">
        <f>IF(J317=0,0,K317/J317)</f>
        <v>4.5434948573066278E-2</v>
      </c>
      <c r="M317" s="25">
        <v>15454.37</v>
      </c>
      <c r="N317" s="5" t="s">
        <v>692</v>
      </c>
      <c r="O317" s="5" t="s">
        <v>29</v>
      </c>
      <c r="P317" s="3">
        <v>20</v>
      </c>
      <c r="Q317" s="3">
        <v>7</v>
      </c>
      <c r="R317" s="5" t="b">
        <v>1</v>
      </c>
      <c r="S317" s="5" t="str">
        <f>IF(R317=TRUE,"Returning Customer","New Customer")</f>
        <v>Returning Customer</v>
      </c>
      <c r="T317" s="3">
        <v>11</v>
      </c>
      <c r="U317" s="12" t="str">
        <f>IF(T317&lt;=3,"Fast",IF(T317&lt;=7,"Standard",IF(T317&lt;=14,"Slow","Very Slow")))</f>
        <v>Slow</v>
      </c>
      <c r="V317" s="10" t="str">
        <f>IF(D317&lt;=25,"18-25",IF(D317&lt;=35,"26-35",IF(D317&lt;=45,"36-45",IF(D317&lt;=55,"46-55",IF(D317&lt;=65,"56-65","66-75")))))</f>
        <v>26-35</v>
      </c>
      <c r="W317" s="3">
        <v>2</v>
      </c>
    </row>
    <row r="318" spans="1:23">
      <c r="A318" s="5" t="s">
        <v>919</v>
      </c>
      <c r="B318" s="5" t="s">
        <v>920</v>
      </c>
      <c r="C318" s="6">
        <v>45147</v>
      </c>
      <c r="D318" s="8">
        <v>43</v>
      </c>
      <c r="E318" s="5" t="s">
        <v>20</v>
      </c>
      <c r="F318" s="5" t="s">
        <v>32</v>
      </c>
      <c r="G318" s="5" t="s">
        <v>64</v>
      </c>
      <c r="H318" s="7">
        <v>3802.5</v>
      </c>
      <c r="I318" s="3">
        <v>1</v>
      </c>
      <c r="J318" s="33">
        <f>H318*I318</f>
        <v>3802.5</v>
      </c>
      <c r="K318" s="4">
        <v>0</v>
      </c>
      <c r="L318" s="9">
        <f>IF(J318=0,0,K318/J318)</f>
        <v>0</v>
      </c>
      <c r="M318" s="25">
        <v>3802.5</v>
      </c>
      <c r="N318" s="5" t="s">
        <v>692</v>
      </c>
      <c r="O318" s="5" t="s">
        <v>24</v>
      </c>
      <c r="P318" s="3">
        <v>14</v>
      </c>
      <c r="Q318" s="3">
        <v>7</v>
      </c>
      <c r="R318" s="5" t="b">
        <v>1</v>
      </c>
      <c r="S318" s="5" t="str">
        <f>IF(R318=TRUE,"Returning Customer","New Customer")</f>
        <v>Returning Customer</v>
      </c>
      <c r="T318" s="3">
        <v>14</v>
      </c>
      <c r="U318" s="12" t="str">
        <f>IF(T318&lt;=3,"Fast",IF(T318&lt;=7,"Standard",IF(T318&lt;=14,"Slow","Very Slow")))</f>
        <v>Slow</v>
      </c>
      <c r="V318" s="10" t="str">
        <f>IF(D318&lt;=25,"18-25",IF(D318&lt;=35,"26-35",IF(D318&lt;=45,"36-45",IF(D318&lt;=55,"46-55",IF(D318&lt;=65,"56-65","66-75")))))</f>
        <v>36-45</v>
      </c>
      <c r="W318" s="3">
        <v>4</v>
      </c>
    </row>
    <row r="319" spans="1:23">
      <c r="A319" s="5" t="s">
        <v>921</v>
      </c>
      <c r="B319" s="5" t="s">
        <v>922</v>
      </c>
      <c r="C319" s="6">
        <v>45108</v>
      </c>
      <c r="D319" s="8">
        <v>31</v>
      </c>
      <c r="E319" s="5" t="s">
        <v>20</v>
      </c>
      <c r="F319" s="5" t="s">
        <v>32</v>
      </c>
      <c r="G319" s="5" t="s">
        <v>22</v>
      </c>
      <c r="H319" s="7">
        <v>318.60000000000002</v>
      </c>
      <c r="I319" s="3">
        <v>1</v>
      </c>
      <c r="J319" s="33">
        <f>H319*I319</f>
        <v>318.60000000000002</v>
      </c>
      <c r="K319" s="4">
        <v>0</v>
      </c>
      <c r="L319" s="9">
        <f>IF(J319=0,0,K319/J319)</f>
        <v>0</v>
      </c>
      <c r="M319" s="25">
        <v>318.60000000000002</v>
      </c>
      <c r="N319" s="5" t="s">
        <v>692</v>
      </c>
      <c r="O319" s="5" t="s">
        <v>33</v>
      </c>
      <c r="P319" s="3">
        <v>12</v>
      </c>
      <c r="Q319" s="3">
        <v>8</v>
      </c>
      <c r="R319" s="5" t="b">
        <v>0</v>
      </c>
      <c r="S319" s="5" t="str">
        <f>IF(R319=TRUE,"Returning Customer","New Customer")</f>
        <v>New Customer</v>
      </c>
      <c r="T319" s="3">
        <v>5</v>
      </c>
      <c r="U319" s="12" t="str">
        <f>IF(T319&lt;=3,"Fast",IF(T319&lt;=7,"Standard",IF(T319&lt;=14,"Slow","Very Slow")))</f>
        <v>Standard</v>
      </c>
      <c r="V319" s="10" t="str">
        <f>IF(D319&lt;=25,"18-25",IF(D319&lt;=35,"26-35",IF(D319&lt;=45,"36-45",IF(D319&lt;=55,"46-55",IF(D319&lt;=65,"56-65","66-75")))))</f>
        <v>26-35</v>
      </c>
      <c r="W319" s="3">
        <v>5</v>
      </c>
    </row>
    <row r="320" spans="1:23">
      <c r="A320" s="5" t="s">
        <v>490</v>
      </c>
      <c r="B320" s="5" t="s">
        <v>491</v>
      </c>
      <c r="C320" s="6">
        <v>45143</v>
      </c>
      <c r="D320" s="8">
        <v>38</v>
      </c>
      <c r="E320" s="5" t="s">
        <v>20</v>
      </c>
      <c r="F320" s="5" t="s">
        <v>88</v>
      </c>
      <c r="G320" s="5" t="s">
        <v>53</v>
      </c>
      <c r="H320" s="7">
        <v>40.72</v>
      </c>
      <c r="I320" s="3">
        <v>2</v>
      </c>
      <c r="J320" s="33">
        <f>H320*I320</f>
        <v>81.44</v>
      </c>
      <c r="K320" s="4">
        <v>0</v>
      </c>
      <c r="L320" s="9">
        <f>IF(J320=0,0,K320/J320)</f>
        <v>0</v>
      </c>
      <c r="M320" s="25">
        <v>81.44</v>
      </c>
      <c r="N320" s="5" t="s">
        <v>327</v>
      </c>
      <c r="O320" s="5" t="s">
        <v>33</v>
      </c>
      <c r="P320" s="3">
        <v>12</v>
      </c>
      <c r="Q320" s="3">
        <v>7</v>
      </c>
      <c r="R320" s="5" t="b">
        <v>1</v>
      </c>
      <c r="S320" s="5" t="str">
        <f>IF(R320=TRUE,"Returning Customer","New Customer")</f>
        <v>Returning Customer</v>
      </c>
      <c r="T320" s="3">
        <v>7</v>
      </c>
      <c r="U320" s="12" t="str">
        <f>IF(T320&lt;=3,"Fast",IF(T320&lt;=7,"Standard",IF(T320&lt;=14,"Slow","Very Slow")))</f>
        <v>Standard</v>
      </c>
      <c r="V320" s="10" t="str">
        <f>IF(D320&lt;=25,"18-25",IF(D320&lt;=35,"26-35",IF(D320&lt;=45,"36-45",IF(D320&lt;=55,"46-55",IF(D320&lt;=65,"56-65","66-75")))))</f>
        <v>36-45</v>
      </c>
      <c r="W320" s="3">
        <v>5</v>
      </c>
    </row>
    <row r="321" spans="1:23">
      <c r="A321" s="5" t="s">
        <v>1365</v>
      </c>
      <c r="B321" s="5" t="s">
        <v>1366</v>
      </c>
      <c r="C321" s="6">
        <v>45137</v>
      </c>
      <c r="D321" s="8">
        <v>33</v>
      </c>
      <c r="E321" s="5" t="s">
        <v>20</v>
      </c>
      <c r="F321" s="5" t="s">
        <v>73</v>
      </c>
      <c r="G321" s="5" t="s">
        <v>46</v>
      </c>
      <c r="H321" s="7">
        <v>72.16</v>
      </c>
      <c r="I321" s="3">
        <v>1</v>
      </c>
      <c r="J321" s="33">
        <f>H321*I321</f>
        <v>72.16</v>
      </c>
      <c r="K321" s="4">
        <v>0</v>
      </c>
      <c r="L321" s="9">
        <f>IF(J321=0,0,K321/J321)</f>
        <v>0</v>
      </c>
      <c r="M321" s="25">
        <v>72.16</v>
      </c>
      <c r="N321" s="5" t="s">
        <v>1298</v>
      </c>
      <c r="O321" s="5" t="s">
        <v>24</v>
      </c>
      <c r="P321" s="3">
        <v>7</v>
      </c>
      <c r="Q321" s="3">
        <v>14</v>
      </c>
      <c r="R321" s="5" t="b">
        <v>1</v>
      </c>
      <c r="S321" s="5" t="str">
        <f>IF(R321=TRUE,"Returning Customer","New Customer")</f>
        <v>Returning Customer</v>
      </c>
      <c r="T321" s="3">
        <v>4</v>
      </c>
      <c r="U321" s="12" t="str">
        <f>IF(T321&lt;=3,"Fast",IF(T321&lt;=7,"Standard",IF(T321&lt;=14,"Slow","Very Slow")))</f>
        <v>Standard</v>
      </c>
      <c r="V321" s="10" t="str">
        <f>IF(D321&lt;=25,"18-25",IF(D321&lt;=35,"26-35",IF(D321&lt;=45,"36-45",IF(D321&lt;=55,"46-55",IF(D321&lt;=65,"56-65","66-75")))))</f>
        <v>26-35</v>
      </c>
      <c r="W321" s="3">
        <v>3</v>
      </c>
    </row>
    <row r="322" spans="1:23">
      <c r="A322" s="5" t="s">
        <v>492</v>
      </c>
      <c r="B322" s="5" t="s">
        <v>493</v>
      </c>
      <c r="C322" s="6">
        <v>45166</v>
      </c>
      <c r="D322" s="8">
        <v>36</v>
      </c>
      <c r="E322" s="5" t="s">
        <v>20</v>
      </c>
      <c r="F322" s="5" t="s">
        <v>76</v>
      </c>
      <c r="G322" s="5" t="s">
        <v>56</v>
      </c>
      <c r="H322" s="7">
        <v>1077.56</v>
      </c>
      <c r="I322" s="3">
        <v>1</v>
      </c>
      <c r="J322" s="33">
        <f>H322*I322</f>
        <v>1077.56</v>
      </c>
      <c r="K322" s="4">
        <v>0</v>
      </c>
      <c r="L322" s="9">
        <f>IF(J322=0,0,K322/J322)</f>
        <v>0</v>
      </c>
      <c r="M322" s="25">
        <v>1077.56</v>
      </c>
      <c r="N322" s="5" t="s">
        <v>327</v>
      </c>
      <c r="O322" s="5" t="s">
        <v>24</v>
      </c>
      <c r="P322" s="3">
        <v>12</v>
      </c>
      <c r="Q322" s="3">
        <v>16</v>
      </c>
      <c r="R322" s="5" t="b">
        <v>0</v>
      </c>
      <c r="S322" s="5" t="str">
        <f>IF(R322=TRUE,"Returning Customer","New Customer")</f>
        <v>New Customer</v>
      </c>
      <c r="T322" s="3">
        <v>6</v>
      </c>
      <c r="U322" s="12" t="str">
        <f>IF(T322&lt;=3,"Fast",IF(T322&lt;=7,"Standard",IF(T322&lt;=14,"Slow","Very Slow")))</f>
        <v>Standard</v>
      </c>
      <c r="V322" s="10" t="str">
        <f>IF(D322&lt;=25,"18-25",IF(D322&lt;=35,"26-35",IF(D322&lt;=45,"36-45",IF(D322&lt;=55,"46-55",IF(D322&lt;=65,"56-65","66-75")))))</f>
        <v>36-45</v>
      </c>
      <c r="W322" s="3">
        <v>4</v>
      </c>
    </row>
    <row r="323" spans="1:23">
      <c r="A323" s="5" t="s">
        <v>923</v>
      </c>
      <c r="B323" s="5" t="s">
        <v>924</v>
      </c>
      <c r="C323" s="6">
        <v>45369</v>
      </c>
      <c r="D323" s="8">
        <v>42</v>
      </c>
      <c r="E323" s="5" t="s">
        <v>20</v>
      </c>
      <c r="F323" s="5" t="s">
        <v>83</v>
      </c>
      <c r="G323" s="5" t="s">
        <v>53</v>
      </c>
      <c r="H323" s="7">
        <v>92.08</v>
      </c>
      <c r="I323" s="3">
        <v>5</v>
      </c>
      <c r="J323" s="33">
        <f>H323*I323</f>
        <v>460.4</v>
      </c>
      <c r="K323" s="4">
        <v>0</v>
      </c>
      <c r="L323" s="9">
        <f>IF(J323=0,0,K323/J323)</f>
        <v>0</v>
      </c>
      <c r="M323" s="25">
        <v>460.4</v>
      </c>
      <c r="N323" s="5" t="s">
        <v>692</v>
      </c>
      <c r="O323" s="5" t="s">
        <v>24</v>
      </c>
      <c r="P323" s="3">
        <v>7</v>
      </c>
      <c r="Q323" s="3">
        <v>10</v>
      </c>
      <c r="R323" s="5" t="b">
        <v>0</v>
      </c>
      <c r="S323" s="5" t="str">
        <f>IF(R323=TRUE,"Returning Customer","New Customer")</f>
        <v>New Customer</v>
      </c>
      <c r="T323" s="3">
        <v>9</v>
      </c>
      <c r="U323" s="12" t="str">
        <f>IF(T323&lt;=3,"Fast",IF(T323&lt;=7,"Standard",IF(T323&lt;=14,"Slow","Very Slow")))</f>
        <v>Slow</v>
      </c>
      <c r="V323" s="10" t="str">
        <f>IF(D323&lt;=25,"18-25",IF(D323&lt;=35,"26-35",IF(D323&lt;=45,"36-45",IF(D323&lt;=55,"46-55",IF(D323&lt;=65,"56-65","66-75")))))</f>
        <v>36-45</v>
      </c>
      <c r="W323" s="3">
        <v>3</v>
      </c>
    </row>
    <row r="324" spans="1:23">
      <c r="A324" s="5" t="s">
        <v>1367</v>
      </c>
      <c r="B324" s="5" t="s">
        <v>1368</v>
      </c>
      <c r="C324" s="6">
        <v>45300</v>
      </c>
      <c r="D324" s="8">
        <v>25</v>
      </c>
      <c r="E324" s="5" t="s">
        <v>20</v>
      </c>
      <c r="F324" s="5" t="s">
        <v>52</v>
      </c>
      <c r="G324" s="5" t="s">
        <v>64</v>
      </c>
      <c r="H324" s="7">
        <v>1925.4</v>
      </c>
      <c r="I324" s="3">
        <v>3</v>
      </c>
      <c r="J324" s="33">
        <f>H324*I324</f>
        <v>5776.2000000000007</v>
      </c>
      <c r="K324" s="4">
        <v>247.59</v>
      </c>
      <c r="L324" s="9">
        <f>IF(J324=0,0,K324/J324)</f>
        <v>4.2863820504830161E-2</v>
      </c>
      <c r="M324" s="25">
        <v>5528.61</v>
      </c>
      <c r="N324" s="5" t="s">
        <v>1298</v>
      </c>
      <c r="O324" s="5" t="s">
        <v>24</v>
      </c>
      <c r="P324" s="3">
        <v>13</v>
      </c>
      <c r="Q324" s="3">
        <v>16</v>
      </c>
      <c r="R324" s="5" t="b">
        <v>1</v>
      </c>
      <c r="S324" s="5" t="str">
        <f>IF(R324=TRUE,"Returning Customer","New Customer")</f>
        <v>Returning Customer</v>
      </c>
      <c r="T324" s="3">
        <v>4</v>
      </c>
      <c r="U324" s="12" t="str">
        <f>IF(T324&lt;=3,"Fast",IF(T324&lt;=7,"Standard",IF(T324&lt;=14,"Slow","Very Slow")))</f>
        <v>Standard</v>
      </c>
      <c r="V324" s="10" t="str">
        <f>IF(D324&lt;=25,"18-25",IF(D324&lt;=35,"26-35",IF(D324&lt;=45,"36-45",IF(D324&lt;=55,"46-55",IF(D324&lt;=65,"56-65","66-75")))))</f>
        <v>18-25</v>
      </c>
      <c r="W324" s="3">
        <v>3</v>
      </c>
    </row>
    <row r="325" spans="1:23">
      <c r="A325" s="5" t="s">
        <v>494</v>
      </c>
      <c r="B325" s="5" t="s">
        <v>495</v>
      </c>
      <c r="C325" s="6">
        <v>44954</v>
      </c>
      <c r="D325" s="8">
        <v>60</v>
      </c>
      <c r="E325" s="5" t="s">
        <v>20</v>
      </c>
      <c r="F325" s="5" t="s">
        <v>52</v>
      </c>
      <c r="G325" s="5" t="s">
        <v>115</v>
      </c>
      <c r="H325" s="7">
        <v>49.39</v>
      </c>
      <c r="I325" s="3">
        <v>1</v>
      </c>
      <c r="J325" s="33">
        <f>H325*I325</f>
        <v>49.39</v>
      </c>
      <c r="K325" s="4">
        <v>0</v>
      </c>
      <c r="L325" s="9">
        <f>IF(J325=0,0,K325/J325)</f>
        <v>0</v>
      </c>
      <c r="M325" s="25">
        <v>49.39</v>
      </c>
      <c r="N325" s="5" t="s">
        <v>327</v>
      </c>
      <c r="O325" s="5" t="s">
        <v>29</v>
      </c>
      <c r="P325" s="3">
        <v>14</v>
      </c>
      <c r="Q325" s="3">
        <v>12</v>
      </c>
      <c r="R325" s="5" t="b">
        <v>1</v>
      </c>
      <c r="S325" s="5" t="str">
        <f>IF(R325=TRUE,"Returning Customer","New Customer")</f>
        <v>Returning Customer</v>
      </c>
      <c r="T325" s="3">
        <v>6</v>
      </c>
      <c r="U325" s="12" t="str">
        <f>IF(T325&lt;=3,"Fast",IF(T325&lt;=7,"Standard",IF(T325&lt;=14,"Slow","Very Slow")))</f>
        <v>Standard</v>
      </c>
      <c r="V325" s="10" t="str">
        <f>IF(D325&lt;=25,"18-25",IF(D325&lt;=35,"26-35",IF(D325&lt;=45,"36-45",IF(D325&lt;=55,"46-55",IF(D325&lt;=65,"56-65","66-75")))))</f>
        <v>56-65</v>
      </c>
      <c r="W325" s="3">
        <v>4</v>
      </c>
    </row>
    <row r="326" spans="1:23">
      <c r="A326" s="5" t="s">
        <v>925</v>
      </c>
      <c r="B326" s="5" t="s">
        <v>926</v>
      </c>
      <c r="C326" s="6">
        <v>45271</v>
      </c>
      <c r="D326" s="8">
        <v>22</v>
      </c>
      <c r="E326" s="5" t="s">
        <v>36</v>
      </c>
      <c r="F326" s="5" t="s">
        <v>88</v>
      </c>
      <c r="G326" s="5" t="s">
        <v>37</v>
      </c>
      <c r="H326" s="7">
        <v>157.19999999999999</v>
      </c>
      <c r="I326" s="3">
        <v>2</v>
      </c>
      <c r="J326" s="33">
        <f>H326*I326</f>
        <v>314.39999999999998</v>
      </c>
      <c r="K326" s="4">
        <v>0</v>
      </c>
      <c r="L326" s="9">
        <f>IF(J326=0,0,K326/J326)</f>
        <v>0</v>
      </c>
      <c r="M326" s="25">
        <v>314.39999999999998</v>
      </c>
      <c r="N326" s="5" t="s">
        <v>692</v>
      </c>
      <c r="O326" s="5" t="s">
        <v>33</v>
      </c>
      <c r="P326" s="3">
        <v>6</v>
      </c>
      <c r="Q326" s="3">
        <v>8</v>
      </c>
      <c r="R326" s="5" t="b">
        <v>1</v>
      </c>
      <c r="S326" s="5" t="str">
        <f>IF(R326=TRUE,"Returning Customer","New Customer")</f>
        <v>Returning Customer</v>
      </c>
      <c r="T326" s="3">
        <v>8</v>
      </c>
      <c r="U326" s="12" t="str">
        <f>IF(T326&lt;=3,"Fast",IF(T326&lt;=7,"Standard",IF(T326&lt;=14,"Slow","Very Slow")))</f>
        <v>Slow</v>
      </c>
      <c r="V326" s="10" t="str">
        <f>IF(D326&lt;=25,"18-25",IF(D326&lt;=35,"26-35",IF(D326&lt;=45,"36-45",IF(D326&lt;=55,"46-55",IF(D326&lt;=65,"56-65","66-75")))))</f>
        <v>18-25</v>
      </c>
      <c r="W326" s="3">
        <v>4</v>
      </c>
    </row>
    <row r="327" spans="1:23">
      <c r="A327" s="5" t="s">
        <v>927</v>
      </c>
      <c r="B327" s="5" t="s">
        <v>928</v>
      </c>
      <c r="C327" s="6">
        <v>45261</v>
      </c>
      <c r="D327" s="8">
        <v>20</v>
      </c>
      <c r="E327" s="5" t="s">
        <v>20</v>
      </c>
      <c r="F327" s="5" t="s">
        <v>83</v>
      </c>
      <c r="G327" s="5" t="s">
        <v>22</v>
      </c>
      <c r="H327" s="7">
        <v>229.26</v>
      </c>
      <c r="I327" s="3">
        <v>2</v>
      </c>
      <c r="J327" s="33">
        <f>H327*I327</f>
        <v>458.52</v>
      </c>
      <c r="K327" s="4">
        <v>0</v>
      </c>
      <c r="L327" s="9">
        <f>IF(J327=0,0,K327/J327)</f>
        <v>0</v>
      </c>
      <c r="M327" s="25">
        <v>458.52</v>
      </c>
      <c r="N327" s="5" t="s">
        <v>692</v>
      </c>
      <c r="O327" s="5" t="s">
        <v>24</v>
      </c>
      <c r="P327" s="3">
        <v>8</v>
      </c>
      <c r="Q327" s="3">
        <v>6</v>
      </c>
      <c r="R327" s="5" t="b">
        <v>1</v>
      </c>
      <c r="S327" s="5" t="str">
        <f>IF(R327=TRUE,"Returning Customer","New Customer")</f>
        <v>Returning Customer</v>
      </c>
      <c r="T327" s="3">
        <v>7</v>
      </c>
      <c r="U327" s="12" t="str">
        <f>IF(T327&lt;=3,"Fast",IF(T327&lt;=7,"Standard",IF(T327&lt;=14,"Slow","Very Slow")))</f>
        <v>Standard</v>
      </c>
      <c r="V327" s="10" t="str">
        <f>IF(D327&lt;=25,"18-25",IF(D327&lt;=35,"26-35",IF(D327&lt;=45,"36-45",IF(D327&lt;=55,"46-55",IF(D327&lt;=65,"56-65","66-75")))))</f>
        <v>18-25</v>
      </c>
      <c r="W327" s="3">
        <v>1</v>
      </c>
    </row>
    <row r="328" spans="1:23">
      <c r="A328" s="5" t="s">
        <v>183</v>
      </c>
      <c r="B328" s="5" t="s">
        <v>184</v>
      </c>
      <c r="C328" s="6">
        <v>45257</v>
      </c>
      <c r="D328" s="8">
        <v>48</v>
      </c>
      <c r="E328" s="5" t="s">
        <v>20</v>
      </c>
      <c r="F328" s="5" t="s">
        <v>49</v>
      </c>
      <c r="G328" s="5" t="s">
        <v>28</v>
      </c>
      <c r="H328" s="7">
        <v>129.38999999999999</v>
      </c>
      <c r="I328" s="3">
        <v>1</v>
      </c>
      <c r="J328" s="33">
        <f>H328*I328</f>
        <v>129.38999999999999</v>
      </c>
      <c r="K328" s="4">
        <v>0</v>
      </c>
      <c r="L328" s="9">
        <f>IF(J328=0,0,K328/J328)</f>
        <v>0</v>
      </c>
      <c r="M328" s="25">
        <v>129.38999999999999</v>
      </c>
      <c r="N328" s="5" t="s">
        <v>23</v>
      </c>
      <c r="O328" s="5" t="s">
        <v>33</v>
      </c>
      <c r="P328" s="3">
        <v>17</v>
      </c>
      <c r="Q328" s="3">
        <v>11</v>
      </c>
      <c r="R328" s="5" t="b">
        <v>1</v>
      </c>
      <c r="S328" s="5" t="str">
        <f>IF(R328=TRUE,"Returning Customer","New Customer")</f>
        <v>Returning Customer</v>
      </c>
      <c r="T328" s="3">
        <v>2</v>
      </c>
      <c r="U328" s="12" t="str">
        <f>IF(T328&lt;=3,"Fast",IF(T328&lt;=7,"Standard",IF(T328&lt;=14,"Slow","Very Slow")))</f>
        <v>Fast</v>
      </c>
      <c r="V328" s="10" t="str">
        <f>IF(D328&lt;=25,"18-25",IF(D328&lt;=35,"26-35",IF(D328&lt;=45,"36-45",IF(D328&lt;=55,"46-55",IF(D328&lt;=65,"56-65","66-75")))))</f>
        <v>46-55</v>
      </c>
      <c r="W328" s="3">
        <v>4</v>
      </c>
    </row>
    <row r="329" spans="1:23">
      <c r="A329" s="5" t="s">
        <v>185</v>
      </c>
      <c r="B329" s="5" t="s">
        <v>186</v>
      </c>
      <c r="C329" s="6">
        <v>44977</v>
      </c>
      <c r="D329" s="8">
        <v>44</v>
      </c>
      <c r="E329" s="5" t="s">
        <v>36</v>
      </c>
      <c r="F329" s="5" t="s">
        <v>59</v>
      </c>
      <c r="G329" s="5" t="s">
        <v>115</v>
      </c>
      <c r="H329" s="7">
        <v>16.71</v>
      </c>
      <c r="I329" s="3">
        <v>2</v>
      </c>
      <c r="J329" s="33">
        <f>H329*I329</f>
        <v>33.42</v>
      </c>
      <c r="K329" s="4">
        <v>0</v>
      </c>
      <c r="L329" s="9">
        <f>IF(J329=0,0,K329/J329)</f>
        <v>0</v>
      </c>
      <c r="M329" s="25">
        <v>33.42</v>
      </c>
      <c r="N329" s="5" t="s">
        <v>23</v>
      </c>
      <c r="O329" s="5" t="s">
        <v>24</v>
      </c>
      <c r="P329" s="3">
        <v>21</v>
      </c>
      <c r="Q329" s="3">
        <v>9</v>
      </c>
      <c r="R329" s="5" t="b">
        <v>0</v>
      </c>
      <c r="S329" s="5" t="str">
        <f>IF(R329=TRUE,"Returning Customer","New Customer")</f>
        <v>New Customer</v>
      </c>
      <c r="T329" s="3">
        <v>7</v>
      </c>
      <c r="U329" s="12" t="str">
        <f>IF(T329&lt;=3,"Fast",IF(T329&lt;=7,"Standard",IF(T329&lt;=14,"Slow","Very Slow")))</f>
        <v>Standard</v>
      </c>
      <c r="V329" s="10" t="str">
        <f>IF(D329&lt;=25,"18-25",IF(D329&lt;=35,"26-35",IF(D329&lt;=45,"36-45",IF(D329&lt;=55,"46-55",IF(D329&lt;=65,"56-65","66-75")))))</f>
        <v>36-45</v>
      </c>
      <c r="W329" s="3">
        <v>3</v>
      </c>
    </row>
    <row r="330" spans="1:23">
      <c r="A330" s="5" t="s">
        <v>496</v>
      </c>
      <c r="B330" s="5" t="s">
        <v>497</v>
      </c>
      <c r="C330" s="6">
        <v>44958</v>
      </c>
      <c r="D330" s="8">
        <v>42</v>
      </c>
      <c r="E330" s="5" t="s">
        <v>36</v>
      </c>
      <c r="F330" s="5" t="s">
        <v>59</v>
      </c>
      <c r="G330" s="5" t="s">
        <v>22</v>
      </c>
      <c r="H330" s="7">
        <v>394.76</v>
      </c>
      <c r="I330" s="3">
        <v>1</v>
      </c>
      <c r="J330" s="33">
        <f>H330*I330</f>
        <v>394.76</v>
      </c>
      <c r="K330" s="4">
        <v>0</v>
      </c>
      <c r="L330" s="9">
        <f>IF(J330=0,0,K330/J330)</f>
        <v>0</v>
      </c>
      <c r="M330" s="25">
        <v>394.76</v>
      </c>
      <c r="N330" s="5" t="s">
        <v>327</v>
      </c>
      <c r="O330" s="5" t="s">
        <v>33</v>
      </c>
      <c r="P330" s="3">
        <v>21</v>
      </c>
      <c r="Q330" s="3">
        <v>13</v>
      </c>
      <c r="R330" s="5" t="b">
        <v>1</v>
      </c>
      <c r="S330" s="5" t="str">
        <f>IF(R330=TRUE,"Returning Customer","New Customer")</f>
        <v>Returning Customer</v>
      </c>
      <c r="T330" s="3">
        <v>3</v>
      </c>
      <c r="U330" s="12" t="str">
        <f>IF(T330&lt;=3,"Fast",IF(T330&lt;=7,"Standard",IF(T330&lt;=14,"Slow","Very Slow")))</f>
        <v>Fast</v>
      </c>
      <c r="V330" s="10" t="str">
        <f>IF(D330&lt;=25,"18-25",IF(D330&lt;=35,"26-35",IF(D330&lt;=45,"36-45",IF(D330&lt;=55,"46-55",IF(D330&lt;=65,"56-65","66-75")))))</f>
        <v>36-45</v>
      </c>
      <c r="W330" s="3">
        <v>5</v>
      </c>
    </row>
    <row r="331" spans="1:23">
      <c r="A331" s="5" t="s">
        <v>929</v>
      </c>
      <c r="B331" s="5" t="s">
        <v>930</v>
      </c>
      <c r="C331" s="6">
        <v>45133</v>
      </c>
      <c r="D331" s="8">
        <v>42</v>
      </c>
      <c r="E331" s="5" t="s">
        <v>36</v>
      </c>
      <c r="F331" s="5" t="s">
        <v>52</v>
      </c>
      <c r="G331" s="5" t="s">
        <v>28</v>
      </c>
      <c r="H331" s="7">
        <v>161.21</v>
      </c>
      <c r="I331" s="3">
        <v>4</v>
      </c>
      <c r="J331" s="33">
        <f>H331*I331</f>
        <v>644.84</v>
      </c>
      <c r="K331" s="4">
        <v>0</v>
      </c>
      <c r="L331" s="9">
        <f>IF(J331=0,0,K331/J331)</f>
        <v>0</v>
      </c>
      <c r="M331" s="25">
        <v>644.84</v>
      </c>
      <c r="N331" s="5" t="s">
        <v>692</v>
      </c>
      <c r="O331" s="5" t="s">
        <v>33</v>
      </c>
      <c r="P331" s="3">
        <v>12</v>
      </c>
      <c r="Q331" s="3">
        <v>5</v>
      </c>
      <c r="R331" s="5" t="b">
        <v>1</v>
      </c>
      <c r="S331" s="5" t="str">
        <f>IF(R331=TRUE,"Returning Customer","New Customer")</f>
        <v>Returning Customer</v>
      </c>
      <c r="T331" s="3">
        <v>2</v>
      </c>
      <c r="U331" s="12" t="str">
        <f>IF(T331&lt;=3,"Fast",IF(T331&lt;=7,"Standard",IF(T331&lt;=14,"Slow","Very Slow")))</f>
        <v>Fast</v>
      </c>
      <c r="V331" s="10" t="str">
        <f>IF(D331&lt;=25,"18-25",IF(D331&lt;=35,"26-35",IF(D331&lt;=45,"36-45",IF(D331&lt;=55,"46-55",IF(D331&lt;=65,"56-65","66-75")))))</f>
        <v>36-45</v>
      </c>
      <c r="W331" s="3">
        <v>4</v>
      </c>
    </row>
    <row r="332" spans="1:23">
      <c r="A332" s="5" t="s">
        <v>187</v>
      </c>
      <c r="B332" s="5" t="s">
        <v>188</v>
      </c>
      <c r="C332" s="6">
        <v>45299</v>
      </c>
      <c r="D332" s="8">
        <v>34</v>
      </c>
      <c r="E332" s="5" t="s">
        <v>20</v>
      </c>
      <c r="F332" s="5" t="s">
        <v>73</v>
      </c>
      <c r="G332" s="5" t="s">
        <v>56</v>
      </c>
      <c r="H332" s="7">
        <v>1518.15</v>
      </c>
      <c r="I332" s="3">
        <v>3</v>
      </c>
      <c r="J332" s="33">
        <f>H332*I332</f>
        <v>4554.4500000000007</v>
      </c>
      <c r="K332" s="4">
        <v>0</v>
      </c>
      <c r="L332" s="9">
        <f>IF(J332=0,0,K332/J332)</f>
        <v>0</v>
      </c>
      <c r="M332" s="25">
        <v>4554.45</v>
      </c>
      <c r="N332" s="5" t="s">
        <v>23</v>
      </c>
      <c r="O332" s="5" t="s">
        <v>24</v>
      </c>
      <c r="P332" s="3">
        <v>24</v>
      </c>
      <c r="Q332" s="3">
        <v>10</v>
      </c>
      <c r="R332" s="5" t="b">
        <v>0</v>
      </c>
      <c r="S332" s="5" t="str">
        <f>IF(R332=TRUE,"Returning Customer","New Customer")</f>
        <v>New Customer</v>
      </c>
      <c r="T332" s="3">
        <v>3</v>
      </c>
      <c r="U332" s="12" t="str">
        <f>IF(T332&lt;=3,"Fast",IF(T332&lt;=7,"Standard",IF(T332&lt;=14,"Slow","Very Slow")))</f>
        <v>Fast</v>
      </c>
      <c r="V332" s="10" t="str">
        <f>IF(D332&lt;=25,"18-25",IF(D332&lt;=35,"26-35",IF(D332&lt;=45,"36-45",IF(D332&lt;=55,"46-55",IF(D332&lt;=65,"56-65","66-75")))))</f>
        <v>26-35</v>
      </c>
      <c r="W332" s="3">
        <v>5</v>
      </c>
    </row>
    <row r="333" spans="1:23">
      <c r="A333" s="5" t="s">
        <v>931</v>
      </c>
      <c r="B333" s="5" t="s">
        <v>932</v>
      </c>
      <c r="C333" s="6">
        <v>45100</v>
      </c>
      <c r="D333" s="8">
        <v>24</v>
      </c>
      <c r="E333" s="5" t="s">
        <v>36</v>
      </c>
      <c r="F333" s="5" t="s">
        <v>59</v>
      </c>
      <c r="G333" s="5" t="s">
        <v>37</v>
      </c>
      <c r="H333" s="7">
        <v>63.25</v>
      </c>
      <c r="I333" s="3">
        <v>2</v>
      </c>
      <c r="J333" s="33">
        <f>H333*I333</f>
        <v>126.5</v>
      </c>
      <c r="K333" s="4">
        <v>0</v>
      </c>
      <c r="L333" s="9">
        <f>IF(J333=0,0,K333/J333)</f>
        <v>0</v>
      </c>
      <c r="M333" s="25">
        <v>126.5</v>
      </c>
      <c r="N333" s="5" t="s">
        <v>692</v>
      </c>
      <c r="O333" s="5" t="s">
        <v>24</v>
      </c>
      <c r="P333" s="3">
        <v>8</v>
      </c>
      <c r="Q333" s="3">
        <v>12</v>
      </c>
      <c r="R333" s="5" t="b">
        <v>0</v>
      </c>
      <c r="S333" s="5" t="str">
        <f>IF(R333=TRUE,"Returning Customer","New Customer")</f>
        <v>New Customer</v>
      </c>
      <c r="T333" s="3">
        <v>4</v>
      </c>
      <c r="U333" s="12" t="str">
        <f>IF(T333&lt;=3,"Fast",IF(T333&lt;=7,"Standard",IF(T333&lt;=14,"Slow","Very Slow")))</f>
        <v>Standard</v>
      </c>
      <c r="V333" s="10" t="str">
        <f>IF(D333&lt;=25,"18-25",IF(D333&lt;=35,"26-35",IF(D333&lt;=45,"36-45",IF(D333&lt;=55,"46-55",IF(D333&lt;=65,"56-65","66-75")))))</f>
        <v>18-25</v>
      </c>
      <c r="W333" s="3">
        <v>3</v>
      </c>
    </row>
    <row r="334" spans="1:23">
      <c r="A334" s="5" t="s">
        <v>189</v>
      </c>
      <c r="B334" s="5" t="s">
        <v>190</v>
      </c>
      <c r="C334" s="6">
        <v>45336</v>
      </c>
      <c r="D334" s="8">
        <v>35</v>
      </c>
      <c r="E334" s="5" t="s">
        <v>20</v>
      </c>
      <c r="F334" s="5" t="s">
        <v>49</v>
      </c>
      <c r="G334" s="5" t="s">
        <v>46</v>
      </c>
      <c r="H334" s="7">
        <v>214.15</v>
      </c>
      <c r="I334" s="3">
        <v>2</v>
      </c>
      <c r="J334" s="33">
        <f>H334*I334</f>
        <v>428.3</v>
      </c>
      <c r="K334" s="4">
        <v>0</v>
      </c>
      <c r="L334" s="9">
        <f>IF(J334=0,0,K334/J334)</f>
        <v>0</v>
      </c>
      <c r="M334" s="25">
        <v>428.3</v>
      </c>
      <c r="N334" s="5" t="s">
        <v>23</v>
      </c>
      <c r="O334" s="5" t="s">
        <v>24</v>
      </c>
      <c r="P334" s="3">
        <v>4</v>
      </c>
      <c r="Q334" s="3">
        <v>4</v>
      </c>
      <c r="R334" s="5" t="b">
        <v>0</v>
      </c>
      <c r="S334" s="5" t="str">
        <f>IF(R334=TRUE,"Returning Customer","New Customer")</f>
        <v>New Customer</v>
      </c>
      <c r="T334" s="3">
        <v>3</v>
      </c>
      <c r="U334" s="12" t="str">
        <f>IF(T334&lt;=3,"Fast",IF(T334&lt;=7,"Standard",IF(T334&lt;=14,"Slow","Very Slow")))</f>
        <v>Fast</v>
      </c>
      <c r="V334" s="10" t="str">
        <f>IF(D334&lt;=25,"18-25",IF(D334&lt;=35,"26-35",IF(D334&lt;=45,"36-45",IF(D334&lt;=55,"46-55",IF(D334&lt;=65,"56-65","66-75")))))</f>
        <v>26-35</v>
      </c>
      <c r="W334" s="3">
        <v>5</v>
      </c>
    </row>
    <row r="335" spans="1:23">
      <c r="A335" s="5" t="s">
        <v>498</v>
      </c>
      <c r="B335" s="5" t="s">
        <v>499</v>
      </c>
      <c r="C335" s="6">
        <v>45368</v>
      </c>
      <c r="D335" s="8">
        <v>26</v>
      </c>
      <c r="E335" s="5" t="s">
        <v>20</v>
      </c>
      <c r="F335" s="5" t="s">
        <v>32</v>
      </c>
      <c r="G335" s="5" t="s">
        <v>53</v>
      </c>
      <c r="H335" s="7">
        <v>91.5</v>
      </c>
      <c r="I335" s="3">
        <v>5</v>
      </c>
      <c r="J335" s="33">
        <f>H335*I335</f>
        <v>457.5</v>
      </c>
      <c r="K335" s="4">
        <v>0</v>
      </c>
      <c r="L335" s="9">
        <f>IF(J335=0,0,K335/J335)</f>
        <v>0</v>
      </c>
      <c r="M335" s="25">
        <v>457.5</v>
      </c>
      <c r="N335" s="5" t="s">
        <v>327</v>
      </c>
      <c r="O335" s="5" t="s">
        <v>33</v>
      </c>
      <c r="P335" s="3">
        <v>9</v>
      </c>
      <c r="Q335" s="3">
        <v>9</v>
      </c>
      <c r="R335" s="5" t="b">
        <v>1</v>
      </c>
      <c r="S335" s="5" t="str">
        <f>IF(R335=TRUE,"Returning Customer","New Customer")</f>
        <v>Returning Customer</v>
      </c>
      <c r="T335" s="3">
        <v>6</v>
      </c>
      <c r="U335" s="12" t="str">
        <f>IF(T335&lt;=3,"Fast",IF(T335&lt;=7,"Standard",IF(T335&lt;=14,"Slow","Very Slow")))</f>
        <v>Standard</v>
      </c>
      <c r="V335" s="10" t="str">
        <f>IF(D335&lt;=25,"18-25",IF(D335&lt;=35,"26-35",IF(D335&lt;=45,"36-45",IF(D335&lt;=55,"46-55",IF(D335&lt;=65,"56-65","66-75")))))</f>
        <v>26-35</v>
      </c>
      <c r="W335" s="3">
        <v>4</v>
      </c>
    </row>
    <row r="336" spans="1:23">
      <c r="A336" s="5" t="s">
        <v>933</v>
      </c>
      <c r="B336" s="5" t="s">
        <v>934</v>
      </c>
      <c r="C336" s="6">
        <v>44982</v>
      </c>
      <c r="D336" s="8">
        <v>46</v>
      </c>
      <c r="E336" s="5" t="s">
        <v>20</v>
      </c>
      <c r="F336" s="5" t="s">
        <v>52</v>
      </c>
      <c r="G336" s="5" t="s">
        <v>37</v>
      </c>
      <c r="H336" s="7">
        <v>206.16</v>
      </c>
      <c r="I336" s="3">
        <v>5</v>
      </c>
      <c r="J336" s="33">
        <f>H336*I336</f>
        <v>1030.8</v>
      </c>
      <c r="K336" s="4">
        <v>0</v>
      </c>
      <c r="L336" s="9">
        <f>IF(J336=0,0,K336/J336)</f>
        <v>0</v>
      </c>
      <c r="M336" s="25">
        <v>1030.8</v>
      </c>
      <c r="N336" s="5" t="s">
        <v>692</v>
      </c>
      <c r="O336" s="5" t="s">
        <v>33</v>
      </c>
      <c r="P336" s="3">
        <v>9</v>
      </c>
      <c r="Q336" s="3">
        <v>9</v>
      </c>
      <c r="R336" s="5" t="b">
        <v>0</v>
      </c>
      <c r="S336" s="5" t="str">
        <f>IF(R336=TRUE,"Returning Customer","New Customer")</f>
        <v>New Customer</v>
      </c>
      <c r="T336" s="3">
        <v>15</v>
      </c>
      <c r="U336" s="12" t="str">
        <f>IF(T336&lt;=3,"Fast",IF(T336&lt;=7,"Standard",IF(T336&lt;=14,"Slow","Very Slow")))</f>
        <v>Very Slow</v>
      </c>
      <c r="V336" s="10" t="str">
        <f>IF(D336&lt;=25,"18-25",IF(D336&lt;=35,"26-35",IF(D336&lt;=45,"36-45",IF(D336&lt;=55,"46-55",IF(D336&lt;=65,"56-65","66-75")))))</f>
        <v>46-55</v>
      </c>
      <c r="W336" s="3">
        <v>3</v>
      </c>
    </row>
    <row r="337" spans="1:23">
      <c r="A337" s="5" t="s">
        <v>935</v>
      </c>
      <c r="B337" s="5" t="s">
        <v>936</v>
      </c>
      <c r="C337" s="6">
        <v>45054</v>
      </c>
      <c r="D337" s="8">
        <v>33</v>
      </c>
      <c r="E337" s="5" t="s">
        <v>36</v>
      </c>
      <c r="F337" s="5" t="s">
        <v>32</v>
      </c>
      <c r="G337" s="5" t="s">
        <v>53</v>
      </c>
      <c r="H337" s="7">
        <v>49.39</v>
      </c>
      <c r="I337" s="3">
        <v>1</v>
      </c>
      <c r="J337" s="33">
        <f>H337*I337</f>
        <v>49.39</v>
      </c>
      <c r="K337" s="4">
        <v>0</v>
      </c>
      <c r="L337" s="9">
        <f>IF(J337=0,0,K337/J337)</f>
        <v>0</v>
      </c>
      <c r="M337" s="25">
        <v>49.39</v>
      </c>
      <c r="N337" s="5" t="s">
        <v>692</v>
      </c>
      <c r="O337" s="5" t="s">
        <v>29</v>
      </c>
      <c r="P337" s="3">
        <v>8</v>
      </c>
      <c r="Q337" s="3">
        <v>13</v>
      </c>
      <c r="R337" s="5" t="b">
        <v>0</v>
      </c>
      <c r="S337" s="5" t="str">
        <f>IF(R337=TRUE,"Returning Customer","New Customer")</f>
        <v>New Customer</v>
      </c>
      <c r="T337" s="3">
        <v>5</v>
      </c>
      <c r="U337" s="12" t="str">
        <f>IF(T337&lt;=3,"Fast",IF(T337&lt;=7,"Standard",IF(T337&lt;=14,"Slow","Very Slow")))</f>
        <v>Standard</v>
      </c>
      <c r="V337" s="10" t="str">
        <f>IF(D337&lt;=25,"18-25",IF(D337&lt;=35,"26-35",IF(D337&lt;=45,"36-45",IF(D337&lt;=55,"46-55",IF(D337&lt;=65,"56-65","66-75")))))</f>
        <v>26-35</v>
      </c>
      <c r="W337" s="3">
        <v>5</v>
      </c>
    </row>
    <row r="338" spans="1:23">
      <c r="A338" s="5" t="s">
        <v>937</v>
      </c>
      <c r="B338" s="5" t="s">
        <v>938</v>
      </c>
      <c r="C338" s="6">
        <v>45025</v>
      </c>
      <c r="D338" s="8">
        <v>25</v>
      </c>
      <c r="E338" s="5" t="s">
        <v>20</v>
      </c>
      <c r="F338" s="5" t="s">
        <v>32</v>
      </c>
      <c r="G338" s="5" t="s">
        <v>53</v>
      </c>
      <c r="H338" s="7">
        <v>82.06</v>
      </c>
      <c r="I338" s="3">
        <v>1</v>
      </c>
      <c r="J338" s="33">
        <f>H338*I338</f>
        <v>82.06</v>
      </c>
      <c r="K338" s="4">
        <v>5.79</v>
      </c>
      <c r="L338" s="9">
        <f>IF(J338=0,0,K338/J338)</f>
        <v>7.0558128198878869E-2</v>
      </c>
      <c r="M338" s="25">
        <v>76.27</v>
      </c>
      <c r="N338" s="5" t="s">
        <v>692</v>
      </c>
      <c r="O338" s="5" t="s">
        <v>24</v>
      </c>
      <c r="P338" s="3">
        <v>19</v>
      </c>
      <c r="Q338" s="3">
        <v>12</v>
      </c>
      <c r="R338" s="5" t="b">
        <v>0</v>
      </c>
      <c r="S338" s="5" t="str">
        <f>IF(R338=TRUE,"Returning Customer","New Customer")</f>
        <v>New Customer</v>
      </c>
      <c r="T338" s="3">
        <v>7</v>
      </c>
      <c r="U338" s="12" t="str">
        <f>IF(T338&lt;=3,"Fast",IF(T338&lt;=7,"Standard",IF(T338&lt;=14,"Slow","Very Slow")))</f>
        <v>Standard</v>
      </c>
      <c r="V338" s="10" t="str">
        <f>IF(D338&lt;=25,"18-25",IF(D338&lt;=35,"26-35",IF(D338&lt;=45,"36-45",IF(D338&lt;=55,"46-55",IF(D338&lt;=65,"56-65","66-75")))))</f>
        <v>18-25</v>
      </c>
      <c r="W338" s="3">
        <v>5</v>
      </c>
    </row>
    <row r="339" spans="1:23">
      <c r="A339" s="5" t="s">
        <v>939</v>
      </c>
      <c r="B339" s="5" t="s">
        <v>940</v>
      </c>
      <c r="C339" s="6">
        <v>45024</v>
      </c>
      <c r="D339" s="8">
        <v>31</v>
      </c>
      <c r="E339" s="5" t="s">
        <v>20</v>
      </c>
      <c r="F339" s="5" t="s">
        <v>88</v>
      </c>
      <c r="G339" s="5" t="s">
        <v>46</v>
      </c>
      <c r="H339" s="7">
        <v>341.81</v>
      </c>
      <c r="I339" s="3">
        <v>3</v>
      </c>
      <c r="J339" s="33">
        <f>H339*I339</f>
        <v>1025.43</v>
      </c>
      <c r="K339" s="4">
        <v>0</v>
      </c>
      <c r="L339" s="9">
        <f>IF(J339=0,0,K339/J339)</f>
        <v>0</v>
      </c>
      <c r="M339" s="25">
        <v>1025.43</v>
      </c>
      <c r="N339" s="5" t="s">
        <v>692</v>
      </c>
      <c r="O339" s="5" t="s">
        <v>33</v>
      </c>
      <c r="P339" s="3">
        <v>13</v>
      </c>
      <c r="Q339" s="3">
        <v>6</v>
      </c>
      <c r="R339" s="5" t="b">
        <v>0</v>
      </c>
      <c r="S339" s="5" t="str">
        <f>IF(R339=TRUE,"Returning Customer","New Customer")</f>
        <v>New Customer</v>
      </c>
      <c r="T339" s="3">
        <v>9</v>
      </c>
      <c r="U339" s="12" t="str">
        <f>IF(T339&lt;=3,"Fast",IF(T339&lt;=7,"Standard",IF(T339&lt;=14,"Slow","Very Slow")))</f>
        <v>Slow</v>
      </c>
      <c r="V339" s="10" t="str">
        <f>IF(D339&lt;=25,"18-25",IF(D339&lt;=35,"26-35",IF(D339&lt;=45,"36-45",IF(D339&lt;=55,"46-55",IF(D339&lt;=65,"56-65","66-75")))))</f>
        <v>26-35</v>
      </c>
      <c r="W339" s="3">
        <v>5</v>
      </c>
    </row>
    <row r="340" spans="1:23">
      <c r="A340" s="5" t="s">
        <v>941</v>
      </c>
      <c r="B340" s="5" t="s">
        <v>942</v>
      </c>
      <c r="C340" s="6">
        <v>45201</v>
      </c>
      <c r="D340" s="8">
        <v>39</v>
      </c>
      <c r="E340" s="5" t="s">
        <v>20</v>
      </c>
      <c r="F340" s="5" t="s">
        <v>32</v>
      </c>
      <c r="G340" s="5" t="s">
        <v>46</v>
      </c>
      <c r="H340" s="7">
        <v>355.96</v>
      </c>
      <c r="I340" s="3">
        <v>5</v>
      </c>
      <c r="J340" s="33">
        <f>H340*I340</f>
        <v>1779.8</v>
      </c>
      <c r="K340" s="4">
        <v>0</v>
      </c>
      <c r="L340" s="9">
        <f>IF(J340=0,0,K340/J340)</f>
        <v>0</v>
      </c>
      <c r="M340" s="25">
        <v>1779.8</v>
      </c>
      <c r="N340" s="5" t="s">
        <v>692</v>
      </c>
      <c r="O340" s="5" t="s">
        <v>24</v>
      </c>
      <c r="P340" s="3">
        <v>24</v>
      </c>
      <c r="Q340" s="3">
        <v>7</v>
      </c>
      <c r="R340" s="5" t="b">
        <v>0</v>
      </c>
      <c r="S340" s="5" t="str">
        <f>IF(R340=TRUE,"Returning Customer","New Customer")</f>
        <v>New Customer</v>
      </c>
      <c r="T340" s="3">
        <v>13</v>
      </c>
      <c r="U340" s="12" t="str">
        <f>IF(T340&lt;=3,"Fast",IF(T340&lt;=7,"Standard",IF(T340&lt;=14,"Slow","Very Slow")))</f>
        <v>Slow</v>
      </c>
      <c r="V340" s="10" t="str">
        <f>IF(D340&lt;=25,"18-25",IF(D340&lt;=35,"26-35",IF(D340&lt;=45,"36-45",IF(D340&lt;=55,"46-55",IF(D340&lt;=65,"56-65","66-75")))))</f>
        <v>36-45</v>
      </c>
      <c r="W340" s="3">
        <v>5</v>
      </c>
    </row>
    <row r="341" spans="1:23">
      <c r="A341" s="5" t="s">
        <v>500</v>
      </c>
      <c r="B341" s="5" t="s">
        <v>501</v>
      </c>
      <c r="C341" s="6">
        <v>45156</v>
      </c>
      <c r="D341" s="8">
        <v>28</v>
      </c>
      <c r="E341" s="5" t="s">
        <v>36</v>
      </c>
      <c r="F341" s="5" t="s">
        <v>32</v>
      </c>
      <c r="G341" s="5" t="s">
        <v>28</v>
      </c>
      <c r="H341" s="7">
        <v>196.38</v>
      </c>
      <c r="I341" s="3">
        <v>2</v>
      </c>
      <c r="J341" s="33">
        <f>H341*I341</f>
        <v>392.76</v>
      </c>
      <c r="K341" s="4">
        <v>0</v>
      </c>
      <c r="L341" s="9">
        <f>IF(J341=0,0,K341/J341)</f>
        <v>0</v>
      </c>
      <c r="M341" s="25">
        <v>392.76</v>
      </c>
      <c r="N341" s="5" t="s">
        <v>327</v>
      </c>
      <c r="O341" s="5" t="s">
        <v>33</v>
      </c>
      <c r="P341" s="3">
        <v>9</v>
      </c>
      <c r="Q341" s="3">
        <v>10</v>
      </c>
      <c r="R341" s="5" t="b">
        <v>0</v>
      </c>
      <c r="S341" s="5" t="str">
        <f>IF(R341=TRUE,"Returning Customer","New Customer")</f>
        <v>New Customer</v>
      </c>
      <c r="T341" s="3">
        <v>6</v>
      </c>
      <c r="U341" s="12" t="str">
        <f>IF(T341&lt;=3,"Fast",IF(T341&lt;=7,"Standard",IF(T341&lt;=14,"Slow","Very Slow")))</f>
        <v>Standard</v>
      </c>
      <c r="V341" s="10" t="str">
        <f>IF(D341&lt;=25,"18-25",IF(D341&lt;=35,"26-35",IF(D341&lt;=45,"36-45",IF(D341&lt;=55,"46-55",IF(D341&lt;=65,"56-65","66-75")))))</f>
        <v>26-35</v>
      </c>
      <c r="W341" s="3">
        <v>3</v>
      </c>
    </row>
    <row r="342" spans="1:23">
      <c r="A342" s="5" t="s">
        <v>502</v>
      </c>
      <c r="B342" s="5" t="s">
        <v>503</v>
      </c>
      <c r="C342" s="6">
        <v>44998</v>
      </c>
      <c r="D342" s="8">
        <v>25</v>
      </c>
      <c r="E342" s="5" t="s">
        <v>36</v>
      </c>
      <c r="F342" s="5" t="s">
        <v>52</v>
      </c>
      <c r="G342" s="5" t="s">
        <v>46</v>
      </c>
      <c r="H342" s="7">
        <v>352.49</v>
      </c>
      <c r="I342" s="3">
        <v>1</v>
      </c>
      <c r="J342" s="33">
        <f>H342*I342</f>
        <v>352.49</v>
      </c>
      <c r="K342" s="4">
        <v>0</v>
      </c>
      <c r="L342" s="9">
        <f>IF(J342=0,0,K342/J342)</f>
        <v>0</v>
      </c>
      <c r="M342" s="25">
        <v>352.49</v>
      </c>
      <c r="N342" s="5" t="s">
        <v>327</v>
      </c>
      <c r="O342" s="5" t="s">
        <v>33</v>
      </c>
      <c r="P342" s="3">
        <v>11</v>
      </c>
      <c r="Q342" s="3">
        <v>7</v>
      </c>
      <c r="R342" s="5" t="b">
        <v>0</v>
      </c>
      <c r="S342" s="5" t="str">
        <f>IF(R342=TRUE,"Returning Customer","New Customer")</f>
        <v>New Customer</v>
      </c>
      <c r="T342" s="3">
        <v>3</v>
      </c>
      <c r="U342" s="12" t="str">
        <f>IF(T342&lt;=3,"Fast",IF(T342&lt;=7,"Standard",IF(T342&lt;=14,"Slow","Very Slow")))</f>
        <v>Fast</v>
      </c>
      <c r="V342" s="10" t="str">
        <f>IF(D342&lt;=25,"18-25",IF(D342&lt;=35,"26-35",IF(D342&lt;=45,"36-45",IF(D342&lt;=55,"46-55",IF(D342&lt;=65,"56-65","66-75")))))</f>
        <v>18-25</v>
      </c>
      <c r="W342" s="3">
        <v>4</v>
      </c>
    </row>
    <row r="343" spans="1:23">
      <c r="A343" s="5" t="s">
        <v>504</v>
      </c>
      <c r="B343" s="5" t="s">
        <v>505</v>
      </c>
      <c r="C343" s="6">
        <v>45143</v>
      </c>
      <c r="D343" s="8">
        <v>37</v>
      </c>
      <c r="E343" s="5" t="s">
        <v>20</v>
      </c>
      <c r="F343" s="5" t="s">
        <v>73</v>
      </c>
      <c r="G343" s="5" t="s">
        <v>56</v>
      </c>
      <c r="H343" s="7">
        <v>697.98</v>
      </c>
      <c r="I343" s="3">
        <v>3</v>
      </c>
      <c r="J343" s="33">
        <f>H343*I343</f>
        <v>2093.94</v>
      </c>
      <c r="K343" s="4">
        <v>167.79</v>
      </c>
      <c r="L343" s="9">
        <f>IF(J343=0,0,K343/J343)</f>
        <v>8.0131235852030136E-2</v>
      </c>
      <c r="M343" s="25">
        <v>1926.15</v>
      </c>
      <c r="N343" s="5" t="s">
        <v>327</v>
      </c>
      <c r="O343" s="5" t="s">
        <v>29</v>
      </c>
      <c r="P343" s="3">
        <v>17</v>
      </c>
      <c r="Q343" s="3">
        <v>14</v>
      </c>
      <c r="R343" s="5" t="b">
        <v>1</v>
      </c>
      <c r="S343" s="5" t="str">
        <f>IF(R343=TRUE,"Returning Customer","New Customer")</f>
        <v>Returning Customer</v>
      </c>
      <c r="T343" s="3">
        <v>12</v>
      </c>
      <c r="U343" s="12" t="str">
        <f>IF(T343&lt;=3,"Fast",IF(T343&lt;=7,"Standard",IF(T343&lt;=14,"Slow","Very Slow")))</f>
        <v>Slow</v>
      </c>
      <c r="V343" s="10" t="str">
        <f>IF(D343&lt;=25,"18-25",IF(D343&lt;=35,"26-35",IF(D343&lt;=45,"36-45",IF(D343&lt;=55,"46-55",IF(D343&lt;=65,"56-65","66-75")))))</f>
        <v>36-45</v>
      </c>
      <c r="W343" s="3">
        <v>4</v>
      </c>
    </row>
    <row r="344" spans="1:23">
      <c r="A344" s="5" t="s">
        <v>506</v>
      </c>
      <c r="B344" s="5" t="s">
        <v>507</v>
      </c>
      <c r="C344" s="6">
        <v>45020</v>
      </c>
      <c r="D344" s="8">
        <v>37</v>
      </c>
      <c r="E344" s="5" t="s">
        <v>36</v>
      </c>
      <c r="F344" s="5" t="s">
        <v>73</v>
      </c>
      <c r="G344" s="5" t="s">
        <v>22</v>
      </c>
      <c r="H344" s="7">
        <v>255.96</v>
      </c>
      <c r="I344" s="3">
        <v>1</v>
      </c>
      <c r="J344" s="33">
        <f>H344*I344</f>
        <v>255.96</v>
      </c>
      <c r="K344" s="4">
        <v>0</v>
      </c>
      <c r="L344" s="9">
        <f>IF(J344=0,0,K344/J344)</f>
        <v>0</v>
      </c>
      <c r="M344" s="25">
        <v>255.96</v>
      </c>
      <c r="N344" s="5" t="s">
        <v>327</v>
      </c>
      <c r="O344" s="5" t="s">
        <v>33</v>
      </c>
      <c r="P344" s="3">
        <v>21</v>
      </c>
      <c r="Q344" s="3">
        <v>9</v>
      </c>
      <c r="R344" s="5" t="b">
        <v>1</v>
      </c>
      <c r="S344" s="5" t="str">
        <f>IF(R344=TRUE,"Returning Customer","New Customer")</f>
        <v>Returning Customer</v>
      </c>
      <c r="T344" s="3">
        <v>5</v>
      </c>
      <c r="U344" s="12" t="str">
        <f>IF(T344&lt;=3,"Fast",IF(T344&lt;=7,"Standard",IF(T344&lt;=14,"Slow","Very Slow")))</f>
        <v>Standard</v>
      </c>
      <c r="V344" s="10" t="str">
        <f>IF(D344&lt;=25,"18-25",IF(D344&lt;=35,"26-35",IF(D344&lt;=45,"36-45",IF(D344&lt;=55,"46-55",IF(D344&lt;=65,"56-65","66-75")))))</f>
        <v>36-45</v>
      </c>
      <c r="W344" s="3">
        <v>2</v>
      </c>
    </row>
    <row r="345" spans="1:23">
      <c r="A345" s="5" t="s">
        <v>191</v>
      </c>
      <c r="B345" s="5" t="s">
        <v>192</v>
      </c>
      <c r="C345" s="6">
        <v>45069</v>
      </c>
      <c r="D345" s="8">
        <v>28</v>
      </c>
      <c r="E345" s="5" t="s">
        <v>36</v>
      </c>
      <c r="F345" s="5" t="s">
        <v>32</v>
      </c>
      <c r="G345" s="5" t="s">
        <v>64</v>
      </c>
      <c r="H345" s="7">
        <v>555.79999999999995</v>
      </c>
      <c r="I345" s="3">
        <v>2</v>
      </c>
      <c r="J345" s="33">
        <f>H345*I345</f>
        <v>1111.5999999999999</v>
      </c>
      <c r="K345" s="4">
        <v>0</v>
      </c>
      <c r="L345" s="9">
        <f>IF(J345=0,0,K345/J345)</f>
        <v>0</v>
      </c>
      <c r="M345" s="25">
        <v>1111.5999999999999</v>
      </c>
      <c r="N345" s="5" t="s">
        <v>23</v>
      </c>
      <c r="O345" s="5" t="s">
        <v>29</v>
      </c>
      <c r="P345" s="3">
        <v>31</v>
      </c>
      <c r="Q345" s="3">
        <v>12</v>
      </c>
      <c r="R345" s="5" t="b">
        <v>1</v>
      </c>
      <c r="S345" s="5" t="str">
        <f>IF(R345=TRUE,"Returning Customer","New Customer")</f>
        <v>Returning Customer</v>
      </c>
      <c r="T345" s="3">
        <v>11</v>
      </c>
      <c r="U345" s="12" t="str">
        <f>IF(T345&lt;=3,"Fast",IF(T345&lt;=7,"Standard",IF(T345&lt;=14,"Slow","Very Slow")))</f>
        <v>Slow</v>
      </c>
      <c r="V345" s="10" t="str">
        <f>IF(D345&lt;=25,"18-25",IF(D345&lt;=35,"26-35",IF(D345&lt;=45,"36-45",IF(D345&lt;=55,"46-55",IF(D345&lt;=65,"56-65","66-75")))))</f>
        <v>26-35</v>
      </c>
      <c r="W345" s="3">
        <v>5</v>
      </c>
    </row>
    <row r="346" spans="1:23">
      <c r="A346" s="5" t="s">
        <v>1369</v>
      </c>
      <c r="B346" s="5" t="s">
        <v>1370</v>
      </c>
      <c r="C346" s="6">
        <v>45163</v>
      </c>
      <c r="D346" s="8">
        <v>29</v>
      </c>
      <c r="E346" s="5" t="s">
        <v>36</v>
      </c>
      <c r="F346" s="5" t="s">
        <v>32</v>
      </c>
      <c r="G346" s="5" t="s">
        <v>46</v>
      </c>
      <c r="H346" s="7">
        <v>523.16</v>
      </c>
      <c r="I346" s="3">
        <v>5</v>
      </c>
      <c r="J346" s="33">
        <f>H346*I346</f>
        <v>2615.7999999999997</v>
      </c>
      <c r="K346" s="4">
        <v>0</v>
      </c>
      <c r="L346" s="9">
        <f>IF(J346=0,0,K346/J346)</f>
        <v>0</v>
      </c>
      <c r="M346" s="25">
        <v>2615.8000000000002</v>
      </c>
      <c r="N346" s="5" t="s">
        <v>1298</v>
      </c>
      <c r="O346" s="5" t="s">
        <v>33</v>
      </c>
      <c r="P346" s="3">
        <v>11</v>
      </c>
      <c r="Q346" s="3">
        <v>6</v>
      </c>
      <c r="R346" s="5" t="b">
        <v>1</v>
      </c>
      <c r="S346" s="5" t="str">
        <f>IF(R346=TRUE,"Returning Customer","New Customer")</f>
        <v>Returning Customer</v>
      </c>
      <c r="T346" s="3">
        <v>8</v>
      </c>
      <c r="U346" s="12" t="str">
        <f>IF(T346&lt;=3,"Fast",IF(T346&lt;=7,"Standard",IF(T346&lt;=14,"Slow","Very Slow")))</f>
        <v>Slow</v>
      </c>
      <c r="V346" s="10" t="str">
        <f>IF(D346&lt;=25,"18-25",IF(D346&lt;=35,"26-35",IF(D346&lt;=45,"36-45",IF(D346&lt;=55,"46-55",IF(D346&lt;=65,"56-65","66-75")))))</f>
        <v>26-35</v>
      </c>
      <c r="W346" s="3">
        <v>4</v>
      </c>
    </row>
    <row r="347" spans="1:23">
      <c r="A347" s="5" t="s">
        <v>943</v>
      </c>
      <c r="B347" s="5" t="s">
        <v>944</v>
      </c>
      <c r="C347" s="6">
        <v>45054</v>
      </c>
      <c r="D347" s="8">
        <v>37</v>
      </c>
      <c r="E347" s="5" t="s">
        <v>20</v>
      </c>
      <c r="F347" s="5" t="s">
        <v>32</v>
      </c>
      <c r="G347" s="5" t="s">
        <v>22</v>
      </c>
      <c r="H347" s="7">
        <v>102.11</v>
      </c>
      <c r="I347" s="3">
        <v>5</v>
      </c>
      <c r="J347" s="33">
        <f>H347*I347</f>
        <v>510.55</v>
      </c>
      <c r="K347" s="4">
        <v>0</v>
      </c>
      <c r="L347" s="9">
        <f>IF(J347=0,0,K347/J347)</f>
        <v>0</v>
      </c>
      <c r="M347" s="25">
        <v>510.55</v>
      </c>
      <c r="N347" s="5" t="s">
        <v>692</v>
      </c>
      <c r="O347" s="5" t="s">
        <v>24</v>
      </c>
      <c r="P347" s="3">
        <v>2</v>
      </c>
      <c r="Q347" s="3">
        <v>9</v>
      </c>
      <c r="R347" s="5" t="b">
        <v>0</v>
      </c>
      <c r="S347" s="5" t="str">
        <f>IF(R347=TRUE,"Returning Customer","New Customer")</f>
        <v>New Customer</v>
      </c>
      <c r="T347" s="3">
        <v>9</v>
      </c>
      <c r="U347" s="12" t="str">
        <f>IF(T347&lt;=3,"Fast",IF(T347&lt;=7,"Standard",IF(T347&lt;=14,"Slow","Very Slow")))</f>
        <v>Slow</v>
      </c>
      <c r="V347" s="10" t="str">
        <f>IF(D347&lt;=25,"18-25",IF(D347&lt;=35,"26-35",IF(D347&lt;=45,"36-45",IF(D347&lt;=55,"46-55",IF(D347&lt;=65,"56-65","66-75")))))</f>
        <v>36-45</v>
      </c>
      <c r="W347" s="3">
        <v>5</v>
      </c>
    </row>
    <row r="348" spans="1:23">
      <c r="A348" s="5" t="s">
        <v>508</v>
      </c>
      <c r="B348" s="5" t="s">
        <v>509</v>
      </c>
      <c r="C348" s="6">
        <v>45374</v>
      </c>
      <c r="D348" s="8">
        <v>18</v>
      </c>
      <c r="E348" s="5" t="s">
        <v>36</v>
      </c>
      <c r="F348" s="5" t="s">
        <v>21</v>
      </c>
      <c r="G348" s="5" t="s">
        <v>28</v>
      </c>
      <c r="H348" s="7">
        <v>248.3</v>
      </c>
      <c r="I348" s="3">
        <v>1</v>
      </c>
      <c r="J348" s="33">
        <f>H348*I348</f>
        <v>248.3</v>
      </c>
      <c r="K348" s="4">
        <v>0</v>
      </c>
      <c r="L348" s="9">
        <f>IF(J348=0,0,K348/J348)</f>
        <v>0</v>
      </c>
      <c r="M348" s="25">
        <v>248.3</v>
      </c>
      <c r="N348" s="5" t="s">
        <v>327</v>
      </c>
      <c r="O348" s="5" t="s">
        <v>33</v>
      </c>
      <c r="P348" s="3">
        <v>1</v>
      </c>
      <c r="Q348" s="3">
        <v>4</v>
      </c>
      <c r="R348" s="5" t="b">
        <v>0</v>
      </c>
      <c r="S348" s="5" t="str">
        <f>IF(R348=TRUE,"Returning Customer","New Customer")</f>
        <v>New Customer</v>
      </c>
      <c r="T348" s="3">
        <v>10</v>
      </c>
      <c r="U348" s="12" t="str">
        <f>IF(T348&lt;=3,"Fast",IF(T348&lt;=7,"Standard",IF(T348&lt;=14,"Slow","Very Slow")))</f>
        <v>Slow</v>
      </c>
      <c r="V348" s="10" t="str">
        <f>IF(D348&lt;=25,"18-25",IF(D348&lt;=35,"26-35",IF(D348&lt;=45,"36-45",IF(D348&lt;=55,"46-55",IF(D348&lt;=65,"56-65","66-75")))))</f>
        <v>18-25</v>
      </c>
      <c r="W348" s="3">
        <v>4</v>
      </c>
    </row>
    <row r="349" spans="1:23">
      <c r="A349" s="5" t="s">
        <v>945</v>
      </c>
      <c r="B349" s="5" t="s">
        <v>946</v>
      </c>
      <c r="C349" s="6">
        <v>44965</v>
      </c>
      <c r="D349" s="8">
        <v>18</v>
      </c>
      <c r="E349" s="5" t="s">
        <v>20</v>
      </c>
      <c r="F349" s="5" t="s">
        <v>52</v>
      </c>
      <c r="G349" s="5" t="s">
        <v>46</v>
      </c>
      <c r="H349" s="7">
        <v>893.98</v>
      </c>
      <c r="I349" s="3">
        <v>2</v>
      </c>
      <c r="J349" s="33">
        <f>H349*I349</f>
        <v>1787.96</v>
      </c>
      <c r="K349" s="4">
        <v>98.59</v>
      </c>
      <c r="L349" s="9">
        <f>IF(J349=0,0,K349/J349)</f>
        <v>5.5141054609722816E-2</v>
      </c>
      <c r="M349" s="25">
        <v>1689.37</v>
      </c>
      <c r="N349" s="5" t="s">
        <v>692</v>
      </c>
      <c r="O349" s="5" t="s">
        <v>33</v>
      </c>
      <c r="P349" s="3">
        <v>39</v>
      </c>
      <c r="Q349" s="3">
        <v>12</v>
      </c>
      <c r="R349" s="5" t="b">
        <v>1</v>
      </c>
      <c r="S349" s="5" t="str">
        <f>IF(R349=TRUE,"Returning Customer","New Customer")</f>
        <v>Returning Customer</v>
      </c>
      <c r="T349" s="3">
        <v>8</v>
      </c>
      <c r="U349" s="12" t="str">
        <f>IF(T349&lt;=3,"Fast",IF(T349&lt;=7,"Standard",IF(T349&lt;=14,"Slow","Very Slow")))</f>
        <v>Slow</v>
      </c>
      <c r="V349" s="10" t="str">
        <f>IF(D349&lt;=25,"18-25",IF(D349&lt;=35,"26-35",IF(D349&lt;=45,"36-45",IF(D349&lt;=55,"46-55",IF(D349&lt;=65,"56-65","66-75")))))</f>
        <v>18-25</v>
      </c>
      <c r="W349" s="3">
        <v>4</v>
      </c>
    </row>
    <row r="350" spans="1:23">
      <c r="A350" s="5" t="s">
        <v>947</v>
      </c>
      <c r="B350" s="5" t="s">
        <v>948</v>
      </c>
      <c r="C350" s="6">
        <v>45153</v>
      </c>
      <c r="D350" s="8">
        <v>26</v>
      </c>
      <c r="E350" s="5" t="s">
        <v>36</v>
      </c>
      <c r="F350" s="5" t="s">
        <v>76</v>
      </c>
      <c r="G350" s="5" t="s">
        <v>64</v>
      </c>
      <c r="H350" s="7">
        <v>1265.69</v>
      </c>
      <c r="I350" s="3">
        <v>1</v>
      </c>
      <c r="J350" s="33">
        <f>H350*I350</f>
        <v>1265.69</v>
      </c>
      <c r="K350" s="4">
        <v>0</v>
      </c>
      <c r="L350" s="9">
        <f>IF(J350=0,0,K350/J350)</f>
        <v>0</v>
      </c>
      <c r="M350" s="25">
        <v>1265.69</v>
      </c>
      <c r="N350" s="5" t="s">
        <v>692</v>
      </c>
      <c r="O350" s="5" t="s">
        <v>33</v>
      </c>
      <c r="P350" s="3">
        <v>11</v>
      </c>
      <c r="Q350" s="3">
        <v>7</v>
      </c>
      <c r="R350" s="5" t="b">
        <v>1</v>
      </c>
      <c r="S350" s="5" t="str">
        <f>IF(R350=TRUE,"Returning Customer","New Customer")</f>
        <v>Returning Customer</v>
      </c>
      <c r="T350" s="3">
        <v>5</v>
      </c>
      <c r="U350" s="12" t="str">
        <f>IF(T350&lt;=3,"Fast",IF(T350&lt;=7,"Standard",IF(T350&lt;=14,"Slow","Very Slow")))</f>
        <v>Standard</v>
      </c>
      <c r="V350" s="10" t="str">
        <f>IF(D350&lt;=25,"18-25",IF(D350&lt;=35,"26-35",IF(D350&lt;=45,"36-45",IF(D350&lt;=55,"46-55",IF(D350&lt;=65,"56-65","66-75")))))</f>
        <v>26-35</v>
      </c>
      <c r="W350" s="3">
        <v>2</v>
      </c>
    </row>
    <row r="351" spans="1:23">
      <c r="A351" s="5" t="s">
        <v>193</v>
      </c>
      <c r="B351" s="5" t="s">
        <v>194</v>
      </c>
      <c r="C351" s="6">
        <v>45340</v>
      </c>
      <c r="D351" s="8">
        <v>32</v>
      </c>
      <c r="E351" s="5" t="s">
        <v>20</v>
      </c>
      <c r="F351" s="5" t="s">
        <v>21</v>
      </c>
      <c r="G351" s="5" t="s">
        <v>37</v>
      </c>
      <c r="H351" s="7">
        <v>246.17</v>
      </c>
      <c r="I351" s="3">
        <v>5</v>
      </c>
      <c r="J351" s="33">
        <f>H351*I351</f>
        <v>1230.8499999999999</v>
      </c>
      <c r="K351" s="4">
        <v>0</v>
      </c>
      <c r="L351" s="9">
        <f>IF(J351=0,0,K351/J351)</f>
        <v>0</v>
      </c>
      <c r="M351" s="25">
        <v>1230.8499999999999</v>
      </c>
      <c r="N351" s="5" t="s">
        <v>23</v>
      </c>
      <c r="O351" s="5" t="s">
        <v>33</v>
      </c>
      <c r="P351" s="3">
        <v>31</v>
      </c>
      <c r="Q351" s="3">
        <v>13</v>
      </c>
      <c r="R351" s="5" t="b">
        <v>1</v>
      </c>
      <c r="S351" s="5" t="str">
        <f>IF(R351=TRUE,"Returning Customer","New Customer")</f>
        <v>Returning Customer</v>
      </c>
      <c r="T351" s="3">
        <v>9</v>
      </c>
      <c r="U351" s="12" t="str">
        <f>IF(T351&lt;=3,"Fast",IF(T351&lt;=7,"Standard",IF(T351&lt;=14,"Slow","Very Slow")))</f>
        <v>Slow</v>
      </c>
      <c r="V351" s="10" t="str">
        <f>IF(D351&lt;=25,"18-25",IF(D351&lt;=35,"26-35",IF(D351&lt;=45,"36-45",IF(D351&lt;=55,"46-55",IF(D351&lt;=65,"56-65","66-75")))))</f>
        <v>26-35</v>
      </c>
      <c r="W351" s="3">
        <v>3</v>
      </c>
    </row>
    <row r="352" spans="1:23">
      <c r="A352" s="5" t="s">
        <v>510</v>
      </c>
      <c r="B352" s="5" t="s">
        <v>511</v>
      </c>
      <c r="C352" s="6">
        <v>45368</v>
      </c>
      <c r="D352" s="8">
        <v>38</v>
      </c>
      <c r="E352" s="5" t="s">
        <v>20</v>
      </c>
      <c r="F352" s="5" t="s">
        <v>32</v>
      </c>
      <c r="G352" s="5" t="s">
        <v>115</v>
      </c>
      <c r="H352" s="7">
        <v>134.15</v>
      </c>
      <c r="I352" s="3">
        <v>1</v>
      </c>
      <c r="J352" s="33">
        <f>H352*I352</f>
        <v>134.15</v>
      </c>
      <c r="K352" s="4">
        <v>0</v>
      </c>
      <c r="L352" s="9">
        <f>IF(J352=0,0,K352/J352)</f>
        <v>0</v>
      </c>
      <c r="M352" s="25">
        <v>134.15</v>
      </c>
      <c r="N352" s="5" t="s">
        <v>327</v>
      </c>
      <c r="O352" s="5" t="s">
        <v>33</v>
      </c>
      <c r="P352" s="3">
        <v>14</v>
      </c>
      <c r="Q352" s="3">
        <v>6</v>
      </c>
      <c r="R352" s="5" t="b">
        <v>1</v>
      </c>
      <c r="S352" s="5" t="str">
        <f>IF(R352=TRUE,"Returning Customer","New Customer")</f>
        <v>Returning Customer</v>
      </c>
      <c r="T352" s="3">
        <v>3</v>
      </c>
      <c r="U352" s="12" t="str">
        <f>IF(T352&lt;=3,"Fast",IF(T352&lt;=7,"Standard",IF(T352&lt;=14,"Slow","Very Slow")))</f>
        <v>Fast</v>
      </c>
      <c r="V352" s="10" t="str">
        <f>IF(D352&lt;=25,"18-25",IF(D352&lt;=35,"26-35",IF(D352&lt;=45,"36-45",IF(D352&lt;=55,"46-55",IF(D352&lt;=65,"56-65","66-75")))))</f>
        <v>36-45</v>
      </c>
      <c r="W352" s="3">
        <v>5</v>
      </c>
    </row>
    <row r="353" spans="1:23">
      <c r="A353" s="5" t="s">
        <v>195</v>
      </c>
      <c r="B353" s="5" t="s">
        <v>196</v>
      </c>
      <c r="C353" s="6">
        <v>45365</v>
      </c>
      <c r="D353" s="8">
        <v>52</v>
      </c>
      <c r="E353" s="5" t="s">
        <v>20</v>
      </c>
      <c r="F353" s="5" t="s">
        <v>27</v>
      </c>
      <c r="G353" s="5" t="s">
        <v>46</v>
      </c>
      <c r="H353" s="7">
        <v>529.26</v>
      </c>
      <c r="I353" s="3">
        <v>1</v>
      </c>
      <c r="J353" s="33">
        <f>H353*I353</f>
        <v>529.26</v>
      </c>
      <c r="K353" s="4">
        <v>45.68</v>
      </c>
      <c r="L353" s="9">
        <f>IF(J353=0,0,K353/J353)</f>
        <v>8.6309186411215655E-2</v>
      </c>
      <c r="M353" s="25">
        <v>483.58</v>
      </c>
      <c r="N353" s="5" t="s">
        <v>23</v>
      </c>
      <c r="O353" s="5" t="s">
        <v>33</v>
      </c>
      <c r="P353" s="3">
        <v>26</v>
      </c>
      <c r="Q353" s="3">
        <v>9</v>
      </c>
      <c r="R353" s="5" t="b">
        <v>1</v>
      </c>
      <c r="S353" s="5" t="str">
        <f>IF(R353=TRUE,"Returning Customer","New Customer")</f>
        <v>Returning Customer</v>
      </c>
      <c r="T353" s="3">
        <v>10</v>
      </c>
      <c r="U353" s="12" t="str">
        <f>IF(T353&lt;=3,"Fast",IF(T353&lt;=7,"Standard",IF(T353&lt;=14,"Slow","Very Slow")))</f>
        <v>Slow</v>
      </c>
      <c r="V353" s="10" t="str">
        <f>IF(D353&lt;=25,"18-25",IF(D353&lt;=35,"26-35",IF(D353&lt;=45,"36-45",IF(D353&lt;=55,"46-55",IF(D353&lt;=65,"56-65","66-75")))))</f>
        <v>46-55</v>
      </c>
      <c r="W353" s="3">
        <v>5</v>
      </c>
    </row>
    <row r="354" spans="1:23">
      <c r="A354" s="5" t="s">
        <v>512</v>
      </c>
      <c r="B354" s="5" t="s">
        <v>513</v>
      </c>
      <c r="C354" s="6">
        <v>45208</v>
      </c>
      <c r="D354" s="8">
        <v>45</v>
      </c>
      <c r="E354" s="5" t="s">
        <v>36</v>
      </c>
      <c r="F354" s="5" t="s">
        <v>52</v>
      </c>
      <c r="G354" s="5" t="s">
        <v>22</v>
      </c>
      <c r="H354" s="7">
        <v>195.94</v>
      </c>
      <c r="I354" s="3">
        <v>4</v>
      </c>
      <c r="J354" s="33">
        <f>H354*I354</f>
        <v>783.76</v>
      </c>
      <c r="K354" s="4">
        <v>14.08</v>
      </c>
      <c r="L354" s="9">
        <f>IF(J354=0,0,K354/J354)</f>
        <v>1.7964683066244769E-2</v>
      </c>
      <c r="M354" s="25">
        <v>769.68</v>
      </c>
      <c r="N354" s="5" t="s">
        <v>327</v>
      </c>
      <c r="O354" s="5" t="s">
        <v>24</v>
      </c>
      <c r="P354" s="3">
        <v>21</v>
      </c>
      <c r="Q354" s="3">
        <v>6</v>
      </c>
      <c r="R354" s="5" t="b">
        <v>0</v>
      </c>
      <c r="S354" s="5" t="str">
        <f>IF(R354=TRUE,"Returning Customer","New Customer")</f>
        <v>New Customer</v>
      </c>
      <c r="T354" s="3">
        <v>15</v>
      </c>
      <c r="U354" s="12" t="str">
        <f>IF(T354&lt;=3,"Fast",IF(T354&lt;=7,"Standard",IF(T354&lt;=14,"Slow","Very Slow")))</f>
        <v>Very Slow</v>
      </c>
      <c r="V354" s="10" t="str">
        <f>IF(D354&lt;=25,"18-25",IF(D354&lt;=35,"26-35",IF(D354&lt;=45,"36-45",IF(D354&lt;=55,"46-55",IF(D354&lt;=65,"56-65","66-75")))))</f>
        <v>36-45</v>
      </c>
      <c r="W354" s="3">
        <v>4</v>
      </c>
    </row>
    <row r="355" spans="1:23">
      <c r="A355" s="5" t="s">
        <v>949</v>
      </c>
      <c r="B355" s="5" t="s">
        <v>950</v>
      </c>
      <c r="C355" s="6">
        <v>44977</v>
      </c>
      <c r="D355" s="8">
        <v>33</v>
      </c>
      <c r="E355" s="5" t="s">
        <v>20</v>
      </c>
      <c r="F355" s="5" t="s">
        <v>49</v>
      </c>
      <c r="G355" s="5" t="s">
        <v>28</v>
      </c>
      <c r="H355" s="7">
        <v>281.58</v>
      </c>
      <c r="I355" s="3">
        <v>1</v>
      </c>
      <c r="J355" s="33">
        <f>H355*I355</f>
        <v>281.58</v>
      </c>
      <c r="K355" s="4">
        <v>0</v>
      </c>
      <c r="L355" s="9">
        <f>IF(J355=0,0,K355/J355)</f>
        <v>0</v>
      </c>
      <c r="M355" s="25">
        <v>281.58</v>
      </c>
      <c r="N355" s="5" t="s">
        <v>692</v>
      </c>
      <c r="O355" s="5" t="s">
        <v>29</v>
      </c>
      <c r="P355" s="3">
        <v>6</v>
      </c>
      <c r="Q355" s="3">
        <v>11</v>
      </c>
      <c r="R355" s="5" t="b">
        <v>1</v>
      </c>
      <c r="S355" s="5" t="str">
        <f>IF(R355=TRUE,"Returning Customer","New Customer")</f>
        <v>Returning Customer</v>
      </c>
      <c r="T355" s="3">
        <v>3</v>
      </c>
      <c r="U355" s="12" t="str">
        <f>IF(T355&lt;=3,"Fast",IF(T355&lt;=7,"Standard",IF(T355&lt;=14,"Slow","Very Slow")))</f>
        <v>Fast</v>
      </c>
      <c r="V355" s="10" t="str">
        <f>IF(D355&lt;=25,"18-25",IF(D355&lt;=35,"26-35",IF(D355&lt;=45,"36-45",IF(D355&lt;=55,"46-55",IF(D355&lt;=65,"56-65","66-75")))))</f>
        <v>26-35</v>
      </c>
      <c r="W355" s="3">
        <v>5</v>
      </c>
    </row>
    <row r="356" spans="1:23">
      <c r="A356" s="5" t="s">
        <v>1371</v>
      </c>
      <c r="B356" s="5" t="s">
        <v>1372</v>
      </c>
      <c r="C356" s="6">
        <v>44952</v>
      </c>
      <c r="D356" s="8">
        <v>34</v>
      </c>
      <c r="E356" s="5" t="s">
        <v>36</v>
      </c>
      <c r="F356" s="5" t="s">
        <v>52</v>
      </c>
      <c r="G356" s="5" t="s">
        <v>28</v>
      </c>
      <c r="H356" s="7">
        <v>412.45</v>
      </c>
      <c r="I356" s="3">
        <v>2</v>
      </c>
      <c r="J356" s="33">
        <f>H356*I356</f>
        <v>824.9</v>
      </c>
      <c r="K356" s="4">
        <v>0</v>
      </c>
      <c r="L356" s="9">
        <f>IF(J356=0,0,K356/J356)</f>
        <v>0</v>
      </c>
      <c r="M356" s="25">
        <v>824.9</v>
      </c>
      <c r="N356" s="5" t="s">
        <v>1298</v>
      </c>
      <c r="O356" s="5" t="s">
        <v>33</v>
      </c>
      <c r="P356" s="3">
        <v>30</v>
      </c>
      <c r="Q356" s="3">
        <v>10</v>
      </c>
      <c r="R356" s="5" t="b">
        <v>1</v>
      </c>
      <c r="S356" s="5" t="str">
        <f>IF(R356=TRUE,"Returning Customer","New Customer")</f>
        <v>Returning Customer</v>
      </c>
      <c r="T356" s="3">
        <v>2</v>
      </c>
      <c r="U356" s="12" t="str">
        <f>IF(T356&lt;=3,"Fast",IF(T356&lt;=7,"Standard",IF(T356&lt;=14,"Slow","Very Slow")))</f>
        <v>Fast</v>
      </c>
      <c r="V356" s="10" t="str">
        <f>IF(D356&lt;=25,"18-25",IF(D356&lt;=35,"26-35",IF(D356&lt;=45,"36-45",IF(D356&lt;=55,"46-55",IF(D356&lt;=65,"56-65","66-75")))))</f>
        <v>26-35</v>
      </c>
      <c r="W356" s="3">
        <v>4</v>
      </c>
    </row>
    <row r="357" spans="1:23">
      <c r="A357" s="5" t="s">
        <v>951</v>
      </c>
      <c r="B357" s="5" t="s">
        <v>952</v>
      </c>
      <c r="C357" s="6">
        <v>45260</v>
      </c>
      <c r="D357" s="8">
        <v>22</v>
      </c>
      <c r="E357" s="5" t="s">
        <v>20</v>
      </c>
      <c r="F357" s="5" t="s">
        <v>73</v>
      </c>
      <c r="G357" s="5" t="s">
        <v>115</v>
      </c>
      <c r="H357" s="7">
        <v>75.63</v>
      </c>
      <c r="I357" s="3">
        <v>2</v>
      </c>
      <c r="J357" s="33">
        <f>H357*I357</f>
        <v>151.26</v>
      </c>
      <c r="K357" s="4">
        <v>0</v>
      </c>
      <c r="L357" s="9">
        <f>IF(J357=0,0,K357/J357)</f>
        <v>0</v>
      </c>
      <c r="M357" s="25">
        <v>151.26</v>
      </c>
      <c r="N357" s="5" t="s">
        <v>692</v>
      </c>
      <c r="O357" s="5" t="s">
        <v>33</v>
      </c>
      <c r="P357" s="3">
        <v>7</v>
      </c>
      <c r="Q357" s="3">
        <v>9</v>
      </c>
      <c r="R357" s="5" t="b">
        <v>1</v>
      </c>
      <c r="S357" s="5" t="str">
        <f>IF(R357=TRUE,"Returning Customer","New Customer")</f>
        <v>Returning Customer</v>
      </c>
      <c r="T357" s="3">
        <v>9</v>
      </c>
      <c r="U357" s="12" t="str">
        <f>IF(T357&lt;=3,"Fast",IF(T357&lt;=7,"Standard",IF(T357&lt;=14,"Slow","Very Slow")))</f>
        <v>Slow</v>
      </c>
      <c r="V357" s="10" t="str">
        <f>IF(D357&lt;=25,"18-25",IF(D357&lt;=35,"26-35",IF(D357&lt;=45,"36-45",IF(D357&lt;=55,"46-55",IF(D357&lt;=65,"56-65","66-75")))))</f>
        <v>18-25</v>
      </c>
      <c r="W357" s="3">
        <v>5</v>
      </c>
    </row>
    <row r="358" spans="1:23">
      <c r="A358" s="5" t="s">
        <v>953</v>
      </c>
      <c r="B358" s="5" t="s">
        <v>954</v>
      </c>
      <c r="C358" s="6">
        <v>45203</v>
      </c>
      <c r="D358" s="8">
        <v>34</v>
      </c>
      <c r="E358" s="5" t="s">
        <v>36</v>
      </c>
      <c r="F358" s="5" t="s">
        <v>27</v>
      </c>
      <c r="G358" s="5" t="s">
        <v>56</v>
      </c>
      <c r="H358" s="7">
        <v>398.92</v>
      </c>
      <c r="I358" s="3">
        <v>1</v>
      </c>
      <c r="J358" s="33">
        <f>H358*I358</f>
        <v>398.92</v>
      </c>
      <c r="K358" s="4">
        <v>0</v>
      </c>
      <c r="L358" s="9">
        <f>IF(J358=0,0,K358/J358)</f>
        <v>0</v>
      </c>
      <c r="M358" s="25">
        <v>398.92</v>
      </c>
      <c r="N358" s="5" t="s">
        <v>692</v>
      </c>
      <c r="O358" s="5" t="s">
        <v>24</v>
      </c>
      <c r="P358" s="3">
        <v>22</v>
      </c>
      <c r="Q358" s="3">
        <v>14</v>
      </c>
      <c r="R358" s="5" t="b">
        <v>1</v>
      </c>
      <c r="S358" s="5" t="str">
        <f>IF(R358=TRUE,"Returning Customer","New Customer")</f>
        <v>Returning Customer</v>
      </c>
      <c r="T358" s="3">
        <v>6</v>
      </c>
      <c r="U358" s="12" t="str">
        <f>IF(T358&lt;=3,"Fast",IF(T358&lt;=7,"Standard",IF(T358&lt;=14,"Slow","Very Slow")))</f>
        <v>Standard</v>
      </c>
      <c r="V358" s="10" t="str">
        <f>IF(D358&lt;=25,"18-25",IF(D358&lt;=35,"26-35",IF(D358&lt;=45,"36-45",IF(D358&lt;=55,"46-55",IF(D358&lt;=65,"56-65","66-75")))))</f>
        <v>26-35</v>
      </c>
      <c r="W358" s="3">
        <v>3</v>
      </c>
    </row>
    <row r="359" spans="1:23">
      <c r="A359" s="5" t="s">
        <v>955</v>
      </c>
      <c r="B359" s="5" t="s">
        <v>956</v>
      </c>
      <c r="C359" s="6">
        <v>45355</v>
      </c>
      <c r="D359" s="8">
        <v>31</v>
      </c>
      <c r="E359" s="5" t="s">
        <v>36</v>
      </c>
      <c r="F359" s="5" t="s">
        <v>76</v>
      </c>
      <c r="G359" s="5" t="s">
        <v>28</v>
      </c>
      <c r="H359" s="7">
        <v>232.13</v>
      </c>
      <c r="I359" s="3">
        <v>3</v>
      </c>
      <c r="J359" s="33">
        <f>H359*I359</f>
        <v>696.39</v>
      </c>
      <c r="K359" s="4">
        <v>51.08</v>
      </c>
      <c r="L359" s="9">
        <f>IF(J359=0,0,K359/J359)</f>
        <v>7.3349703470756325E-2</v>
      </c>
      <c r="M359" s="25">
        <v>645.30999999999995</v>
      </c>
      <c r="N359" s="5" t="s">
        <v>692</v>
      </c>
      <c r="O359" s="5" t="s">
        <v>24</v>
      </c>
      <c r="P359" s="3">
        <v>19</v>
      </c>
      <c r="Q359" s="3">
        <v>13</v>
      </c>
      <c r="R359" s="5" t="b">
        <v>0</v>
      </c>
      <c r="S359" s="5" t="str">
        <f>IF(R359=TRUE,"Returning Customer","New Customer")</f>
        <v>New Customer</v>
      </c>
      <c r="T359" s="3">
        <v>2</v>
      </c>
      <c r="U359" s="12" t="str">
        <f>IF(T359&lt;=3,"Fast",IF(T359&lt;=7,"Standard",IF(T359&lt;=14,"Slow","Very Slow")))</f>
        <v>Fast</v>
      </c>
      <c r="V359" s="10" t="str">
        <f>IF(D359&lt;=25,"18-25",IF(D359&lt;=35,"26-35",IF(D359&lt;=45,"36-45",IF(D359&lt;=55,"46-55",IF(D359&lt;=65,"56-65","66-75")))))</f>
        <v>26-35</v>
      </c>
      <c r="W359" s="3">
        <v>4</v>
      </c>
    </row>
    <row r="360" spans="1:23">
      <c r="A360" s="5" t="s">
        <v>1262</v>
      </c>
      <c r="B360" s="5" t="s">
        <v>1263</v>
      </c>
      <c r="C360" s="6">
        <v>44934</v>
      </c>
      <c r="D360" s="8">
        <v>38</v>
      </c>
      <c r="E360" s="5" t="s">
        <v>36</v>
      </c>
      <c r="F360" s="5" t="s">
        <v>52</v>
      </c>
      <c r="G360" s="5" t="s">
        <v>37</v>
      </c>
      <c r="H360" s="7">
        <v>94.59</v>
      </c>
      <c r="I360" s="3">
        <v>3</v>
      </c>
      <c r="J360" s="33">
        <f>H360*I360</f>
        <v>283.77</v>
      </c>
      <c r="K360" s="4">
        <v>0</v>
      </c>
      <c r="L360" s="9">
        <f>IF(J360=0,0,K360/J360)</f>
        <v>0</v>
      </c>
      <c r="M360" s="25">
        <v>283.77</v>
      </c>
      <c r="N360" s="5" t="s">
        <v>1231</v>
      </c>
      <c r="O360" s="5" t="s">
        <v>33</v>
      </c>
      <c r="P360" s="3">
        <v>24</v>
      </c>
      <c r="Q360" s="3">
        <v>13</v>
      </c>
      <c r="R360" s="5" t="b">
        <v>1</v>
      </c>
      <c r="S360" s="5" t="str">
        <f>IF(R360=TRUE,"Returning Customer","New Customer")</f>
        <v>Returning Customer</v>
      </c>
      <c r="T360" s="3">
        <v>2</v>
      </c>
      <c r="U360" s="12" t="str">
        <f>IF(T360&lt;=3,"Fast",IF(T360&lt;=7,"Standard",IF(T360&lt;=14,"Slow","Very Slow")))</f>
        <v>Fast</v>
      </c>
      <c r="V360" s="10" t="str">
        <f>IF(D360&lt;=25,"18-25",IF(D360&lt;=35,"26-35",IF(D360&lt;=45,"36-45",IF(D360&lt;=55,"46-55",IF(D360&lt;=65,"56-65","66-75")))))</f>
        <v>36-45</v>
      </c>
      <c r="W360" s="3">
        <v>4</v>
      </c>
    </row>
    <row r="361" spans="1:23">
      <c r="A361" s="5" t="s">
        <v>514</v>
      </c>
      <c r="B361" s="5" t="s">
        <v>515</v>
      </c>
      <c r="C361" s="6">
        <v>44974</v>
      </c>
      <c r="D361" s="8">
        <v>25</v>
      </c>
      <c r="E361" s="5" t="s">
        <v>36</v>
      </c>
      <c r="F361" s="5" t="s">
        <v>52</v>
      </c>
      <c r="G361" s="5" t="s">
        <v>28</v>
      </c>
      <c r="H361" s="7">
        <v>70.12</v>
      </c>
      <c r="I361" s="3">
        <v>2</v>
      </c>
      <c r="J361" s="33">
        <f>H361*I361</f>
        <v>140.24</v>
      </c>
      <c r="K361" s="4">
        <v>0</v>
      </c>
      <c r="L361" s="9">
        <f>IF(J361=0,0,K361/J361)</f>
        <v>0</v>
      </c>
      <c r="M361" s="25">
        <v>140.24</v>
      </c>
      <c r="N361" s="5" t="s">
        <v>327</v>
      </c>
      <c r="O361" s="5" t="s">
        <v>29</v>
      </c>
      <c r="P361" s="3">
        <v>13</v>
      </c>
      <c r="Q361" s="3">
        <v>7</v>
      </c>
      <c r="R361" s="5" t="b">
        <v>1</v>
      </c>
      <c r="S361" s="5" t="str">
        <f>IF(R361=TRUE,"Returning Customer","New Customer")</f>
        <v>Returning Customer</v>
      </c>
      <c r="T361" s="3">
        <v>8</v>
      </c>
      <c r="U361" s="12" t="str">
        <f>IF(T361&lt;=3,"Fast",IF(T361&lt;=7,"Standard",IF(T361&lt;=14,"Slow","Very Slow")))</f>
        <v>Slow</v>
      </c>
      <c r="V361" s="10" t="str">
        <f>IF(D361&lt;=25,"18-25",IF(D361&lt;=35,"26-35",IF(D361&lt;=45,"36-45",IF(D361&lt;=55,"46-55",IF(D361&lt;=65,"56-65","66-75")))))</f>
        <v>18-25</v>
      </c>
      <c r="W361" s="3">
        <v>4</v>
      </c>
    </row>
    <row r="362" spans="1:23">
      <c r="A362" s="5" t="s">
        <v>516</v>
      </c>
      <c r="B362" s="5" t="s">
        <v>517</v>
      </c>
      <c r="C362" s="6">
        <v>45312</v>
      </c>
      <c r="D362" s="8">
        <v>41</v>
      </c>
      <c r="E362" s="5" t="s">
        <v>36</v>
      </c>
      <c r="F362" s="5" t="s">
        <v>21</v>
      </c>
      <c r="G362" s="5" t="s">
        <v>28</v>
      </c>
      <c r="H362" s="7">
        <v>108.97</v>
      </c>
      <c r="I362" s="3">
        <v>5</v>
      </c>
      <c r="J362" s="33">
        <f>H362*I362</f>
        <v>544.85</v>
      </c>
      <c r="K362" s="4">
        <v>5.92</v>
      </c>
      <c r="L362" s="9">
        <f>IF(J362=0,0,K362/J362)</f>
        <v>1.0865375791502247E-2</v>
      </c>
      <c r="M362" s="25">
        <v>538.92999999999995</v>
      </c>
      <c r="N362" s="5" t="s">
        <v>327</v>
      </c>
      <c r="O362" s="5" t="s">
        <v>33</v>
      </c>
      <c r="P362" s="3">
        <v>22</v>
      </c>
      <c r="Q362" s="3">
        <v>11</v>
      </c>
      <c r="R362" s="5" t="b">
        <v>1</v>
      </c>
      <c r="S362" s="5" t="str">
        <f>IF(R362=TRUE,"Returning Customer","New Customer")</f>
        <v>Returning Customer</v>
      </c>
      <c r="T362" s="3">
        <v>7</v>
      </c>
      <c r="U362" s="12" t="str">
        <f>IF(T362&lt;=3,"Fast",IF(T362&lt;=7,"Standard",IF(T362&lt;=14,"Slow","Very Slow")))</f>
        <v>Standard</v>
      </c>
      <c r="V362" s="10" t="str">
        <f>IF(D362&lt;=25,"18-25",IF(D362&lt;=35,"26-35",IF(D362&lt;=45,"36-45",IF(D362&lt;=55,"46-55",IF(D362&lt;=65,"56-65","66-75")))))</f>
        <v>36-45</v>
      </c>
      <c r="W362" s="3">
        <v>3</v>
      </c>
    </row>
    <row r="363" spans="1:23">
      <c r="A363" s="5" t="s">
        <v>197</v>
      </c>
      <c r="B363" s="5" t="s">
        <v>198</v>
      </c>
      <c r="C363" s="6">
        <v>45361</v>
      </c>
      <c r="D363" s="8">
        <v>53</v>
      </c>
      <c r="E363" s="5" t="s">
        <v>20</v>
      </c>
      <c r="F363" s="5" t="s">
        <v>76</v>
      </c>
      <c r="G363" s="5" t="s">
        <v>37</v>
      </c>
      <c r="H363" s="7">
        <v>182.33</v>
      </c>
      <c r="I363" s="3">
        <v>1</v>
      </c>
      <c r="J363" s="33">
        <f>H363*I363</f>
        <v>182.33</v>
      </c>
      <c r="K363" s="4">
        <v>0</v>
      </c>
      <c r="L363" s="9">
        <f>IF(J363=0,0,K363/J363)</f>
        <v>0</v>
      </c>
      <c r="M363" s="25">
        <v>182.33</v>
      </c>
      <c r="N363" s="5" t="s">
        <v>23</v>
      </c>
      <c r="O363" s="5" t="s">
        <v>33</v>
      </c>
      <c r="P363" s="3">
        <v>7</v>
      </c>
      <c r="Q363" s="3">
        <v>9</v>
      </c>
      <c r="R363" s="5" t="b">
        <v>1</v>
      </c>
      <c r="S363" s="5" t="str">
        <f>IF(R363=TRUE,"Returning Customer","New Customer")</f>
        <v>Returning Customer</v>
      </c>
      <c r="T363" s="3">
        <v>2</v>
      </c>
      <c r="U363" s="12" t="str">
        <f>IF(T363&lt;=3,"Fast",IF(T363&lt;=7,"Standard",IF(T363&lt;=14,"Slow","Very Slow")))</f>
        <v>Fast</v>
      </c>
      <c r="V363" s="10" t="str">
        <f>IF(D363&lt;=25,"18-25",IF(D363&lt;=35,"26-35",IF(D363&lt;=45,"36-45",IF(D363&lt;=55,"46-55",IF(D363&lt;=65,"56-65","66-75")))))</f>
        <v>46-55</v>
      </c>
      <c r="W363" s="3">
        <v>4</v>
      </c>
    </row>
    <row r="364" spans="1:23">
      <c r="A364" s="5" t="s">
        <v>518</v>
      </c>
      <c r="B364" s="5" t="s">
        <v>519</v>
      </c>
      <c r="C364" s="6">
        <v>45048</v>
      </c>
      <c r="D364" s="8">
        <v>33</v>
      </c>
      <c r="E364" s="5" t="s">
        <v>36</v>
      </c>
      <c r="F364" s="5" t="s">
        <v>88</v>
      </c>
      <c r="G364" s="5" t="s">
        <v>115</v>
      </c>
      <c r="H364" s="7">
        <v>54.95</v>
      </c>
      <c r="I364" s="3">
        <v>2</v>
      </c>
      <c r="J364" s="33">
        <f>H364*I364</f>
        <v>109.9</v>
      </c>
      <c r="K364" s="4">
        <v>0</v>
      </c>
      <c r="L364" s="9">
        <f>IF(J364=0,0,K364/J364)</f>
        <v>0</v>
      </c>
      <c r="M364" s="25">
        <v>109.9</v>
      </c>
      <c r="N364" s="5" t="s">
        <v>327</v>
      </c>
      <c r="O364" s="5" t="s">
        <v>33</v>
      </c>
      <c r="P364" s="3">
        <v>12</v>
      </c>
      <c r="Q364" s="3">
        <v>10</v>
      </c>
      <c r="R364" s="5" t="b">
        <v>1</v>
      </c>
      <c r="S364" s="5" t="str">
        <f>IF(R364=TRUE,"Returning Customer","New Customer")</f>
        <v>Returning Customer</v>
      </c>
      <c r="T364" s="3">
        <v>12</v>
      </c>
      <c r="U364" s="12" t="str">
        <f>IF(T364&lt;=3,"Fast",IF(T364&lt;=7,"Standard",IF(T364&lt;=14,"Slow","Very Slow")))</f>
        <v>Slow</v>
      </c>
      <c r="V364" s="10" t="str">
        <f>IF(D364&lt;=25,"18-25",IF(D364&lt;=35,"26-35",IF(D364&lt;=45,"36-45",IF(D364&lt;=55,"46-55",IF(D364&lt;=65,"56-65","66-75")))))</f>
        <v>26-35</v>
      </c>
      <c r="W364" s="3">
        <v>4</v>
      </c>
    </row>
    <row r="365" spans="1:23">
      <c r="A365" s="5" t="s">
        <v>199</v>
      </c>
      <c r="B365" s="5" t="s">
        <v>200</v>
      </c>
      <c r="C365" s="6">
        <v>45012</v>
      </c>
      <c r="D365" s="8">
        <v>39</v>
      </c>
      <c r="E365" s="5" t="s">
        <v>20</v>
      </c>
      <c r="F365" s="5" t="s">
        <v>32</v>
      </c>
      <c r="G365" s="5" t="s">
        <v>115</v>
      </c>
      <c r="H365" s="7">
        <v>40.18</v>
      </c>
      <c r="I365" s="3">
        <v>1</v>
      </c>
      <c r="J365" s="33">
        <f>H365*I365</f>
        <v>40.18</v>
      </c>
      <c r="K365" s="4">
        <v>0</v>
      </c>
      <c r="L365" s="9">
        <f>IF(J365=0,0,K365/J365)</f>
        <v>0</v>
      </c>
      <c r="M365" s="25">
        <v>40.18</v>
      </c>
      <c r="N365" s="5" t="s">
        <v>23</v>
      </c>
      <c r="O365" s="5" t="s">
        <v>33</v>
      </c>
      <c r="P365" s="3">
        <v>21</v>
      </c>
      <c r="Q365" s="3">
        <v>6</v>
      </c>
      <c r="R365" s="5" t="b">
        <v>0</v>
      </c>
      <c r="S365" s="5" t="str">
        <f>IF(R365=TRUE,"Returning Customer","New Customer")</f>
        <v>New Customer</v>
      </c>
      <c r="T365" s="3">
        <v>9</v>
      </c>
      <c r="U365" s="12" t="str">
        <f>IF(T365&lt;=3,"Fast",IF(T365&lt;=7,"Standard",IF(T365&lt;=14,"Slow","Very Slow")))</f>
        <v>Slow</v>
      </c>
      <c r="V365" s="10" t="str">
        <f>IF(D365&lt;=25,"18-25",IF(D365&lt;=35,"26-35",IF(D365&lt;=45,"36-45",IF(D365&lt;=55,"46-55",IF(D365&lt;=65,"56-65","66-75")))))</f>
        <v>36-45</v>
      </c>
      <c r="W365" s="3">
        <v>2</v>
      </c>
    </row>
    <row r="366" spans="1:23">
      <c r="A366" s="5" t="s">
        <v>520</v>
      </c>
      <c r="B366" s="5" t="s">
        <v>521</v>
      </c>
      <c r="C366" s="6">
        <v>45135</v>
      </c>
      <c r="D366" s="8">
        <v>43</v>
      </c>
      <c r="E366" s="5" t="s">
        <v>36</v>
      </c>
      <c r="F366" s="5" t="s">
        <v>32</v>
      </c>
      <c r="G366" s="5" t="s">
        <v>37</v>
      </c>
      <c r="H366" s="7">
        <v>210.09</v>
      </c>
      <c r="I366" s="3">
        <v>1</v>
      </c>
      <c r="J366" s="33">
        <f>H366*I366</f>
        <v>210.09</v>
      </c>
      <c r="K366" s="4">
        <v>41.67</v>
      </c>
      <c r="L366" s="9">
        <f>IF(J366=0,0,K366/J366)</f>
        <v>0.19834356704269598</v>
      </c>
      <c r="M366" s="25">
        <v>168.42</v>
      </c>
      <c r="N366" s="5" t="s">
        <v>327</v>
      </c>
      <c r="O366" s="5" t="s">
        <v>24</v>
      </c>
      <c r="P366" s="3">
        <v>25</v>
      </c>
      <c r="Q366" s="3">
        <v>6</v>
      </c>
      <c r="R366" s="5" t="b">
        <v>1</v>
      </c>
      <c r="S366" s="5" t="str">
        <f>IF(R366=TRUE,"Returning Customer","New Customer")</f>
        <v>Returning Customer</v>
      </c>
      <c r="T366" s="3">
        <v>5</v>
      </c>
      <c r="U366" s="12" t="str">
        <f>IF(T366&lt;=3,"Fast",IF(T366&lt;=7,"Standard",IF(T366&lt;=14,"Slow","Very Slow")))</f>
        <v>Standard</v>
      </c>
      <c r="V366" s="10" t="str">
        <f>IF(D366&lt;=25,"18-25",IF(D366&lt;=35,"26-35",IF(D366&lt;=45,"36-45",IF(D366&lt;=55,"46-55",IF(D366&lt;=65,"56-65","66-75")))))</f>
        <v>36-45</v>
      </c>
      <c r="W366" s="3">
        <v>5</v>
      </c>
    </row>
    <row r="367" spans="1:23">
      <c r="A367" s="5" t="s">
        <v>1264</v>
      </c>
      <c r="B367" s="5" t="s">
        <v>1265</v>
      </c>
      <c r="C367" s="6">
        <v>45175</v>
      </c>
      <c r="D367" s="8">
        <v>30</v>
      </c>
      <c r="E367" s="5" t="s">
        <v>36</v>
      </c>
      <c r="F367" s="5" t="s">
        <v>21</v>
      </c>
      <c r="G367" s="5" t="s">
        <v>64</v>
      </c>
      <c r="H367" s="7">
        <v>2897.09</v>
      </c>
      <c r="I367" s="3">
        <v>5</v>
      </c>
      <c r="J367" s="33">
        <f>H367*I367</f>
        <v>14485.45</v>
      </c>
      <c r="K367" s="4">
        <v>0</v>
      </c>
      <c r="L367" s="9">
        <f>IF(J367=0,0,K367/J367)</f>
        <v>0</v>
      </c>
      <c r="M367" s="25">
        <v>14485.45</v>
      </c>
      <c r="N367" s="5" t="s">
        <v>1231</v>
      </c>
      <c r="O367" s="5" t="s">
        <v>33</v>
      </c>
      <c r="P367" s="3">
        <v>7</v>
      </c>
      <c r="Q367" s="3">
        <v>5</v>
      </c>
      <c r="R367" s="5" t="b">
        <v>1</v>
      </c>
      <c r="S367" s="5" t="str">
        <f>IF(R367=TRUE,"Returning Customer","New Customer")</f>
        <v>Returning Customer</v>
      </c>
      <c r="T367" s="3">
        <v>4</v>
      </c>
      <c r="U367" s="12" t="str">
        <f>IF(T367&lt;=3,"Fast",IF(T367&lt;=7,"Standard",IF(T367&lt;=14,"Slow","Very Slow")))</f>
        <v>Standard</v>
      </c>
      <c r="V367" s="10" t="str">
        <f>IF(D367&lt;=25,"18-25",IF(D367&lt;=35,"26-35",IF(D367&lt;=45,"36-45",IF(D367&lt;=55,"46-55",IF(D367&lt;=65,"56-65","66-75")))))</f>
        <v>26-35</v>
      </c>
      <c r="W367" s="3">
        <v>5</v>
      </c>
    </row>
    <row r="368" spans="1:23">
      <c r="A368" s="5" t="s">
        <v>201</v>
      </c>
      <c r="B368" s="5" t="s">
        <v>202</v>
      </c>
      <c r="C368" s="6">
        <v>45173</v>
      </c>
      <c r="D368" s="8">
        <v>37</v>
      </c>
      <c r="E368" s="5" t="s">
        <v>20</v>
      </c>
      <c r="F368" s="5" t="s">
        <v>32</v>
      </c>
      <c r="G368" s="5" t="s">
        <v>22</v>
      </c>
      <c r="H368" s="7">
        <v>182.84</v>
      </c>
      <c r="I368" s="3">
        <v>3</v>
      </c>
      <c r="J368" s="33">
        <f>H368*I368</f>
        <v>548.52</v>
      </c>
      <c r="K368" s="4">
        <v>0</v>
      </c>
      <c r="L368" s="9">
        <f>IF(J368=0,0,K368/J368)</f>
        <v>0</v>
      </c>
      <c r="M368" s="25">
        <v>548.52</v>
      </c>
      <c r="N368" s="5" t="s">
        <v>23</v>
      </c>
      <c r="O368" s="5" t="s">
        <v>24</v>
      </c>
      <c r="P368" s="3">
        <v>21</v>
      </c>
      <c r="Q368" s="3">
        <v>7</v>
      </c>
      <c r="R368" s="5" t="b">
        <v>0</v>
      </c>
      <c r="S368" s="5" t="str">
        <f>IF(R368=TRUE,"Returning Customer","New Customer")</f>
        <v>New Customer</v>
      </c>
      <c r="T368" s="3">
        <v>5</v>
      </c>
      <c r="U368" s="12" t="str">
        <f>IF(T368&lt;=3,"Fast",IF(T368&lt;=7,"Standard",IF(T368&lt;=14,"Slow","Very Slow")))</f>
        <v>Standard</v>
      </c>
      <c r="V368" s="10" t="str">
        <f>IF(D368&lt;=25,"18-25",IF(D368&lt;=35,"26-35",IF(D368&lt;=45,"36-45",IF(D368&lt;=55,"46-55",IF(D368&lt;=65,"56-65","66-75")))))</f>
        <v>36-45</v>
      </c>
      <c r="W368" s="3">
        <v>5</v>
      </c>
    </row>
    <row r="369" spans="1:23">
      <c r="A369" s="5" t="s">
        <v>522</v>
      </c>
      <c r="B369" s="5" t="s">
        <v>523</v>
      </c>
      <c r="C369" s="6">
        <v>45036</v>
      </c>
      <c r="D369" s="8">
        <v>35</v>
      </c>
      <c r="E369" s="5" t="s">
        <v>20</v>
      </c>
      <c r="F369" s="5" t="s">
        <v>52</v>
      </c>
      <c r="G369" s="5" t="s">
        <v>53</v>
      </c>
      <c r="H369" s="7">
        <v>141.97999999999999</v>
      </c>
      <c r="I369" s="3">
        <v>1</v>
      </c>
      <c r="J369" s="33">
        <f>H369*I369</f>
        <v>141.97999999999999</v>
      </c>
      <c r="K369" s="4">
        <v>19.47</v>
      </c>
      <c r="L369" s="9">
        <f>IF(J369=0,0,K369/J369)</f>
        <v>0.1371319904211861</v>
      </c>
      <c r="M369" s="25">
        <v>122.51</v>
      </c>
      <c r="N369" s="5" t="s">
        <v>327</v>
      </c>
      <c r="O369" s="5" t="s">
        <v>33</v>
      </c>
      <c r="P369" s="3">
        <v>20</v>
      </c>
      <c r="Q369" s="3">
        <v>8</v>
      </c>
      <c r="R369" s="5" t="b">
        <v>0</v>
      </c>
      <c r="S369" s="5" t="str">
        <f>IF(R369=TRUE,"Returning Customer","New Customer")</f>
        <v>New Customer</v>
      </c>
      <c r="T369" s="3">
        <v>4</v>
      </c>
      <c r="U369" s="12" t="str">
        <f>IF(T369&lt;=3,"Fast",IF(T369&lt;=7,"Standard",IF(T369&lt;=14,"Slow","Very Slow")))</f>
        <v>Standard</v>
      </c>
      <c r="V369" s="10" t="str">
        <f>IF(D369&lt;=25,"18-25",IF(D369&lt;=35,"26-35",IF(D369&lt;=45,"36-45",IF(D369&lt;=55,"46-55",IF(D369&lt;=65,"56-65","66-75")))))</f>
        <v>26-35</v>
      </c>
      <c r="W369" s="3">
        <v>4</v>
      </c>
    </row>
    <row r="370" spans="1:23">
      <c r="A370" s="5" t="s">
        <v>957</v>
      </c>
      <c r="B370" s="5" t="s">
        <v>958</v>
      </c>
      <c r="C370" s="6">
        <v>45369</v>
      </c>
      <c r="D370" s="8">
        <v>36</v>
      </c>
      <c r="E370" s="5" t="s">
        <v>20</v>
      </c>
      <c r="F370" s="5" t="s">
        <v>32</v>
      </c>
      <c r="G370" s="5" t="s">
        <v>28</v>
      </c>
      <c r="H370" s="7">
        <v>140.33000000000001</v>
      </c>
      <c r="I370" s="3">
        <v>4</v>
      </c>
      <c r="J370" s="33">
        <f>H370*I370</f>
        <v>561.32000000000005</v>
      </c>
      <c r="K370" s="4">
        <v>0</v>
      </c>
      <c r="L370" s="9">
        <f>IF(J370=0,0,K370/J370)</f>
        <v>0</v>
      </c>
      <c r="M370" s="25">
        <v>561.32000000000005</v>
      </c>
      <c r="N370" s="5" t="s">
        <v>692</v>
      </c>
      <c r="O370" s="5" t="s">
        <v>33</v>
      </c>
      <c r="P370" s="3">
        <v>19</v>
      </c>
      <c r="Q370" s="3">
        <v>7</v>
      </c>
      <c r="R370" s="5" t="b">
        <v>0</v>
      </c>
      <c r="S370" s="5" t="str">
        <f>IF(R370=TRUE,"Returning Customer","New Customer")</f>
        <v>New Customer</v>
      </c>
      <c r="T370" s="3">
        <v>17</v>
      </c>
      <c r="U370" s="12" t="str">
        <f>IF(T370&lt;=3,"Fast",IF(T370&lt;=7,"Standard",IF(T370&lt;=14,"Slow","Very Slow")))</f>
        <v>Very Slow</v>
      </c>
      <c r="V370" s="10" t="str">
        <f>IF(D370&lt;=25,"18-25",IF(D370&lt;=35,"26-35",IF(D370&lt;=45,"36-45",IF(D370&lt;=55,"46-55",IF(D370&lt;=65,"56-65","66-75")))))</f>
        <v>36-45</v>
      </c>
      <c r="W370" s="3">
        <v>2</v>
      </c>
    </row>
    <row r="371" spans="1:23">
      <c r="A371" s="5" t="s">
        <v>1373</v>
      </c>
      <c r="B371" s="5" t="s">
        <v>1374</v>
      </c>
      <c r="C371" s="6">
        <v>45132</v>
      </c>
      <c r="D371" s="8">
        <v>25</v>
      </c>
      <c r="E371" s="5" t="s">
        <v>36</v>
      </c>
      <c r="F371" s="5" t="s">
        <v>49</v>
      </c>
      <c r="G371" s="5" t="s">
        <v>115</v>
      </c>
      <c r="H371" s="7">
        <v>75.87</v>
      </c>
      <c r="I371" s="3">
        <v>1</v>
      </c>
      <c r="J371" s="33">
        <f>H371*I371</f>
        <v>75.87</v>
      </c>
      <c r="K371" s="4">
        <v>13.41</v>
      </c>
      <c r="L371" s="9">
        <f>IF(J371=0,0,K371/J371)</f>
        <v>0.17674970344009489</v>
      </c>
      <c r="M371" s="25">
        <v>62.46</v>
      </c>
      <c r="N371" s="5" t="s">
        <v>1298</v>
      </c>
      <c r="O371" s="5" t="s">
        <v>33</v>
      </c>
      <c r="P371" s="3">
        <v>11</v>
      </c>
      <c r="Q371" s="3">
        <v>15</v>
      </c>
      <c r="R371" s="5" t="b">
        <v>1</v>
      </c>
      <c r="S371" s="5" t="str">
        <f>IF(R371=TRUE,"Returning Customer","New Customer")</f>
        <v>Returning Customer</v>
      </c>
      <c r="T371" s="3">
        <v>5</v>
      </c>
      <c r="U371" s="12" t="str">
        <f>IF(T371&lt;=3,"Fast",IF(T371&lt;=7,"Standard",IF(T371&lt;=14,"Slow","Very Slow")))</f>
        <v>Standard</v>
      </c>
      <c r="V371" s="10" t="str">
        <f>IF(D371&lt;=25,"18-25",IF(D371&lt;=35,"26-35",IF(D371&lt;=45,"36-45",IF(D371&lt;=55,"46-55",IF(D371&lt;=65,"56-65","66-75")))))</f>
        <v>18-25</v>
      </c>
      <c r="W371" s="3">
        <v>4</v>
      </c>
    </row>
    <row r="372" spans="1:23">
      <c r="A372" s="5" t="s">
        <v>203</v>
      </c>
      <c r="B372" s="5" t="s">
        <v>204</v>
      </c>
      <c r="C372" s="6">
        <v>44957</v>
      </c>
      <c r="D372" s="8">
        <v>35</v>
      </c>
      <c r="E372" s="5" t="s">
        <v>36</v>
      </c>
      <c r="F372" s="5" t="s">
        <v>76</v>
      </c>
      <c r="G372" s="5" t="s">
        <v>53</v>
      </c>
      <c r="H372" s="7">
        <v>51.94</v>
      </c>
      <c r="I372" s="3">
        <v>1</v>
      </c>
      <c r="J372" s="33">
        <f>H372*I372</f>
        <v>51.94</v>
      </c>
      <c r="K372" s="4">
        <v>14.38</v>
      </c>
      <c r="L372" s="9">
        <f>IF(J372=0,0,K372/J372)</f>
        <v>0.27685791297651141</v>
      </c>
      <c r="M372" s="25">
        <v>37.56</v>
      </c>
      <c r="N372" s="5" t="s">
        <v>23</v>
      </c>
      <c r="O372" s="5" t="s">
        <v>24</v>
      </c>
      <c r="P372" s="3">
        <v>1</v>
      </c>
      <c r="Q372" s="3">
        <v>8</v>
      </c>
      <c r="R372" s="5" t="b">
        <v>0</v>
      </c>
      <c r="S372" s="5" t="str">
        <f>IF(R372=TRUE,"Returning Customer","New Customer")</f>
        <v>New Customer</v>
      </c>
      <c r="T372" s="3">
        <v>7</v>
      </c>
      <c r="U372" s="12" t="str">
        <f>IF(T372&lt;=3,"Fast",IF(T372&lt;=7,"Standard",IF(T372&lt;=14,"Slow","Very Slow")))</f>
        <v>Standard</v>
      </c>
      <c r="V372" s="10" t="str">
        <f>IF(D372&lt;=25,"18-25",IF(D372&lt;=35,"26-35",IF(D372&lt;=45,"36-45",IF(D372&lt;=55,"46-55",IF(D372&lt;=65,"56-65","66-75")))))</f>
        <v>26-35</v>
      </c>
      <c r="W372" s="3">
        <v>3</v>
      </c>
    </row>
    <row r="373" spans="1:23">
      <c r="A373" s="5" t="s">
        <v>524</v>
      </c>
      <c r="B373" s="5" t="s">
        <v>525</v>
      </c>
      <c r="C373" s="6">
        <v>45011</v>
      </c>
      <c r="D373" s="8">
        <v>40</v>
      </c>
      <c r="E373" s="5" t="s">
        <v>36</v>
      </c>
      <c r="F373" s="5" t="s">
        <v>83</v>
      </c>
      <c r="G373" s="5" t="s">
        <v>53</v>
      </c>
      <c r="H373" s="7">
        <v>29.66</v>
      </c>
      <c r="I373" s="3">
        <v>1</v>
      </c>
      <c r="J373" s="33">
        <f>H373*I373</f>
        <v>29.66</v>
      </c>
      <c r="K373" s="4">
        <v>0</v>
      </c>
      <c r="L373" s="9">
        <f>IF(J373=0,0,K373/J373)</f>
        <v>0</v>
      </c>
      <c r="M373" s="25">
        <v>29.66</v>
      </c>
      <c r="N373" s="5" t="s">
        <v>327</v>
      </c>
      <c r="O373" s="5" t="s">
        <v>33</v>
      </c>
      <c r="P373" s="3">
        <v>20</v>
      </c>
      <c r="Q373" s="3">
        <v>8</v>
      </c>
      <c r="R373" s="5" t="b">
        <v>0</v>
      </c>
      <c r="S373" s="5" t="str">
        <f>IF(R373=TRUE,"Returning Customer","New Customer")</f>
        <v>New Customer</v>
      </c>
      <c r="T373" s="3">
        <v>3</v>
      </c>
      <c r="U373" s="12" t="str">
        <f>IF(T373&lt;=3,"Fast",IF(T373&lt;=7,"Standard",IF(T373&lt;=14,"Slow","Very Slow")))</f>
        <v>Fast</v>
      </c>
      <c r="V373" s="10" t="str">
        <f>IF(D373&lt;=25,"18-25",IF(D373&lt;=35,"26-35",IF(D373&lt;=45,"36-45",IF(D373&lt;=55,"46-55",IF(D373&lt;=65,"56-65","66-75")))))</f>
        <v>36-45</v>
      </c>
      <c r="W373" s="3">
        <v>5</v>
      </c>
    </row>
    <row r="374" spans="1:23">
      <c r="A374" s="5" t="s">
        <v>205</v>
      </c>
      <c r="B374" s="5" t="s">
        <v>206</v>
      </c>
      <c r="C374" s="6">
        <v>45121</v>
      </c>
      <c r="D374" s="8">
        <v>52</v>
      </c>
      <c r="E374" s="5" t="s">
        <v>36</v>
      </c>
      <c r="F374" s="5" t="s">
        <v>52</v>
      </c>
      <c r="G374" s="5" t="s">
        <v>56</v>
      </c>
      <c r="H374" s="7">
        <v>522.49</v>
      </c>
      <c r="I374" s="3">
        <v>1</v>
      </c>
      <c r="J374" s="33">
        <f>H374*I374</f>
        <v>522.49</v>
      </c>
      <c r="K374" s="4">
        <v>0</v>
      </c>
      <c r="L374" s="9">
        <f>IF(J374=0,0,K374/J374)</f>
        <v>0</v>
      </c>
      <c r="M374" s="25">
        <v>522.49</v>
      </c>
      <c r="N374" s="5" t="s">
        <v>23</v>
      </c>
      <c r="O374" s="5" t="s">
        <v>24</v>
      </c>
      <c r="P374" s="3">
        <v>25</v>
      </c>
      <c r="Q374" s="3">
        <v>9</v>
      </c>
      <c r="R374" s="5" t="b">
        <v>0</v>
      </c>
      <c r="S374" s="5" t="str">
        <f>IF(R374=TRUE,"Returning Customer","New Customer")</f>
        <v>New Customer</v>
      </c>
      <c r="T374" s="3">
        <v>5</v>
      </c>
      <c r="U374" s="12" t="str">
        <f>IF(T374&lt;=3,"Fast",IF(T374&lt;=7,"Standard",IF(T374&lt;=14,"Slow","Very Slow")))</f>
        <v>Standard</v>
      </c>
      <c r="V374" s="10" t="str">
        <f>IF(D374&lt;=25,"18-25",IF(D374&lt;=35,"26-35",IF(D374&lt;=45,"36-45",IF(D374&lt;=55,"46-55",IF(D374&lt;=65,"56-65","66-75")))))</f>
        <v>46-55</v>
      </c>
      <c r="W374" s="3">
        <v>1</v>
      </c>
    </row>
    <row r="375" spans="1:23">
      <c r="A375" s="5" t="s">
        <v>526</v>
      </c>
      <c r="B375" s="5" t="s">
        <v>527</v>
      </c>
      <c r="C375" s="6">
        <v>44928</v>
      </c>
      <c r="D375" s="8">
        <v>46</v>
      </c>
      <c r="E375" s="5" t="s">
        <v>36</v>
      </c>
      <c r="F375" s="5" t="s">
        <v>73</v>
      </c>
      <c r="G375" s="5" t="s">
        <v>46</v>
      </c>
      <c r="H375" s="7">
        <v>431.85</v>
      </c>
      <c r="I375" s="3">
        <v>1</v>
      </c>
      <c r="J375" s="33">
        <f>H375*I375</f>
        <v>431.85</v>
      </c>
      <c r="K375" s="4">
        <v>0</v>
      </c>
      <c r="L375" s="9">
        <f>IF(J375=0,0,K375/J375)</f>
        <v>0</v>
      </c>
      <c r="M375" s="25">
        <v>431.85</v>
      </c>
      <c r="N375" s="5" t="s">
        <v>327</v>
      </c>
      <c r="O375" s="5" t="s">
        <v>33</v>
      </c>
      <c r="P375" s="3">
        <v>27</v>
      </c>
      <c r="Q375" s="3">
        <v>11</v>
      </c>
      <c r="R375" s="5" t="b">
        <v>1</v>
      </c>
      <c r="S375" s="5" t="str">
        <f>IF(R375=TRUE,"Returning Customer","New Customer")</f>
        <v>Returning Customer</v>
      </c>
      <c r="T375" s="3">
        <v>6</v>
      </c>
      <c r="U375" s="12" t="str">
        <f>IF(T375&lt;=3,"Fast",IF(T375&lt;=7,"Standard",IF(T375&lt;=14,"Slow","Very Slow")))</f>
        <v>Standard</v>
      </c>
      <c r="V375" s="10" t="str">
        <f>IF(D375&lt;=25,"18-25",IF(D375&lt;=35,"26-35",IF(D375&lt;=45,"36-45",IF(D375&lt;=55,"46-55",IF(D375&lt;=65,"56-65","66-75")))))</f>
        <v>46-55</v>
      </c>
      <c r="W375" s="3">
        <v>4</v>
      </c>
    </row>
    <row r="376" spans="1:23">
      <c r="A376" s="5" t="s">
        <v>959</v>
      </c>
      <c r="B376" s="5" t="s">
        <v>960</v>
      </c>
      <c r="C376" s="6">
        <v>45126</v>
      </c>
      <c r="D376" s="8">
        <v>60</v>
      </c>
      <c r="E376" s="5" t="s">
        <v>20</v>
      </c>
      <c r="F376" s="5" t="s">
        <v>88</v>
      </c>
      <c r="G376" s="5" t="s">
        <v>28</v>
      </c>
      <c r="H376" s="7">
        <v>32.18</v>
      </c>
      <c r="I376" s="3">
        <v>1</v>
      </c>
      <c r="J376" s="33">
        <f>H376*I376</f>
        <v>32.18</v>
      </c>
      <c r="K376" s="4">
        <v>0</v>
      </c>
      <c r="L376" s="9">
        <f>IF(J376=0,0,K376/J376)</f>
        <v>0</v>
      </c>
      <c r="M376" s="25">
        <v>32.18</v>
      </c>
      <c r="N376" s="5" t="s">
        <v>692</v>
      </c>
      <c r="O376" s="5" t="s">
        <v>33</v>
      </c>
      <c r="P376" s="3">
        <v>5</v>
      </c>
      <c r="Q376" s="3">
        <v>14</v>
      </c>
      <c r="R376" s="5" t="b">
        <v>0</v>
      </c>
      <c r="S376" s="5" t="str">
        <f>IF(R376=TRUE,"Returning Customer","New Customer")</f>
        <v>New Customer</v>
      </c>
      <c r="T376" s="3">
        <v>6</v>
      </c>
      <c r="U376" s="12" t="str">
        <f>IF(T376&lt;=3,"Fast",IF(T376&lt;=7,"Standard",IF(T376&lt;=14,"Slow","Very Slow")))</f>
        <v>Standard</v>
      </c>
      <c r="V376" s="10" t="str">
        <f>IF(D376&lt;=25,"18-25",IF(D376&lt;=35,"26-35",IF(D376&lt;=45,"36-45",IF(D376&lt;=55,"46-55",IF(D376&lt;=65,"56-65","66-75")))))</f>
        <v>56-65</v>
      </c>
      <c r="W376" s="3">
        <v>2</v>
      </c>
    </row>
    <row r="377" spans="1:23">
      <c r="A377" s="5" t="s">
        <v>961</v>
      </c>
      <c r="B377" s="5" t="s">
        <v>962</v>
      </c>
      <c r="C377" s="6">
        <v>45062</v>
      </c>
      <c r="D377" s="8">
        <v>25</v>
      </c>
      <c r="E377" s="5" t="s">
        <v>20</v>
      </c>
      <c r="F377" s="5" t="s">
        <v>32</v>
      </c>
      <c r="G377" s="5" t="s">
        <v>46</v>
      </c>
      <c r="H377" s="7">
        <v>541.58000000000004</v>
      </c>
      <c r="I377" s="3">
        <v>3</v>
      </c>
      <c r="J377" s="33">
        <f>H377*I377</f>
        <v>1624.7400000000002</v>
      </c>
      <c r="K377" s="4">
        <v>0</v>
      </c>
      <c r="L377" s="9">
        <f>IF(J377=0,0,K377/J377)</f>
        <v>0</v>
      </c>
      <c r="M377" s="25">
        <v>1624.74</v>
      </c>
      <c r="N377" s="5" t="s">
        <v>692</v>
      </c>
      <c r="O377" s="5" t="s">
        <v>24</v>
      </c>
      <c r="P377" s="3">
        <v>3</v>
      </c>
      <c r="Q377" s="3">
        <v>7</v>
      </c>
      <c r="R377" s="5" t="b">
        <v>1</v>
      </c>
      <c r="S377" s="5" t="str">
        <f>IF(R377=TRUE,"Returning Customer","New Customer")</f>
        <v>Returning Customer</v>
      </c>
      <c r="T377" s="3">
        <v>1</v>
      </c>
      <c r="U377" s="12" t="str">
        <f>IF(T377&lt;=3,"Fast",IF(T377&lt;=7,"Standard",IF(T377&lt;=14,"Slow","Very Slow")))</f>
        <v>Fast</v>
      </c>
      <c r="V377" s="10" t="str">
        <f>IF(D377&lt;=25,"18-25",IF(D377&lt;=35,"26-35",IF(D377&lt;=45,"36-45",IF(D377&lt;=55,"46-55",IF(D377&lt;=65,"56-65","66-75")))))</f>
        <v>18-25</v>
      </c>
      <c r="W377" s="3">
        <v>1</v>
      </c>
    </row>
    <row r="378" spans="1:23">
      <c r="A378" s="5" t="s">
        <v>528</v>
      </c>
      <c r="B378" s="5" t="s">
        <v>529</v>
      </c>
      <c r="C378" s="6">
        <v>45328</v>
      </c>
      <c r="D378" s="8">
        <v>45</v>
      </c>
      <c r="E378" s="5" t="s">
        <v>36</v>
      </c>
      <c r="F378" s="5" t="s">
        <v>49</v>
      </c>
      <c r="G378" s="5" t="s">
        <v>46</v>
      </c>
      <c r="H378" s="7">
        <v>801.16</v>
      </c>
      <c r="I378" s="3">
        <v>1</v>
      </c>
      <c r="J378" s="33">
        <f>H378*I378</f>
        <v>801.16</v>
      </c>
      <c r="K378" s="4">
        <v>0</v>
      </c>
      <c r="L378" s="9">
        <f>IF(J378=0,0,K378/J378)</f>
        <v>0</v>
      </c>
      <c r="M378" s="25">
        <v>801.16</v>
      </c>
      <c r="N378" s="5" t="s">
        <v>327</v>
      </c>
      <c r="O378" s="5" t="s">
        <v>33</v>
      </c>
      <c r="P378" s="3">
        <v>10</v>
      </c>
      <c r="Q378" s="3">
        <v>12</v>
      </c>
      <c r="R378" s="5" t="b">
        <v>1</v>
      </c>
      <c r="S378" s="5" t="str">
        <f>IF(R378=TRUE,"Returning Customer","New Customer")</f>
        <v>Returning Customer</v>
      </c>
      <c r="T378" s="3">
        <v>5</v>
      </c>
      <c r="U378" s="12" t="str">
        <f>IF(T378&lt;=3,"Fast",IF(T378&lt;=7,"Standard",IF(T378&lt;=14,"Slow","Very Slow")))</f>
        <v>Standard</v>
      </c>
      <c r="V378" s="10" t="str">
        <f>IF(D378&lt;=25,"18-25",IF(D378&lt;=35,"26-35",IF(D378&lt;=45,"36-45",IF(D378&lt;=55,"46-55",IF(D378&lt;=65,"56-65","66-75")))))</f>
        <v>36-45</v>
      </c>
      <c r="W378" s="3">
        <v>5</v>
      </c>
    </row>
    <row r="379" spans="1:23">
      <c r="A379" s="5" t="s">
        <v>963</v>
      </c>
      <c r="B379" s="5" t="s">
        <v>964</v>
      </c>
      <c r="C379" s="6">
        <v>45328</v>
      </c>
      <c r="D379" s="8">
        <v>37</v>
      </c>
      <c r="E379" s="5" t="s">
        <v>36</v>
      </c>
      <c r="F379" s="5" t="s">
        <v>21</v>
      </c>
      <c r="G379" s="5" t="s">
        <v>56</v>
      </c>
      <c r="H379" s="7">
        <v>239.81</v>
      </c>
      <c r="I379" s="3">
        <v>5</v>
      </c>
      <c r="J379" s="33">
        <f>H379*I379</f>
        <v>1199.05</v>
      </c>
      <c r="K379" s="4">
        <v>0</v>
      </c>
      <c r="L379" s="9">
        <f>IF(J379=0,0,K379/J379)</f>
        <v>0</v>
      </c>
      <c r="M379" s="25">
        <v>1199.05</v>
      </c>
      <c r="N379" s="5" t="s">
        <v>692</v>
      </c>
      <c r="O379" s="5" t="s">
        <v>24</v>
      </c>
      <c r="P379" s="3">
        <v>18</v>
      </c>
      <c r="Q379" s="3">
        <v>8</v>
      </c>
      <c r="R379" s="5" t="b">
        <v>1</v>
      </c>
      <c r="S379" s="5" t="str">
        <f>IF(R379=TRUE,"Returning Customer","New Customer")</f>
        <v>Returning Customer</v>
      </c>
      <c r="T379" s="3">
        <v>10</v>
      </c>
      <c r="U379" s="12" t="str">
        <f>IF(T379&lt;=3,"Fast",IF(T379&lt;=7,"Standard",IF(T379&lt;=14,"Slow","Very Slow")))</f>
        <v>Slow</v>
      </c>
      <c r="V379" s="10" t="str">
        <f>IF(D379&lt;=25,"18-25",IF(D379&lt;=35,"26-35",IF(D379&lt;=45,"36-45",IF(D379&lt;=55,"46-55",IF(D379&lt;=65,"56-65","66-75")))))</f>
        <v>36-45</v>
      </c>
      <c r="W379" s="3">
        <v>5</v>
      </c>
    </row>
    <row r="380" spans="1:23">
      <c r="A380" s="5" t="s">
        <v>530</v>
      </c>
      <c r="B380" s="5" t="s">
        <v>531</v>
      </c>
      <c r="C380" s="6">
        <v>45159</v>
      </c>
      <c r="D380" s="8">
        <v>61</v>
      </c>
      <c r="E380" s="5" t="s">
        <v>36</v>
      </c>
      <c r="F380" s="5" t="s">
        <v>32</v>
      </c>
      <c r="G380" s="5" t="s">
        <v>53</v>
      </c>
      <c r="H380" s="7">
        <v>74.709999999999994</v>
      </c>
      <c r="I380" s="3">
        <v>1</v>
      </c>
      <c r="J380" s="33">
        <f>H380*I380</f>
        <v>74.709999999999994</v>
      </c>
      <c r="K380" s="4">
        <v>3.75</v>
      </c>
      <c r="L380" s="9">
        <f>IF(J380=0,0,K380/J380)</f>
        <v>5.0194083790657214E-2</v>
      </c>
      <c r="M380" s="25">
        <v>70.959999999999994</v>
      </c>
      <c r="N380" s="5" t="s">
        <v>327</v>
      </c>
      <c r="O380" s="5" t="s">
        <v>33</v>
      </c>
      <c r="P380" s="3">
        <v>20</v>
      </c>
      <c r="Q380" s="3">
        <v>7</v>
      </c>
      <c r="R380" s="5" t="b">
        <v>1</v>
      </c>
      <c r="S380" s="5" t="str">
        <f>IF(R380=TRUE,"Returning Customer","New Customer")</f>
        <v>Returning Customer</v>
      </c>
      <c r="T380" s="3">
        <v>2</v>
      </c>
      <c r="U380" s="12" t="str">
        <f>IF(T380&lt;=3,"Fast",IF(T380&lt;=7,"Standard",IF(T380&lt;=14,"Slow","Very Slow")))</f>
        <v>Fast</v>
      </c>
      <c r="V380" s="10" t="str">
        <f>IF(D380&lt;=25,"18-25",IF(D380&lt;=35,"26-35",IF(D380&lt;=45,"36-45",IF(D380&lt;=55,"46-55",IF(D380&lt;=65,"56-65","66-75")))))</f>
        <v>56-65</v>
      </c>
      <c r="W380" s="3">
        <v>4</v>
      </c>
    </row>
    <row r="381" spans="1:23">
      <c r="A381" s="5" t="s">
        <v>207</v>
      </c>
      <c r="B381" s="5" t="s">
        <v>208</v>
      </c>
      <c r="C381" s="6">
        <v>45073</v>
      </c>
      <c r="D381" s="8">
        <v>25</v>
      </c>
      <c r="E381" s="5" t="s">
        <v>20</v>
      </c>
      <c r="F381" s="5" t="s">
        <v>21</v>
      </c>
      <c r="G381" s="5" t="s">
        <v>37</v>
      </c>
      <c r="H381" s="7">
        <v>188.29</v>
      </c>
      <c r="I381" s="3">
        <v>5</v>
      </c>
      <c r="J381" s="33">
        <f>H381*I381</f>
        <v>941.44999999999993</v>
      </c>
      <c r="K381" s="4">
        <v>0</v>
      </c>
      <c r="L381" s="9">
        <f>IF(J381=0,0,K381/J381)</f>
        <v>0</v>
      </c>
      <c r="M381" s="25">
        <v>941.45</v>
      </c>
      <c r="N381" s="5" t="s">
        <v>23</v>
      </c>
      <c r="O381" s="5" t="s">
        <v>33</v>
      </c>
      <c r="P381" s="3">
        <v>10</v>
      </c>
      <c r="Q381" s="3">
        <v>11</v>
      </c>
      <c r="R381" s="5" t="b">
        <v>0</v>
      </c>
      <c r="S381" s="5" t="str">
        <f>IF(R381=TRUE,"Returning Customer","New Customer")</f>
        <v>New Customer</v>
      </c>
      <c r="T381" s="3">
        <v>18</v>
      </c>
      <c r="U381" s="12" t="str">
        <f>IF(T381&lt;=3,"Fast",IF(T381&lt;=7,"Standard",IF(T381&lt;=14,"Slow","Very Slow")))</f>
        <v>Very Slow</v>
      </c>
      <c r="V381" s="10" t="str">
        <f>IF(D381&lt;=25,"18-25",IF(D381&lt;=35,"26-35",IF(D381&lt;=45,"36-45",IF(D381&lt;=55,"46-55",IF(D381&lt;=65,"56-65","66-75")))))</f>
        <v>18-25</v>
      </c>
      <c r="W381" s="3">
        <v>3</v>
      </c>
    </row>
    <row r="382" spans="1:23">
      <c r="A382" s="5" t="s">
        <v>965</v>
      </c>
      <c r="B382" s="5" t="s">
        <v>966</v>
      </c>
      <c r="C382" s="6">
        <v>45143</v>
      </c>
      <c r="D382" s="8">
        <v>24</v>
      </c>
      <c r="E382" s="5" t="s">
        <v>20</v>
      </c>
      <c r="F382" s="5" t="s">
        <v>32</v>
      </c>
      <c r="G382" s="5" t="s">
        <v>46</v>
      </c>
      <c r="H382" s="7">
        <v>398.34</v>
      </c>
      <c r="I382" s="3">
        <v>2</v>
      </c>
      <c r="J382" s="33">
        <f>H382*I382</f>
        <v>796.68</v>
      </c>
      <c r="K382" s="4">
        <v>0</v>
      </c>
      <c r="L382" s="9">
        <f>IF(J382=0,0,K382/J382)</f>
        <v>0</v>
      </c>
      <c r="M382" s="25">
        <v>796.68</v>
      </c>
      <c r="N382" s="5" t="s">
        <v>692</v>
      </c>
      <c r="O382" s="5" t="s">
        <v>33</v>
      </c>
      <c r="P382" s="3">
        <v>12</v>
      </c>
      <c r="Q382" s="3">
        <v>7</v>
      </c>
      <c r="R382" s="5" t="b">
        <v>0</v>
      </c>
      <c r="S382" s="5" t="str">
        <f>IF(R382=TRUE,"Returning Customer","New Customer")</f>
        <v>New Customer</v>
      </c>
      <c r="T382" s="3">
        <v>7</v>
      </c>
      <c r="U382" s="12" t="str">
        <f>IF(T382&lt;=3,"Fast",IF(T382&lt;=7,"Standard",IF(T382&lt;=14,"Slow","Very Slow")))</f>
        <v>Standard</v>
      </c>
      <c r="V382" s="10" t="str">
        <f>IF(D382&lt;=25,"18-25",IF(D382&lt;=35,"26-35",IF(D382&lt;=45,"36-45",IF(D382&lt;=55,"46-55",IF(D382&lt;=65,"56-65","66-75")))))</f>
        <v>18-25</v>
      </c>
      <c r="W382" s="3">
        <v>5</v>
      </c>
    </row>
    <row r="383" spans="1:23">
      <c r="A383" s="5" t="s">
        <v>967</v>
      </c>
      <c r="B383" s="5" t="s">
        <v>968</v>
      </c>
      <c r="C383" s="6">
        <v>45283</v>
      </c>
      <c r="D383" s="8">
        <v>27</v>
      </c>
      <c r="E383" s="5" t="s">
        <v>20</v>
      </c>
      <c r="F383" s="5" t="s">
        <v>49</v>
      </c>
      <c r="G383" s="5" t="s">
        <v>115</v>
      </c>
      <c r="H383" s="7">
        <v>186.71</v>
      </c>
      <c r="I383" s="3">
        <v>4</v>
      </c>
      <c r="J383" s="33">
        <f>H383*I383</f>
        <v>746.84</v>
      </c>
      <c r="K383" s="4">
        <v>0</v>
      </c>
      <c r="L383" s="9">
        <f>IF(J383=0,0,K383/J383)</f>
        <v>0</v>
      </c>
      <c r="M383" s="25">
        <v>746.84</v>
      </c>
      <c r="N383" s="5" t="s">
        <v>692</v>
      </c>
      <c r="O383" s="5" t="s">
        <v>24</v>
      </c>
      <c r="P383" s="3">
        <v>12</v>
      </c>
      <c r="Q383" s="3">
        <v>6</v>
      </c>
      <c r="R383" s="5" t="b">
        <v>1</v>
      </c>
      <c r="S383" s="5" t="str">
        <f>IF(R383=TRUE,"Returning Customer","New Customer")</f>
        <v>Returning Customer</v>
      </c>
      <c r="T383" s="3">
        <v>7</v>
      </c>
      <c r="U383" s="12" t="str">
        <f>IF(T383&lt;=3,"Fast",IF(T383&lt;=7,"Standard",IF(T383&lt;=14,"Slow","Very Slow")))</f>
        <v>Standard</v>
      </c>
      <c r="V383" s="10" t="str">
        <f>IF(D383&lt;=25,"18-25",IF(D383&lt;=35,"26-35",IF(D383&lt;=45,"36-45",IF(D383&lt;=55,"46-55",IF(D383&lt;=65,"56-65","66-75")))))</f>
        <v>26-35</v>
      </c>
      <c r="W383" s="3">
        <v>5</v>
      </c>
    </row>
    <row r="384" spans="1:23">
      <c r="A384" s="5" t="s">
        <v>209</v>
      </c>
      <c r="B384" s="5" t="s">
        <v>210</v>
      </c>
      <c r="C384" s="6">
        <v>45301</v>
      </c>
      <c r="D384" s="8">
        <v>18</v>
      </c>
      <c r="E384" s="5" t="s">
        <v>20</v>
      </c>
      <c r="F384" s="5" t="s">
        <v>52</v>
      </c>
      <c r="G384" s="5" t="s">
        <v>37</v>
      </c>
      <c r="H384" s="7">
        <v>113.03</v>
      </c>
      <c r="I384" s="3">
        <v>3</v>
      </c>
      <c r="J384" s="33">
        <f>H384*I384</f>
        <v>339.09000000000003</v>
      </c>
      <c r="K384" s="4">
        <v>0</v>
      </c>
      <c r="L384" s="9">
        <f>IF(J384=0,0,K384/J384)</f>
        <v>0</v>
      </c>
      <c r="M384" s="25">
        <v>339.09</v>
      </c>
      <c r="N384" s="5" t="s">
        <v>23</v>
      </c>
      <c r="O384" s="5" t="s">
        <v>24</v>
      </c>
      <c r="P384" s="3">
        <v>6</v>
      </c>
      <c r="Q384" s="3">
        <v>10</v>
      </c>
      <c r="R384" s="5" t="b">
        <v>0</v>
      </c>
      <c r="S384" s="5" t="str">
        <f>IF(R384=TRUE,"Returning Customer","New Customer")</f>
        <v>New Customer</v>
      </c>
      <c r="T384" s="3">
        <v>2</v>
      </c>
      <c r="U384" s="12" t="str">
        <f>IF(T384&lt;=3,"Fast",IF(T384&lt;=7,"Standard",IF(T384&lt;=14,"Slow","Very Slow")))</f>
        <v>Fast</v>
      </c>
      <c r="V384" s="10" t="str">
        <f>IF(D384&lt;=25,"18-25",IF(D384&lt;=35,"26-35",IF(D384&lt;=45,"36-45",IF(D384&lt;=55,"46-55",IF(D384&lt;=65,"56-65","66-75")))))</f>
        <v>18-25</v>
      </c>
      <c r="W384" s="3">
        <v>5</v>
      </c>
    </row>
    <row r="385" spans="1:23">
      <c r="A385" s="5" t="s">
        <v>532</v>
      </c>
      <c r="B385" s="5" t="s">
        <v>533</v>
      </c>
      <c r="C385" s="6">
        <v>45328</v>
      </c>
      <c r="D385" s="8">
        <v>28</v>
      </c>
      <c r="E385" s="5" t="s">
        <v>20</v>
      </c>
      <c r="F385" s="5" t="s">
        <v>52</v>
      </c>
      <c r="G385" s="5" t="s">
        <v>37</v>
      </c>
      <c r="H385" s="7">
        <v>27.22</v>
      </c>
      <c r="I385" s="3">
        <v>4</v>
      </c>
      <c r="J385" s="33">
        <f>H385*I385</f>
        <v>108.88</v>
      </c>
      <c r="K385" s="4">
        <v>5.68</v>
      </c>
      <c r="L385" s="9">
        <f>IF(J385=0,0,K385/J385)</f>
        <v>5.2167523879500369E-2</v>
      </c>
      <c r="M385" s="25">
        <v>103.2</v>
      </c>
      <c r="N385" s="5" t="s">
        <v>327</v>
      </c>
      <c r="O385" s="5" t="s">
        <v>33</v>
      </c>
      <c r="P385" s="3">
        <v>17</v>
      </c>
      <c r="Q385" s="3">
        <v>10</v>
      </c>
      <c r="R385" s="5" t="b">
        <v>1</v>
      </c>
      <c r="S385" s="5" t="str">
        <f>IF(R385=TRUE,"Returning Customer","New Customer")</f>
        <v>Returning Customer</v>
      </c>
      <c r="T385" s="3">
        <v>7</v>
      </c>
      <c r="U385" s="12" t="str">
        <f>IF(T385&lt;=3,"Fast",IF(T385&lt;=7,"Standard",IF(T385&lt;=14,"Slow","Very Slow")))</f>
        <v>Standard</v>
      </c>
      <c r="V385" s="10" t="str">
        <f>IF(D385&lt;=25,"18-25",IF(D385&lt;=35,"26-35",IF(D385&lt;=45,"36-45",IF(D385&lt;=55,"46-55",IF(D385&lt;=65,"56-65","66-75")))))</f>
        <v>26-35</v>
      </c>
      <c r="W385" s="3">
        <v>4</v>
      </c>
    </row>
    <row r="386" spans="1:23">
      <c r="A386" s="5" t="s">
        <v>969</v>
      </c>
      <c r="B386" s="5" t="s">
        <v>970</v>
      </c>
      <c r="C386" s="6">
        <v>45211</v>
      </c>
      <c r="D386" s="8">
        <v>25</v>
      </c>
      <c r="E386" s="5" t="s">
        <v>36</v>
      </c>
      <c r="F386" s="5" t="s">
        <v>32</v>
      </c>
      <c r="G386" s="5" t="s">
        <v>56</v>
      </c>
      <c r="H386" s="7">
        <v>204.07</v>
      </c>
      <c r="I386" s="3">
        <v>5</v>
      </c>
      <c r="J386" s="33">
        <f>H386*I386</f>
        <v>1020.3499999999999</v>
      </c>
      <c r="K386" s="4">
        <v>0</v>
      </c>
      <c r="L386" s="9">
        <f>IF(J386=0,0,K386/J386)</f>
        <v>0</v>
      </c>
      <c r="M386" s="25">
        <v>1020.35</v>
      </c>
      <c r="N386" s="5" t="s">
        <v>692</v>
      </c>
      <c r="O386" s="5" t="s">
        <v>33</v>
      </c>
      <c r="P386" s="3">
        <v>35</v>
      </c>
      <c r="Q386" s="3">
        <v>9</v>
      </c>
      <c r="R386" s="5" t="b">
        <v>1</v>
      </c>
      <c r="S386" s="5" t="str">
        <f>IF(R386=TRUE,"Returning Customer","New Customer")</f>
        <v>Returning Customer</v>
      </c>
      <c r="T386" s="3">
        <v>6</v>
      </c>
      <c r="U386" s="12" t="str">
        <f>IF(T386&lt;=3,"Fast",IF(T386&lt;=7,"Standard",IF(T386&lt;=14,"Slow","Very Slow")))</f>
        <v>Standard</v>
      </c>
      <c r="V386" s="10" t="str">
        <f>IF(D386&lt;=25,"18-25",IF(D386&lt;=35,"26-35",IF(D386&lt;=45,"36-45",IF(D386&lt;=55,"46-55",IF(D386&lt;=65,"56-65","66-75")))))</f>
        <v>18-25</v>
      </c>
      <c r="W386" s="3">
        <v>2</v>
      </c>
    </row>
    <row r="387" spans="1:23">
      <c r="A387" s="5" t="s">
        <v>211</v>
      </c>
      <c r="B387" s="5" t="s">
        <v>212</v>
      </c>
      <c r="C387" s="6">
        <v>45265</v>
      </c>
      <c r="D387" s="8">
        <v>36</v>
      </c>
      <c r="E387" s="5" t="s">
        <v>20</v>
      </c>
      <c r="F387" s="5" t="s">
        <v>88</v>
      </c>
      <c r="G387" s="5" t="s">
        <v>115</v>
      </c>
      <c r="H387" s="7">
        <v>74.34</v>
      </c>
      <c r="I387" s="3">
        <v>4</v>
      </c>
      <c r="J387" s="33">
        <f>H387*I387</f>
        <v>297.36</v>
      </c>
      <c r="K387" s="4">
        <v>0</v>
      </c>
      <c r="L387" s="9">
        <f>IF(J387=0,0,K387/J387)</f>
        <v>0</v>
      </c>
      <c r="M387" s="25">
        <v>297.36</v>
      </c>
      <c r="N387" s="5" t="s">
        <v>23</v>
      </c>
      <c r="O387" s="5" t="s">
        <v>33</v>
      </c>
      <c r="P387" s="3">
        <v>16</v>
      </c>
      <c r="Q387" s="3">
        <v>13</v>
      </c>
      <c r="R387" s="5" t="b">
        <v>1</v>
      </c>
      <c r="S387" s="5" t="str">
        <f>IF(R387=TRUE,"Returning Customer","New Customer")</f>
        <v>Returning Customer</v>
      </c>
      <c r="T387" s="3">
        <v>2</v>
      </c>
      <c r="U387" s="12" t="str">
        <f>IF(T387&lt;=3,"Fast",IF(T387&lt;=7,"Standard",IF(T387&lt;=14,"Slow","Very Slow")))</f>
        <v>Fast</v>
      </c>
      <c r="V387" s="10" t="str">
        <f>IF(D387&lt;=25,"18-25",IF(D387&lt;=35,"26-35",IF(D387&lt;=45,"36-45",IF(D387&lt;=55,"46-55",IF(D387&lt;=65,"56-65","66-75")))))</f>
        <v>36-45</v>
      </c>
      <c r="W387" s="3">
        <v>2</v>
      </c>
    </row>
    <row r="388" spans="1:23">
      <c r="A388" s="5" t="s">
        <v>213</v>
      </c>
      <c r="B388" s="5" t="s">
        <v>214</v>
      </c>
      <c r="C388" s="6">
        <v>45294</v>
      </c>
      <c r="D388" s="8">
        <v>39</v>
      </c>
      <c r="E388" s="5" t="s">
        <v>36</v>
      </c>
      <c r="F388" s="5" t="s">
        <v>21</v>
      </c>
      <c r="G388" s="5" t="s">
        <v>56</v>
      </c>
      <c r="H388" s="7">
        <v>907.02</v>
      </c>
      <c r="I388" s="3">
        <v>2</v>
      </c>
      <c r="J388" s="33">
        <f>H388*I388</f>
        <v>1814.04</v>
      </c>
      <c r="K388" s="4">
        <v>248.01</v>
      </c>
      <c r="L388" s="9">
        <f>IF(J388=0,0,K388/J388)</f>
        <v>0.13671694119203545</v>
      </c>
      <c r="M388" s="25">
        <v>1566.03</v>
      </c>
      <c r="N388" s="5" t="s">
        <v>23</v>
      </c>
      <c r="O388" s="5" t="s">
        <v>33</v>
      </c>
      <c r="P388" s="3">
        <v>22</v>
      </c>
      <c r="Q388" s="3">
        <v>9</v>
      </c>
      <c r="R388" s="5" t="b">
        <v>1</v>
      </c>
      <c r="S388" s="5" t="str">
        <f>IF(R388=TRUE,"Returning Customer","New Customer")</f>
        <v>Returning Customer</v>
      </c>
      <c r="T388" s="3">
        <v>11</v>
      </c>
      <c r="U388" s="12" t="str">
        <f>IF(T388&lt;=3,"Fast",IF(T388&lt;=7,"Standard",IF(T388&lt;=14,"Slow","Very Slow")))</f>
        <v>Slow</v>
      </c>
      <c r="V388" s="10" t="str">
        <f>IF(D388&lt;=25,"18-25",IF(D388&lt;=35,"26-35",IF(D388&lt;=45,"36-45",IF(D388&lt;=55,"46-55",IF(D388&lt;=65,"56-65","66-75")))))</f>
        <v>36-45</v>
      </c>
      <c r="W388" s="3">
        <v>5</v>
      </c>
    </row>
    <row r="389" spans="1:23">
      <c r="A389" s="5" t="s">
        <v>971</v>
      </c>
      <c r="B389" s="5" t="s">
        <v>972</v>
      </c>
      <c r="C389" s="6">
        <v>45176</v>
      </c>
      <c r="D389" s="8">
        <v>57</v>
      </c>
      <c r="E389" s="5" t="s">
        <v>20</v>
      </c>
      <c r="F389" s="5" t="s">
        <v>73</v>
      </c>
      <c r="G389" s="5" t="s">
        <v>22</v>
      </c>
      <c r="H389" s="7">
        <v>250.04</v>
      </c>
      <c r="I389" s="3">
        <v>4</v>
      </c>
      <c r="J389" s="33">
        <f>H389*I389</f>
        <v>1000.16</v>
      </c>
      <c r="K389" s="4">
        <v>0</v>
      </c>
      <c r="L389" s="9">
        <f>IF(J389=0,0,K389/J389)</f>
        <v>0</v>
      </c>
      <c r="M389" s="25">
        <v>1000.16</v>
      </c>
      <c r="N389" s="5" t="s">
        <v>692</v>
      </c>
      <c r="O389" s="5" t="s">
        <v>33</v>
      </c>
      <c r="P389" s="3">
        <v>9</v>
      </c>
      <c r="Q389" s="3">
        <v>15</v>
      </c>
      <c r="R389" s="5" t="b">
        <v>1</v>
      </c>
      <c r="S389" s="5" t="str">
        <f>IF(R389=TRUE,"Returning Customer","New Customer")</f>
        <v>Returning Customer</v>
      </c>
      <c r="T389" s="3">
        <v>4</v>
      </c>
      <c r="U389" s="12" t="str">
        <f>IF(T389&lt;=3,"Fast",IF(T389&lt;=7,"Standard",IF(T389&lt;=14,"Slow","Very Slow")))</f>
        <v>Standard</v>
      </c>
      <c r="V389" s="10" t="str">
        <f>IF(D389&lt;=25,"18-25",IF(D389&lt;=35,"26-35",IF(D389&lt;=45,"36-45",IF(D389&lt;=55,"46-55",IF(D389&lt;=65,"56-65","66-75")))))</f>
        <v>56-65</v>
      </c>
      <c r="W389" s="3">
        <v>5</v>
      </c>
    </row>
    <row r="390" spans="1:23">
      <c r="A390" s="5" t="s">
        <v>973</v>
      </c>
      <c r="B390" s="5" t="s">
        <v>974</v>
      </c>
      <c r="C390" s="6">
        <v>45006</v>
      </c>
      <c r="D390" s="8">
        <v>46</v>
      </c>
      <c r="E390" s="5" t="s">
        <v>36</v>
      </c>
      <c r="F390" s="5" t="s">
        <v>73</v>
      </c>
      <c r="G390" s="5" t="s">
        <v>28</v>
      </c>
      <c r="H390" s="7">
        <v>176.72</v>
      </c>
      <c r="I390" s="3">
        <v>4</v>
      </c>
      <c r="J390" s="33">
        <f>H390*I390</f>
        <v>706.88</v>
      </c>
      <c r="K390" s="4">
        <v>0</v>
      </c>
      <c r="L390" s="9">
        <f>IF(J390=0,0,K390/J390)</f>
        <v>0</v>
      </c>
      <c r="M390" s="25">
        <v>706.88</v>
      </c>
      <c r="N390" s="5" t="s">
        <v>692</v>
      </c>
      <c r="O390" s="5" t="s">
        <v>33</v>
      </c>
      <c r="P390" s="3">
        <v>10</v>
      </c>
      <c r="Q390" s="3">
        <v>12</v>
      </c>
      <c r="R390" s="5" t="b">
        <v>1</v>
      </c>
      <c r="S390" s="5" t="str">
        <f>IF(R390=TRUE,"Returning Customer","New Customer")</f>
        <v>Returning Customer</v>
      </c>
      <c r="T390" s="3">
        <v>5</v>
      </c>
      <c r="U390" s="12" t="str">
        <f>IF(T390&lt;=3,"Fast",IF(T390&lt;=7,"Standard",IF(T390&lt;=14,"Slow","Very Slow")))</f>
        <v>Standard</v>
      </c>
      <c r="V390" s="10" t="str">
        <f>IF(D390&lt;=25,"18-25",IF(D390&lt;=35,"26-35",IF(D390&lt;=45,"36-45",IF(D390&lt;=55,"46-55",IF(D390&lt;=65,"56-65","66-75")))))</f>
        <v>46-55</v>
      </c>
      <c r="W390" s="3">
        <v>4</v>
      </c>
    </row>
    <row r="391" spans="1:23">
      <c r="A391" s="5" t="s">
        <v>975</v>
      </c>
      <c r="B391" s="5" t="s">
        <v>976</v>
      </c>
      <c r="C391" s="6">
        <v>45024</v>
      </c>
      <c r="D391" s="8">
        <v>28</v>
      </c>
      <c r="E391" s="5" t="s">
        <v>20</v>
      </c>
      <c r="F391" s="5" t="s">
        <v>21</v>
      </c>
      <c r="G391" s="5" t="s">
        <v>46</v>
      </c>
      <c r="H391" s="7">
        <v>469.83</v>
      </c>
      <c r="I391" s="3">
        <v>1</v>
      </c>
      <c r="J391" s="33">
        <f>H391*I391</f>
        <v>469.83</v>
      </c>
      <c r="K391" s="4">
        <v>0</v>
      </c>
      <c r="L391" s="9">
        <f>IF(J391=0,0,K391/J391)</f>
        <v>0</v>
      </c>
      <c r="M391" s="25">
        <v>469.83</v>
      </c>
      <c r="N391" s="5" t="s">
        <v>692</v>
      </c>
      <c r="O391" s="5" t="s">
        <v>33</v>
      </c>
      <c r="P391" s="3">
        <v>13</v>
      </c>
      <c r="Q391" s="3">
        <v>11</v>
      </c>
      <c r="R391" s="5" t="b">
        <v>1</v>
      </c>
      <c r="S391" s="5" t="str">
        <f>IF(R391=TRUE,"Returning Customer","New Customer")</f>
        <v>Returning Customer</v>
      </c>
      <c r="T391" s="3">
        <v>11</v>
      </c>
      <c r="U391" s="12" t="str">
        <f>IF(T391&lt;=3,"Fast",IF(T391&lt;=7,"Standard",IF(T391&lt;=14,"Slow","Very Slow")))</f>
        <v>Slow</v>
      </c>
      <c r="V391" s="10" t="str">
        <f>IF(D391&lt;=25,"18-25",IF(D391&lt;=35,"26-35",IF(D391&lt;=45,"36-45",IF(D391&lt;=55,"46-55",IF(D391&lt;=65,"56-65","66-75")))))</f>
        <v>26-35</v>
      </c>
      <c r="W391" s="3">
        <v>4</v>
      </c>
    </row>
    <row r="392" spans="1:23">
      <c r="A392" s="5" t="s">
        <v>215</v>
      </c>
      <c r="B392" s="5" t="s">
        <v>216</v>
      </c>
      <c r="C392" s="6">
        <v>45078</v>
      </c>
      <c r="D392" s="8">
        <v>24</v>
      </c>
      <c r="E392" s="5" t="s">
        <v>20</v>
      </c>
      <c r="F392" s="5" t="s">
        <v>32</v>
      </c>
      <c r="G392" s="5" t="s">
        <v>53</v>
      </c>
      <c r="H392" s="7">
        <v>33.29</v>
      </c>
      <c r="I392" s="3">
        <v>1</v>
      </c>
      <c r="J392" s="33">
        <f>H392*I392</f>
        <v>33.29</v>
      </c>
      <c r="K392" s="4">
        <v>0</v>
      </c>
      <c r="L392" s="9">
        <f>IF(J392=0,0,K392/J392)</f>
        <v>0</v>
      </c>
      <c r="M392" s="25">
        <v>33.29</v>
      </c>
      <c r="N392" s="5" t="s">
        <v>23</v>
      </c>
      <c r="O392" s="5" t="s">
        <v>33</v>
      </c>
      <c r="P392" s="3">
        <v>10</v>
      </c>
      <c r="Q392" s="3">
        <v>5</v>
      </c>
      <c r="R392" s="5" t="b">
        <v>1</v>
      </c>
      <c r="S392" s="5" t="str">
        <f>IF(R392=TRUE,"Returning Customer","New Customer")</f>
        <v>Returning Customer</v>
      </c>
      <c r="T392" s="3">
        <v>3</v>
      </c>
      <c r="U392" s="12" t="str">
        <f>IF(T392&lt;=3,"Fast",IF(T392&lt;=7,"Standard",IF(T392&lt;=14,"Slow","Very Slow")))</f>
        <v>Fast</v>
      </c>
      <c r="V392" s="10" t="str">
        <f>IF(D392&lt;=25,"18-25",IF(D392&lt;=35,"26-35",IF(D392&lt;=45,"36-45",IF(D392&lt;=55,"46-55",IF(D392&lt;=65,"56-65","66-75")))))</f>
        <v>18-25</v>
      </c>
      <c r="W392" s="3">
        <v>5</v>
      </c>
    </row>
    <row r="393" spans="1:23">
      <c r="A393" s="5" t="s">
        <v>534</v>
      </c>
      <c r="B393" s="5" t="s">
        <v>535</v>
      </c>
      <c r="C393" s="6">
        <v>45038</v>
      </c>
      <c r="D393" s="8">
        <v>40</v>
      </c>
      <c r="E393" s="5" t="s">
        <v>20</v>
      </c>
      <c r="F393" s="5" t="s">
        <v>27</v>
      </c>
      <c r="G393" s="5" t="s">
        <v>64</v>
      </c>
      <c r="H393" s="7">
        <v>1546.14</v>
      </c>
      <c r="I393" s="3">
        <v>1</v>
      </c>
      <c r="J393" s="33">
        <f>H393*I393</f>
        <v>1546.14</v>
      </c>
      <c r="K393" s="4">
        <v>171.78</v>
      </c>
      <c r="L393" s="9">
        <f>IF(J393=0,0,K393/J393)</f>
        <v>0.11110248748496254</v>
      </c>
      <c r="M393" s="25">
        <v>1374.36</v>
      </c>
      <c r="N393" s="5" t="s">
        <v>327</v>
      </c>
      <c r="O393" s="5" t="s">
        <v>33</v>
      </c>
      <c r="P393" s="3">
        <v>7</v>
      </c>
      <c r="Q393" s="3">
        <v>7</v>
      </c>
      <c r="R393" s="5" t="b">
        <v>1</v>
      </c>
      <c r="S393" s="5" t="str">
        <f>IF(R393=TRUE,"Returning Customer","New Customer")</f>
        <v>Returning Customer</v>
      </c>
      <c r="T393" s="3">
        <v>3</v>
      </c>
      <c r="U393" s="12" t="str">
        <f>IF(T393&lt;=3,"Fast",IF(T393&lt;=7,"Standard",IF(T393&lt;=14,"Slow","Very Slow")))</f>
        <v>Fast</v>
      </c>
      <c r="V393" s="10" t="str">
        <f>IF(D393&lt;=25,"18-25",IF(D393&lt;=35,"26-35",IF(D393&lt;=45,"36-45",IF(D393&lt;=55,"46-55",IF(D393&lt;=65,"56-65","66-75")))))</f>
        <v>36-45</v>
      </c>
      <c r="W393" s="3">
        <v>5</v>
      </c>
    </row>
    <row r="394" spans="1:23">
      <c r="A394" s="5" t="s">
        <v>536</v>
      </c>
      <c r="B394" s="5" t="s">
        <v>537</v>
      </c>
      <c r="C394" s="6">
        <v>44956</v>
      </c>
      <c r="D394" s="8">
        <v>19</v>
      </c>
      <c r="E394" s="5" t="s">
        <v>36</v>
      </c>
      <c r="F394" s="5" t="s">
        <v>32</v>
      </c>
      <c r="G394" s="5" t="s">
        <v>115</v>
      </c>
      <c r="H394" s="7">
        <v>17.809999999999999</v>
      </c>
      <c r="I394" s="3">
        <v>1</v>
      </c>
      <c r="J394" s="33">
        <f>H394*I394</f>
        <v>17.809999999999999</v>
      </c>
      <c r="K394" s="4">
        <v>1.41</v>
      </c>
      <c r="L394" s="9">
        <f>IF(J394=0,0,K394/J394)</f>
        <v>7.9169006176305443E-2</v>
      </c>
      <c r="M394" s="25">
        <v>16.399999999999999</v>
      </c>
      <c r="N394" s="5" t="s">
        <v>327</v>
      </c>
      <c r="O394" s="5" t="s">
        <v>33</v>
      </c>
      <c r="P394" s="3">
        <v>17</v>
      </c>
      <c r="Q394" s="3">
        <v>11</v>
      </c>
      <c r="R394" s="5" t="b">
        <v>1</v>
      </c>
      <c r="S394" s="5" t="str">
        <f>IF(R394=TRUE,"Returning Customer","New Customer")</f>
        <v>Returning Customer</v>
      </c>
      <c r="T394" s="3">
        <v>6</v>
      </c>
      <c r="U394" s="12" t="str">
        <f>IF(T394&lt;=3,"Fast",IF(T394&lt;=7,"Standard",IF(T394&lt;=14,"Slow","Very Slow")))</f>
        <v>Standard</v>
      </c>
      <c r="V394" s="10" t="str">
        <f>IF(D394&lt;=25,"18-25",IF(D394&lt;=35,"26-35",IF(D394&lt;=45,"36-45",IF(D394&lt;=55,"46-55",IF(D394&lt;=65,"56-65","66-75")))))</f>
        <v>18-25</v>
      </c>
      <c r="W394" s="3">
        <v>5</v>
      </c>
    </row>
    <row r="395" spans="1:23">
      <c r="A395" s="5" t="s">
        <v>1375</v>
      </c>
      <c r="B395" s="5" t="s">
        <v>1376</v>
      </c>
      <c r="C395" s="6">
        <v>45223</v>
      </c>
      <c r="D395" s="8">
        <v>56</v>
      </c>
      <c r="E395" s="5" t="s">
        <v>36</v>
      </c>
      <c r="F395" s="5" t="s">
        <v>32</v>
      </c>
      <c r="G395" s="5" t="s">
        <v>56</v>
      </c>
      <c r="H395" s="7">
        <v>457.14</v>
      </c>
      <c r="I395" s="3">
        <v>3</v>
      </c>
      <c r="J395" s="33">
        <f>H395*I395</f>
        <v>1371.42</v>
      </c>
      <c r="K395" s="4">
        <v>0</v>
      </c>
      <c r="L395" s="9">
        <f>IF(J395=0,0,K395/J395)</f>
        <v>0</v>
      </c>
      <c r="M395" s="25">
        <v>1371.42</v>
      </c>
      <c r="N395" s="5" t="s">
        <v>1298</v>
      </c>
      <c r="O395" s="5" t="s">
        <v>33</v>
      </c>
      <c r="P395" s="3">
        <v>7</v>
      </c>
      <c r="Q395" s="3">
        <v>8</v>
      </c>
      <c r="R395" s="5" t="b">
        <v>1</v>
      </c>
      <c r="S395" s="5" t="str">
        <f>IF(R395=TRUE,"Returning Customer","New Customer")</f>
        <v>Returning Customer</v>
      </c>
      <c r="T395" s="3">
        <v>6</v>
      </c>
      <c r="U395" s="12" t="str">
        <f>IF(T395&lt;=3,"Fast",IF(T395&lt;=7,"Standard",IF(T395&lt;=14,"Slow","Very Slow")))</f>
        <v>Standard</v>
      </c>
      <c r="V395" s="10" t="str">
        <f>IF(D395&lt;=25,"18-25",IF(D395&lt;=35,"26-35",IF(D395&lt;=45,"36-45",IF(D395&lt;=55,"46-55",IF(D395&lt;=65,"56-65","66-75")))))</f>
        <v>56-65</v>
      </c>
      <c r="W395" s="3">
        <v>4</v>
      </c>
    </row>
    <row r="396" spans="1:23">
      <c r="A396" s="5" t="s">
        <v>977</v>
      </c>
      <c r="B396" s="5" t="s">
        <v>978</v>
      </c>
      <c r="C396" s="6">
        <v>45303</v>
      </c>
      <c r="D396" s="8">
        <v>49</v>
      </c>
      <c r="E396" s="5" t="s">
        <v>20</v>
      </c>
      <c r="F396" s="5" t="s">
        <v>27</v>
      </c>
      <c r="G396" s="5" t="s">
        <v>37</v>
      </c>
      <c r="H396" s="7">
        <v>135.71</v>
      </c>
      <c r="I396" s="3">
        <v>1</v>
      </c>
      <c r="J396" s="33">
        <f>H396*I396</f>
        <v>135.71</v>
      </c>
      <c r="K396" s="4">
        <v>0</v>
      </c>
      <c r="L396" s="9">
        <f>IF(J396=0,0,K396/J396)</f>
        <v>0</v>
      </c>
      <c r="M396" s="25">
        <v>135.71</v>
      </c>
      <c r="N396" s="5" t="s">
        <v>692</v>
      </c>
      <c r="O396" s="5" t="s">
        <v>33</v>
      </c>
      <c r="P396" s="3">
        <v>8</v>
      </c>
      <c r="Q396" s="3">
        <v>12</v>
      </c>
      <c r="R396" s="5" t="b">
        <v>0</v>
      </c>
      <c r="S396" s="5" t="str">
        <f>IF(R396=TRUE,"Returning Customer","New Customer")</f>
        <v>New Customer</v>
      </c>
      <c r="T396" s="3">
        <v>8</v>
      </c>
      <c r="U396" s="12" t="str">
        <f>IF(T396&lt;=3,"Fast",IF(T396&lt;=7,"Standard",IF(T396&lt;=14,"Slow","Very Slow")))</f>
        <v>Slow</v>
      </c>
      <c r="V396" s="10" t="str">
        <f>IF(D396&lt;=25,"18-25",IF(D396&lt;=35,"26-35",IF(D396&lt;=45,"36-45",IF(D396&lt;=55,"46-55",IF(D396&lt;=65,"56-65","66-75")))))</f>
        <v>46-55</v>
      </c>
      <c r="W396" s="3">
        <v>3</v>
      </c>
    </row>
    <row r="397" spans="1:23">
      <c r="A397" s="5" t="s">
        <v>979</v>
      </c>
      <c r="B397" s="5" t="s">
        <v>980</v>
      </c>
      <c r="C397" s="6">
        <v>45204</v>
      </c>
      <c r="D397" s="8">
        <v>29</v>
      </c>
      <c r="E397" s="5" t="s">
        <v>20</v>
      </c>
      <c r="F397" s="5" t="s">
        <v>32</v>
      </c>
      <c r="G397" s="5" t="s">
        <v>22</v>
      </c>
      <c r="H397" s="7">
        <v>123.69</v>
      </c>
      <c r="I397" s="3">
        <v>1</v>
      </c>
      <c r="J397" s="33">
        <f>H397*I397</f>
        <v>123.69</v>
      </c>
      <c r="K397" s="4">
        <v>0</v>
      </c>
      <c r="L397" s="9">
        <f>IF(J397=0,0,K397/J397)</f>
        <v>0</v>
      </c>
      <c r="M397" s="25">
        <v>123.69</v>
      </c>
      <c r="N397" s="5" t="s">
        <v>692</v>
      </c>
      <c r="O397" s="5" t="s">
        <v>33</v>
      </c>
      <c r="P397" s="3">
        <v>21</v>
      </c>
      <c r="Q397" s="3">
        <v>12</v>
      </c>
      <c r="R397" s="5" t="b">
        <v>0</v>
      </c>
      <c r="S397" s="5" t="str">
        <f>IF(R397=TRUE,"Returning Customer","New Customer")</f>
        <v>New Customer</v>
      </c>
      <c r="T397" s="3">
        <v>15</v>
      </c>
      <c r="U397" s="12" t="str">
        <f>IF(T397&lt;=3,"Fast",IF(T397&lt;=7,"Standard",IF(T397&lt;=14,"Slow","Very Slow")))</f>
        <v>Very Slow</v>
      </c>
      <c r="V397" s="10" t="str">
        <f>IF(D397&lt;=25,"18-25",IF(D397&lt;=35,"26-35",IF(D397&lt;=45,"36-45",IF(D397&lt;=55,"46-55",IF(D397&lt;=65,"56-65","66-75")))))</f>
        <v>26-35</v>
      </c>
      <c r="W397" s="3">
        <v>3</v>
      </c>
    </row>
    <row r="398" spans="1:23">
      <c r="A398" s="5" t="s">
        <v>981</v>
      </c>
      <c r="B398" s="5" t="s">
        <v>982</v>
      </c>
      <c r="C398" s="6">
        <v>44958</v>
      </c>
      <c r="D398" s="8">
        <v>18</v>
      </c>
      <c r="E398" s="5" t="s">
        <v>36</v>
      </c>
      <c r="F398" s="5" t="s">
        <v>52</v>
      </c>
      <c r="G398" s="5" t="s">
        <v>64</v>
      </c>
      <c r="H398" s="7">
        <v>1201.31</v>
      </c>
      <c r="I398" s="3">
        <v>1</v>
      </c>
      <c r="J398" s="33">
        <f>H398*I398</f>
        <v>1201.31</v>
      </c>
      <c r="K398" s="4">
        <v>177.05</v>
      </c>
      <c r="L398" s="9">
        <f>IF(J398=0,0,K398/J398)</f>
        <v>0.14738077598621507</v>
      </c>
      <c r="M398" s="25">
        <v>1024.26</v>
      </c>
      <c r="N398" s="5" t="s">
        <v>692</v>
      </c>
      <c r="O398" s="5" t="s">
        <v>24</v>
      </c>
      <c r="P398" s="3">
        <v>20</v>
      </c>
      <c r="Q398" s="3">
        <v>10</v>
      </c>
      <c r="R398" s="5" t="b">
        <v>1</v>
      </c>
      <c r="S398" s="5" t="str">
        <f>IF(R398=TRUE,"Returning Customer","New Customer")</f>
        <v>Returning Customer</v>
      </c>
      <c r="T398" s="3">
        <v>12</v>
      </c>
      <c r="U398" s="12" t="str">
        <f>IF(T398&lt;=3,"Fast",IF(T398&lt;=7,"Standard",IF(T398&lt;=14,"Slow","Very Slow")))</f>
        <v>Slow</v>
      </c>
      <c r="V398" s="10" t="str">
        <f>IF(D398&lt;=25,"18-25",IF(D398&lt;=35,"26-35",IF(D398&lt;=45,"36-45",IF(D398&lt;=55,"46-55",IF(D398&lt;=65,"56-65","66-75")))))</f>
        <v>18-25</v>
      </c>
      <c r="W398" s="3">
        <v>5</v>
      </c>
    </row>
    <row r="399" spans="1:23">
      <c r="A399" s="5" t="s">
        <v>983</v>
      </c>
      <c r="B399" s="5" t="s">
        <v>984</v>
      </c>
      <c r="C399" s="6">
        <v>45309</v>
      </c>
      <c r="D399" s="8">
        <v>51</v>
      </c>
      <c r="E399" s="5" t="s">
        <v>20</v>
      </c>
      <c r="F399" s="5" t="s">
        <v>21</v>
      </c>
      <c r="G399" s="5" t="s">
        <v>56</v>
      </c>
      <c r="H399" s="7">
        <v>656.9</v>
      </c>
      <c r="I399" s="3">
        <v>1</v>
      </c>
      <c r="J399" s="33">
        <f>H399*I399</f>
        <v>656.9</v>
      </c>
      <c r="K399" s="4">
        <v>0</v>
      </c>
      <c r="L399" s="9">
        <f>IF(J399=0,0,K399/J399)</f>
        <v>0</v>
      </c>
      <c r="M399" s="25">
        <v>656.9</v>
      </c>
      <c r="N399" s="5" t="s">
        <v>692</v>
      </c>
      <c r="O399" s="5" t="s">
        <v>29</v>
      </c>
      <c r="P399" s="3">
        <v>1</v>
      </c>
      <c r="Q399" s="3">
        <v>7</v>
      </c>
      <c r="R399" s="5" t="b">
        <v>0</v>
      </c>
      <c r="S399" s="5" t="str">
        <f>IF(R399=TRUE,"Returning Customer","New Customer")</f>
        <v>New Customer</v>
      </c>
      <c r="T399" s="3">
        <v>9</v>
      </c>
      <c r="U399" s="12" t="str">
        <f>IF(T399&lt;=3,"Fast",IF(T399&lt;=7,"Standard",IF(T399&lt;=14,"Slow","Very Slow")))</f>
        <v>Slow</v>
      </c>
      <c r="V399" s="10" t="str">
        <f>IF(D399&lt;=25,"18-25",IF(D399&lt;=35,"26-35",IF(D399&lt;=45,"36-45",IF(D399&lt;=55,"46-55",IF(D399&lt;=65,"56-65","66-75")))))</f>
        <v>46-55</v>
      </c>
      <c r="W399" s="3">
        <v>5</v>
      </c>
    </row>
    <row r="400" spans="1:23">
      <c r="A400" s="5" t="s">
        <v>217</v>
      </c>
      <c r="B400" s="5" t="s">
        <v>218</v>
      </c>
      <c r="C400" s="6">
        <v>45087</v>
      </c>
      <c r="D400" s="8">
        <v>33</v>
      </c>
      <c r="E400" s="5" t="s">
        <v>20</v>
      </c>
      <c r="F400" s="5" t="s">
        <v>21</v>
      </c>
      <c r="G400" s="5" t="s">
        <v>22</v>
      </c>
      <c r="H400" s="7">
        <v>718.68</v>
      </c>
      <c r="I400" s="3">
        <v>1</v>
      </c>
      <c r="J400" s="33">
        <f>H400*I400</f>
        <v>718.68</v>
      </c>
      <c r="K400" s="4">
        <v>0</v>
      </c>
      <c r="L400" s="9">
        <f>IF(J400=0,0,K400/J400)</f>
        <v>0</v>
      </c>
      <c r="M400" s="25">
        <v>718.68</v>
      </c>
      <c r="N400" s="5" t="s">
        <v>23</v>
      </c>
      <c r="O400" s="5" t="s">
        <v>24</v>
      </c>
      <c r="P400" s="3">
        <v>10</v>
      </c>
      <c r="Q400" s="3">
        <v>7</v>
      </c>
      <c r="R400" s="5" t="b">
        <v>1</v>
      </c>
      <c r="S400" s="5" t="str">
        <f>IF(R400=TRUE,"Returning Customer","New Customer")</f>
        <v>Returning Customer</v>
      </c>
      <c r="T400" s="3">
        <v>8</v>
      </c>
      <c r="U400" s="12" t="str">
        <f>IF(T400&lt;=3,"Fast",IF(T400&lt;=7,"Standard",IF(T400&lt;=14,"Slow","Very Slow")))</f>
        <v>Slow</v>
      </c>
      <c r="V400" s="10" t="str">
        <f>IF(D400&lt;=25,"18-25",IF(D400&lt;=35,"26-35",IF(D400&lt;=45,"36-45",IF(D400&lt;=55,"46-55",IF(D400&lt;=65,"56-65","66-75")))))</f>
        <v>26-35</v>
      </c>
      <c r="W400" s="3">
        <v>2</v>
      </c>
    </row>
    <row r="401" spans="1:23">
      <c r="A401" s="5" t="s">
        <v>538</v>
      </c>
      <c r="B401" s="5" t="s">
        <v>539</v>
      </c>
      <c r="C401" s="6">
        <v>44956</v>
      </c>
      <c r="D401" s="8">
        <v>49</v>
      </c>
      <c r="E401" s="5" t="s">
        <v>36</v>
      </c>
      <c r="F401" s="5" t="s">
        <v>27</v>
      </c>
      <c r="G401" s="5" t="s">
        <v>37</v>
      </c>
      <c r="H401" s="7">
        <v>178.19</v>
      </c>
      <c r="I401" s="3">
        <v>2</v>
      </c>
      <c r="J401" s="33">
        <f>H401*I401</f>
        <v>356.38</v>
      </c>
      <c r="K401" s="4">
        <v>0</v>
      </c>
      <c r="L401" s="9">
        <f>IF(J401=0,0,K401/J401)</f>
        <v>0</v>
      </c>
      <c r="M401" s="25">
        <v>356.38</v>
      </c>
      <c r="N401" s="5" t="s">
        <v>327</v>
      </c>
      <c r="O401" s="5" t="s">
        <v>33</v>
      </c>
      <c r="P401" s="3">
        <v>16</v>
      </c>
      <c r="Q401" s="3">
        <v>9</v>
      </c>
      <c r="R401" s="5" t="b">
        <v>1</v>
      </c>
      <c r="S401" s="5" t="str">
        <f>IF(R401=TRUE,"Returning Customer","New Customer")</f>
        <v>Returning Customer</v>
      </c>
      <c r="T401" s="3">
        <v>4</v>
      </c>
      <c r="U401" s="12" t="str">
        <f>IF(T401&lt;=3,"Fast",IF(T401&lt;=7,"Standard",IF(T401&lt;=14,"Slow","Very Slow")))</f>
        <v>Standard</v>
      </c>
      <c r="V401" s="10" t="str">
        <f>IF(D401&lt;=25,"18-25",IF(D401&lt;=35,"26-35",IF(D401&lt;=45,"36-45",IF(D401&lt;=55,"46-55",IF(D401&lt;=65,"56-65","66-75")))))</f>
        <v>46-55</v>
      </c>
      <c r="W401" s="3">
        <v>3</v>
      </c>
    </row>
    <row r="402" spans="1:23">
      <c r="A402" s="5" t="s">
        <v>985</v>
      </c>
      <c r="B402" s="5" t="s">
        <v>986</v>
      </c>
      <c r="C402" s="6">
        <v>44952</v>
      </c>
      <c r="D402" s="8">
        <v>18</v>
      </c>
      <c r="E402" s="5" t="s">
        <v>36</v>
      </c>
      <c r="F402" s="5" t="s">
        <v>49</v>
      </c>
      <c r="G402" s="5" t="s">
        <v>46</v>
      </c>
      <c r="H402" s="7">
        <v>118.11</v>
      </c>
      <c r="I402" s="3">
        <v>1</v>
      </c>
      <c r="J402" s="33">
        <f>H402*I402</f>
        <v>118.11</v>
      </c>
      <c r="K402" s="4">
        <v>0</v>
      </c>
      <c r="L402" s="9">
        <f>IF(J402=0,0,K402/J402)</f>
        <v>0</v>
      </c>
      <c r="M402" s="25">
        <v>118.11</v>
      </c>
      <c r="N402" s="5" t="s">
        <v>692</v>
      </c>
      <c r="O402" s="5" t="s">
        <v>24</v>
      </c>
      <c r="P402" s="3">
        <v>45</v>
      </c>
      <c r="Q402" s="3">
        <v>7</v>
      </c>
      <c r="R402" s="5" t="b">
        <v>1</v>
      </c>
      <c r="S402" s="5" t="str">
        <f>IF(R402=TRUE,"Returning Customer","New Customer")</f>
        <v>Returning Customer</v>
      </c>
      <c r="T402" s="3">
        <v>2</v>
      </c>
      <c r="U402" s="12" t="str">
        <f>IF(T402&lt;=3,"Fast",IF(T402&lt;=7,"Standard",IF(T402&lt;=14,"Slow","Very Slow")))</f>
        <v>Fast</v>
      </c>
      <c r="V402" s="10" t="str">
        <f>IF(D402&lt;=25,"18-25",IF(D402&lt;=35,"26-35",IF(D402&lt;=45,"36-45",IF(D402&lt;=55,"46-55",IF(D402&lt;=65,"56-65","66-75")))))</f>
        <v>18-25</v>
      </c>
      <c r="W402" s="3">
        <v>5</v>
      </c>
    </row>
    <row r="403" spans="1:23">
      <c r="A403" s="5" t="s">
        <v>987</v>
      </c>
      <c r="B403" s="5" t="s">
        <v>988</v>
      </c>
      <c r="C403" s="6">
        <v>45226</v>
      </c>
      <c r="D403" s="8">
        <v>27</v>
      </c>
      <c r="E403" s="5" t="s">
        <v>20</v>
      </c>
      <c r="F403" s="5" t="s">
        <v>49</v>
      </c>
      <c r="G403" s="5" t="s">
        <v>28</v>
      </c>
      <c r="H403" s="7">
        <v>520.04999999999995</v>
      </c>
      <c r="I403" s="3">
        <v>2</v>
      </c>
      <c r="J403" s="33">
        <f>H403*I403</f>
        <v>1040.0999999999999</v>
      </c>
      <c r="K403" s="4">
        <v>0</v>
      </c>
      <c r="L403" s="9">
        <f>IF(J403=0,0,K403/J403)</f>
        <v>0</v>
      </c>
      <c r="M403" s="25">
        <v>1040.0999999999999</v>
      </c>
      <c r="N403" s="5" t="s">
        <v>692</v>
      </c>
      <c r="O403" s="5" t="s">
        <v>33</v>
      </c>
      <c r="P403" s="3">
        <v>2</v>
      </c>
      <c r="Q403" s="3">
        <v>10</v>
      </c>
      <c r="R403" s="5" t="b">
        <v>1</v>
      </c>
      <c r="S403" s="5" t="str">
        <f>IF(R403=TRUE,"Returning Customer","New Customer")</f>
        <v>Returning Customer</v>
      </c>
      <c r="T403" s="3">
        <v>23</v>
      </c>
      <c r="U403" s="12" t="str">
        <f>IF(T403&lt;=3,"Fast",IF(T403&lt;=7,"Standard",IF(T403&lt;=14,"Slow","Very Slow")))</f>
        <v>Very Slow</v>
      </c>
      <c r="V403" s="10" t="str">
        <f>IF(D403&lt;=25,"18-25",IF(D403&lt;=35,"26-35",IF(D403&lt;=45,"36-45",IF(D403&lt;=55,"46-55",IF(D403&lt;=65,"56-65","66-75")))))</f>
        <v>26-35</v>
      </c>
      <c r="W403" s="3">
        <v>4</v>
      </c>
    </row>
    <row r="404" spans="1:23">
      <c r="A404" s="5" t="s">
        <v>989</v>
      </c>
      <c r="B404" s="5" t="s">
        <v>990</v>
      </c>
      <c r="C404" s="6">
        <v>45171</v>
      </c>
      <c r="D404" s="8">
        <v>35</v>
      </c>
      <c r="E404" s="5" t="s">
        <v>20</v>
      </c>
      <c r="F404" s="5" t="s">
        <v>27</v>
      </c>
      <c r="G404" s="5" t="s">
        <v>28</v>
      </c>
      <c r="H404" s="7">
        <v>361.3</v>
      </c>
      <c r="I404" s="3">
        <v>1</v>
      </c>
      <c r="J404" s="33">
        <f>H404*I404</f>
        <v>361.3</v>
      </c>
      <c r="K404" s="4">
        <v>0</v>
      </c>
      <c r="L404" s="9">
        <f>IF(J404=0,0,K404/J404)</f>
        <v>0</v>
      </c>
      <c r="M404" s="25">
        <v>361.3</v>
      </c>
      <c r="N404" s="5" t="s">
        <v>692</v>
      </c>
      <c r="O404" s="5" t="s">
        <v>33</v>
      </c>
      <c r="P404" s="3">
        <v>9</v>
      </c>
      <c r="Q404" s="3">
        <v>8</v>
      </c>
      <c r="R404" s="5" t="b">
        <v>0</v>
      </c>
      <c r="S404" s="5" t="str">
        <f>IF(R404=TRUE,"Returning Customer","New Customer")</f>
        <v>New Customer</v>
      </c>
      <c r="T404" s="3">
        <v>4</v>
      </c>
      <c r="U404" s="12" t="str">
        <f>IF(T404&lt;=3,"Fast",IF(T404&lt;=7,"Standard",IF(T404&lt;=14,"Slow","Very Slow")))</f>
        <v>Standard</v>
      </c>
      <c r="V404" s="10" t="str">
        <f>IF(D404&lt;=25,"18-25",IF(D404&lt;=35,"26-35",IF(D404&lt;=45,"36-45",IF(D404&lt;=55,"46-55",IF(D404&lt;=65,"56-65","66-75")))))</f>
        <v>26-35</v>
      </c>
      <c r="W404" s="3">
        <v>4</v>
      </c>
    </row>
    <row r="405" spans="1:23">
      <c r="A405" s="5" t="s">
        <v>1266</v>
      </c>
      <c r="B405" s="5" t="s">
        <v>1267</v>
      </c>
      <c r="C405" s="6">
        <v>45184</v>
      </c>
      <c r="D405" s="8">
        <v>35</v>
      </c>
      <c r="E405" s="5" t="s">
        <v>36</v>
      </c>
      <c r="F405" s="5" t="s">
        <v>52</v>
      </c>
      <c r="G405" s="5" t="s">
        <v>22</v>
      </c>
      <c r="H405" s="7">
        <v>280.36</v>
      </c>
      <c r="I405" s="3">
        <v>5</v>
      </c>
      <c r="J405" s="33">
        <f>H405*I405</f>
        <v>1401.8000000000002</v>
      </c>
      <c r="K405" s="4">
        <v>0</v>
      </c>
      <c r="L405" s="9">
        <f>IF(J405=0,0,K405/J405)</f>
        <v>0</v>
      </c>
      <c r="M405" s="25">
        <v>1401.8</v>
      </c>
      <c r="N405" s="5" t="s">
        <v>1231</v>
      </c>
      <c r="O405" s="5" t="s">
        <v>33</v>
      </c>
      <c r="P405" s="3">
        <v>20</v>
      </c>
      <c r="Q405" s="3">
        <v>5</v>
      </c>
      <c r="R405" s="5" t="b">
        <v>0</v>
      </c>
      <c r="S405" s="5" t="str">
        <f>IF(R405=TRUE,"Returning Customer","New Customer")</f>
        <v>New Customer</v>
      </c>
      <c r="T405" s="3">
        <v>4</v>
      </c>
      <c r="U405" s="12" t="str">
        <f>IF(T405&lt;=3,"Fast",IF(T405&lt;=7,"Standard",IF(T405&lt;=14,"Slow","Very Slow")))</f>
        <v>Standard</v>
      </c>
      <c r="V405" s="10" t="str">
        <f>IF(D405&lt;=25,"18-25",IF(D405&lt;=35,"26-35",IF(D405&lt;=45,"36-45",IF(D405&lt;=55,"46-55",IF(D405&lt;=65,"56-65","66-75")))))</f>
        <v>26-35</v>
      </c>
      <c r="W405" s="3">
        <v>4</v>
      </c>
    </row>
    <row r="406" spans="1:23">
      <c r="A406" s="5" t="s">
        <v>219</v>
      </c>
      <c r="B406" s="5" t="s">
        <v>220</v>
      </c>
      <c r="C406" s="6">
        <v>45363</v>
      </c>
      <c r="D406" s="8">
        <v>29</v>
      </c>
      <c r="E406" s="5" t="s">
        <v>20</v>
      </c>
      <c r="F406" s="5" t="s">
        <v>52</v>
      </c>
      <c r="G406" s="5" t="s">
        <v>56</v>
      </c>
      <c r="H406" s="7">
        <v>1030.8599999999999</v>
      </c>
      <c r="I406" s="3">
        <v>1</v>
      </c>
      <c r="J406" s="33">
        <f>H406*I406</f>
        <v>1030.8599999999999</v>
      </c>
      <c r="K406" s="4">
        <v>296.67</v>
      </c>
      <c r="L406" s="9">
        <f>IF(J406=0,0,K406/J406)</f>
        <v>0.28778883650544212</v>
      </c>
      <c r="M406" s="25">
        <v>734.19</v>
      </c>
      <c r="N406" s="5" t="s">
        <v>23</v>
      </c>
      <c r="O406" s="5" t="s">
        <v>33</v>
      </c>
      <c r="P406" s="3">
        <v>8</v>
      </c>
      <c r="Q406" s="3">
        <v>9</v>
      </c>
      <c r="R406" s="5" t="b">
        <v>0</v>
      </c>
      <c r="S406" s="5" t="str">
        <f>IF(R406=TRUE,"Returning Customer","New Customer")</f>
        <v>New Customer</v>
      </c>
      <c r="T406" s="3">
        <v>3</v>
      </c>
      <c r="U406" s="12" t="str">
        <f>IF(T406&lt;=3,"Fast",IF(T406&lt;=7,"Standard",IF(T406&lt;=14,"Slow","Very Slow")))</f>
        <v>Fast</v>
      </c>
      <c r="V406" s="10" t="str">
        <f>IF(D406&lt;=25,"18-25",IF(D406&lt;=35,"26-35",IF(D406&lt;=45,"36-45",IF(D406&lt;=55,"46-55",IF(D406&lt;=65,"56-65","66-75")))))</f>
        <v>26-35</v>
      </c>
      <c r="W406" s="3">
        <v>5</v>
      </c>
    </row>
    <row r="407" spans="1:23">
      <c r="A407" s="5" t="s">
        <v>540</v>
      </c>
      <c r="B407" s="5" t="s">
        <v>541</v>
      </c>
      <c r="C407" s="6">
        <v>45198</v>
      </c>
      <c r="D407" s="8">
        <v>42</v>
      </c>
      <c r="E407" s="5" t="s">
        <v>20</v>
      </c>
      <c r="F407" s="5" t="s">
        <v>21</v>
      </c>
      <c r="G407" s="5" t="s">
        <v>28</v>
      </c>
      <c r="H407" s="7">
        <v>83.61</v>
      </c>
      <c r="I407" s="3">
        <v>2</v>
      </c>
      <c r="J407" s="33">
        <f>H407*I407</f>
        <v>167.22</v>
      </c>
      <c r="K407" s="4">
        <v>0</v>
      </c>
      <c r="L407" s="9">
        <f>IF(J407=0,0,K407/J407)</f>
        <v>0</v>
      </c>
      <c r="M407" s="25">
        <v>167.22</v>
      </c>
      <c r="N407" s="5" t="s">
        <v>327</v>
      </c>
      <c r="O407" s="5" t="s">
        <v>29</v>
      </c>
      <c r="P407" s="3">
        <v>9</v>
      </c>
      <c r="Q407" s="3">
        <v>6</v>
      </c>
      <c r="R407" s="5" t="b">
        <v>0</v>
      </c>
      <c r="S407" s="5" t="str">
        <f>IF(R407=TRUE,"Returning Customer","New Customer")</f>
        <v>New Customer</v>
      </c>
      <c r="T407" s="3">
        <v>8</v>
      </c>
      <c r="U407" s="12" t="str">
        <f>IF(T407&lt;=3,"Fast",IF(T407&lt;=7,"Standard",IF(T407&lt;=14,"Slow","Very Slow")))</f>
        <v>Slow</v>
      </c>
      <c r="V407" s="10" t="str">
        <f>IF(D407&lt;=25,"18-25",IF(D407&lt;=35,"26-35",IF(D407&lt;=45,"36-45",IF(D407&lt;=55,"46-55",IF(D407&lt;=65,"56-65","66-75")))))</f>
        <v>36-45</v>
      </c>
      <c r="W407" s="3">
        <v>5</v>
      </c>
    </row>
    <row r="408" spans="1:23">
      <c r="A408" s="5" t="s">
        <v>991</v>
      </c>
      <c r="B408" s="5" t="s">
        <v>992</v>
      </c>
      <c r="C408" s="6">
        <v>45007</v>
      </c>
      <c r="D408" s="8">
        <v>22</v>
      </c>
      <c r="E408" s="5" t="s">
        <v>36</v>
      </c>
      <c r="F408" s="5" t="s">
        <v>52</v>
      </c>
      <c r="G408" s="5" t="s">
        <v>28</v>
      </c>
      <c r="H408" s="7">
        <v>145.63999999999999</v>
      </c>
      <c r="I408" s="3">
        <v>1</v>
      </c>
      <c r="J408" s="33">
        <f>H408*I408</f>
        <v>145.63999999999999</v>
      </c>
      <c r="K408" s="4">
        <v>0</v>
      </c>
      <c r="L408" s="9">
        <f>IF(J408=0,0,K408/J408)</f>
        <v>0</v>
      </c>
      <c r="M408" s="25">
        <v>145.63999999999999</v>
      </c>
      <c r="N408" s="5" t="s">
        <v>692</v>
      </c>
      <c r="O408" s="5" t="s">
        <v>33</v>
      </c>
      <c r="P408" s="3">
        <v>4</v>
      </c>
      <c r="Q408" s="3">
        <v>8</v>
      </c>
      <c r="R408" s="5" t="b">
        <v>1</v>
      </c>
      <c r="S408" s="5" t="str">
        <f>IF(R408=TRUE,"Returning Customer","New Customer")</f>
        <v>Returning Customer</v>
      </c>
      <c r="T408" s="3">
        <v>5</v>
      </c>
      <c r="U408" s="12" t="str">
        <f>IF(T408&lt;=3,"Fast",IF(T408&lt;=7,"Standard",IF(T408&lt;=14,"Slow","Very Slow")))</f>
        <v>Standard</v>
      </c>
      <c r="V408" s="10" t="str">
        <f>IF(D408&lt;=25,"18-25",IF(D408&lt;=35,"26-35",IF(D408&lt;=45,"36-45",IF(D408&lt;=55,"46-55",IF(D408&lt;=65,"56-65","66-75")))))</f>
        <v>18-25</v>
      </c>
      <c r="W408" s="3">
        <v>4</v>
      </c>
    </row>
    <row r="409" spans="1:23">
      <c r="A409" s="5" t="s">
        <v>542</v>
      </c>
      <c r="B409" s="5" t="s">
        <v>543</v>
      </c>
      <c r="C409" s="6">
        <v>44956</v>
      </c>
      <c r="D409" s="8">
        <v>33</v>
      </c>
      <c r="E409" s="5" t="s">
        <v>36</v>
      </c>
      <c r="F409" s="5" t="s">
        <v>83</v>
      </c>
      <c r="G409" s="5" t="s">
        <v>46</v>
      </c>
      <c r="H409" s="7">
        <v>235.02</v>
      </c>
      <c r="I409" s="3">
        <v>2</v>
      </c>
      <c r="J409" s="33">
        <f>H409*I409</f>
        <v>470.04</v>
      </c>
      <c r="K409" s="4">
        <v>0</v>
      </c>
      <c r="L409" s="9">
        <f>IF(J409=0,0,K409/J409)</f>
        <v>0</v>
      </c>
      <c r="M409" s="25">
        <v>470.04</v>
      </c>
      <c r="N409" s="5" t="s">
        <v>327</v>
      </c>
      <c r="O409" s="5" t="s">
        <v>29</v>
      </c>
      <c r="P409" s="3">
        <v>11</v>
      </c>
      <c r="Q409" s="3">
        <v>13</v>
      </c>
      <c r="R409" s="5" t="b">
        <v>1</v>
      </c>
      <c r="S409" s="5" t="str">
        <f>IF(R409=TRUE,"Returning Customer","New Customer")</f>
        <v>Returning Customer</v>
      </c>
      <c r="T409" s="3">
        <v>12</v>
      </c>
      <c r="U409" s="12" t="str">
        <f>IF(T409&lt;=3,"Fast",IF(T409&lt;=7,"Standard",IF(T409&lt;=14,"Slow","Very Slow")))</f>
        <v>Slow</v>
      </c>
      <c r="V409" s="10" t="str">
        <f>IF(D409&lt;=25,"18-25",IF(D409&lt;=35,"26-35",IF(D409&lt;=45,"36-45",IF(D409&lt;=55,"46-55",IF(D409&lt;=65,"56-65","66-75")))))</f>
        <v>26-35</v>
      </c>
      <c r="W409" s="3">
        <v>4</v>
      </c>
    </row>
    <row r="410" spans="1:23">
      <c r="A410" s="5" t="s">
        <v>993</v>
      </c>
      <c r="B410" s="5" t="s">
        <v>994</v>
      </c>
      <c r="C410" s="6">
        <v>45187</v>
      </c>
      <c r="D410" s="8">
        <v>36</v>
      </c>
      <c r="E410" s="5" t="s">
        <v>20</v>
      </c>
      <c r="F410" s="5" t="s">
        <v>59</v>
      </c>
      <c r="G410" s="5" t="s">
        <v>37</v>
      </c>
      <c r="H410" s="7">
        <v>140.94999999999999</v>
      </c>
      <c r="I410" s="3">
        <v>1</v>
      </c>
      <c r="J410" s="33">
        <f>H410*I410</f>
        <v>140.94999999999999</v>
      </c>
      <c r="K410" s="4">
        <v>0</v>
      </c>
      <c r="L410" s="9">
        <f>IF(J410=0,0,K410/J410)</f>
        <v>0</v>
      </c>
      <c r="M410" s="25">
        <v>140.94999999999999</v>
      </c>
      <c r="N410" s="5" t="s">
        <v>692</v>
      </c>
      <c r="O410" s="5" t="s">
        <v>33</v>
      </c>
      <c r="P410" s="3">
        <v>8</v>
      </c>
      <c r="Q410" s="3">
        <v>6</v>
      </c>
      <c r="R410" s="5" t="b">
        <v>1</v>
      </c>
      <c r="S410" s="5" t="str">
        <f>IF(R410=TRUE,"Returning Customer","New Customer")</f>
        <v>Returning Customer</v>
      </c>
      <c r="T410" s="3">
        <v>13</v>
      </c>
      <c r="U410" s="12" t="str">
        <f>IF(T410&lt;=3,"Fast",IF(T410&lt;=7,"Standard",IF(T410&lt;=14,"Slow","Very Slow")))</f>
        <v>Slow</v>
      </c>
      <c r="V410" s="10" t="str">
        <f>IF(D410&lt;=25,"18-25",IF(D410&lt;=35,"26-35",IF(D410&lt;=45,"36-45",IF(D410&lt;=55,"46-55",IF(D410&lt;=65,"56-65","66-75")))))</f>
        <v>36-45</v>
      </c>
      <c r="W410" s="3">
        <v>2</v>
      </c>
    </row>
    <row r="411" spans="1:23">
      <c r="A411" s="5" t="s">
        <v>1268</v>
      </c>
      <c r="B411" s="5" t="s">
        <v>1269</v>
      </c>
      <c r="C411" s="6">
        <v>44968</v>
      </c>
      <c r="D411" s="8">
        <v>41</v>
      </c>
      <c r="E411" s="5" t="s">
        <v>122</v>
      </c>
      <c r="F411" s="5" t="s">
        <v>32</v>
      </c>
      <c r="G411" s="5" t="s">
        <v>53</v>
      </c>
      <c r="H411" s="7">
        <v>185.48</v>
      </c>
      <c r="I411" s="3">
        <v>1</v>
      </c>
      <c r="J411" s="33">
        <f>H411*I411</f>
        <v>185.48</v>
      </c>
      <c r="K411" s="4">
        <v>36.340000000000003</v>
      </c>
      <c r="L411" s="9">
        <f>IF(J411=0,0,K411/J411)</f>
        <v>0.19592408885054996</v>
      </c>
      <c r="M411" s="25">
        <v>149.13999999999999</v>
      </c>
      <c r="N411" s="5" t="s">
        <v>1231</v>
      </c>
      <c r="O411" s="5" t="s">
        <v>29</v>
      </c>
      <c r="P411" s="3">
        <v>12</v>
      </c>
      <c r="Q411" s="3">
        <v>12</v>
      </c>
      <c r="R411" s="5" t="b">
        <v>1</v>
      </c>
      <c r="S411" s="5" t="str">
        <f>IF(R411=TRUE,"Returning Customer","New Customer")</f>
        <v>Returning Customer</v>
      </c>
      <c r="T411" s="3">
        <v>5</v>
      </c>
      <c r="U411" s="12" t="str">
        <f>IF(T411&lt;=3,"Fast",IF(T411&lt;=7,"Standard",IF(T411&lt;=14,"Slow","Very Slow")))</f>
        <v>Standard</v>
      </c>
      <c r="V411" s="10" t="str">
        <f>IF(D411&lt;=25,"18-25",IF(D411&lt;=35,"26-35",IF(D411&lt;=45,"36-45",IF(D411&lt;=55,"46-55",IF(D411&lt;=65,"56-65","66-75")))))</f>
        <v>36-45</v>
      </c>
      <c r="W411" s="3">
        <v>5</v>
      </c>
    </row>
    <row r="412" spans="1:23">
      <c r="A412" s="5" t="s">
        <v>221</v>
      </c>
      <c r="B412" s="5" t="s">
        <v>222</v>
      </c>
      <c r="C412" s="6">
        <v>45362</v>
      </c>
      <c r="D412" s="8">
        <v>43</v>
      </c>
      <c r="E412" s="5" t="s">
        <v>36</v>
      </c>
      <c r="F412" s="5" t="s">
        <v>32</v>
      </c>
      <c r="G412" s="5" t="s">
        <v>28</v>
      </c>
      <c r="H412" s="7">
        <v>111.68</v>
      </c>
      <c r="I412" s="3">
        <v>3</v>
      </c>
      <c r="J412" s="33">
        <f>H412*I412</f>
        <v>335.04</v>
      </c>
      <c r="K412" s="4">
        <v>32.03</v>
      </c>
      <c r="L412" s="9">
        <f>IF(J412=0,0,K412/J412)</f>
        <v>9.5600525310410689E-2</v>
      </c>
      <c r="M412" s="25">
        <v>303.01</v>
      </c>
      <c r="N412" s="5" t="s">
        <v>23</v>
      </c>
      <c r="O412" s="5" t="s">
        <v>24</v>
      </c>
      <c r="P412" s="3">
        <v>10</v>
      </c>
      <c r="Q412" s="3">
        <v>16</v>
      </c>
      <c r="R412" s="5" t="b">
        <v>1</v>
      </c>
      <c r="S412" s="5" t="str">
        <f>IF(R412=TRUE,"Returning Customer","New Customer")</f>
        <v>Returning Customer</v>
      </c>
      <c r="T412" s="3">
        <v>11</v>
      </c>
      <c r="U412" s="12" t="str">
        <f>IF(T412&lt;=3,"Fast",IF(T412&lt;=7,"Standard",IF(T412&lt;=14,"Slow","Very Slow")))</f>
        <v>Slow</v>
      </c>
      <c r="V412" s="10" t="str">
        <f>IF(D412&lt;=25,"18-25",IF(D412&lt;=35,"26-35",IF(D412&lt;=45,"36-45",IF(D412&lt;=55,"46-55",IF(D412&lt;=65,"56-65","66-75")))))</f>
        <v>36-45</v>
      </c>
      <c r="W412" s="3">
        <v>5</v>
      </c>
    </row>
    <row r="413" spans="1:23">
      <c r="A413" s="5" t="s">
        <v>544</v>
      </c>
      <c r="B413" s="5" t="s">
        <v>545</v>
      </c>
      <c r="C413" s="6">
        <v>45022</v>
      </c>
      <c r="D413" s="8">
        <v>21</v>
      </c>
      <c r="E413" s="5" t="s">
        <v>20</v>
      </c>
      <c r="F413" s="5" t="s">
        <v>32</v>
      </c>
      <c r="G413" s="5" t="s">
        <v>22</v>
      </c>
      <c r="H413" s="7">
        <v>218.37</v>
      </c>
      <c r="I413" s="3">
        <v>1</v>
      </c>
      <c r="J413" s="33">
        <f>H413*I413</f>
        <v>218.37</v>
      </c>
      <c r="K413" s="4">
        <v>25.68</v>
      </c>
      <c r="L413" s="9">
        <f>IF(J413=0,0,K413/J413)</f>
        <v>0.11759857123231213</v>
      </c>
      <c r="M413" s="25">
        <v>192.69</v>
      </c>
      <c r="N413" s="5" t="s">
        <v>327</v>
      </c>
      <c r="O413" s="5" t="s">
        <v>33</v>
      </c>
      <c r="P413" s="3">
        <v>13</v>
      </c>
      <c r="Q413" s="3">
        <v>10</v>
      </c>
      <c r="R413" s="5" t="b">
        <v>0</v>
      </c>
      <c r="S413" s="5" t="str">
        <f>IF(R413=TRUE,"Returning Customer","New Customer")</f>
        <v>New Customer</v>
      </c>
      <c r="T413" s="3">
        <v>6</v>
      </c>
      <c r="U413" s="12" t="str">
        <f>IF(T413&lt;=3,"Fast",IF(T413&lt;=7,"Standard",IF(T413&lt;=14,"Slow","Very Slow")))</f>
        <v>Standard</v>
      </c>
      <c r="V413" s="10" t="str">
        <f>IF(D413&lt;=25,"18-25",IF(D413&lt;=35,"26-35",IF(D413&lt;=45,"36-45",IF(D413&lt;=55,"46-55",IF(D413&lt;=65,"56-65","66-75")))))</f>
        <v>18-25</v>
      </c>
      <c r="W413" s="3">
        <v>4</v>
      </c>
    </row>
    <row r="414" spans="1:23">
      <c r="A414" s="5" t="s">
        <v>546</v>
      </c>
      <c r="B414" s="5" t="s">
        <v>547</v>
      </c>
      <c r="C414" s="6">
        <v>44962</v>
      </c>
      <c r="D414" s="8">
        <v>18</v>
      </c>
      <c r="E414" s="5" t="s">
        <v>122</v>
      </c>
      <c r="F414" s="5" t="s">
        <v>32</v>
      </c>
      <c r="G414" s="5" t="s">
        <v>64</v>
      </c>
      <c r="H414" s="7">
        <v>1456.73</v>
      </c>
      <c r="I414" s="3">
        <v>1</v>
      </c>
      <c r="J414" s="33">
        <f>H414*I414</f>
        <v>1456.73</v>
      </c>
      <c r="K414" s="4">
        <v>0</v>
      </c>
      <c r="L414" s="9">
        <f>IF(J414=0,0,K414/J414)</f>
        <v>0</v>
      </c>
      <c r="M414" s="25">
        <v>1456.73</v>
      </c>
      <c r="N414" s="5" t="s">
        <v>327</v>
      </c>
      <c r="O414" s="5" t="s">
        <v>24</v>
      </c>
      <c r="P414" s="3">
        <v>13</v>
      </c>
      <c r="Q414" s="3">
        <v>8</v>
      </c>
      <c r="R414" s="5" t="b">
        <v>1</v>
      </c>
      <c r="S414" s="5" t="str">
        <f>IF(R414=TRUE,"Returning Customer","New Customer")</f>
        <v>Returning Customer</v>
      </c>
      <c r="T414" s="3">
        <v>3</v>
      </c>
      <c r="U414" s="12" t="str">
        <f>IF(T414&lt;=3,"Fast",IF(T414&lt;=7,"Standard",IF(T414&lt;=14,"Slow","Very Slow")))</f>
        <v>Fast</v>
      </c>
      <c r="V414" s="10" t="str">
        <f>IF(D414&lt;=25,"18-25",IF(D414&lt;=35,"26-35",IF(D414&lt;=45,"36-45",IF(D414&lt;=55,"46-55",IF(D414&lt;=65,"56-65","66-75")))))</f>
        <v>18-25</v>
      </c>
      <c r="W414" s="3">
        <v>3</v>
      </c>
    </row>
    <row r="415" spans="1:23">
      <c r="A415" s="5" t="s">
        <v>548</v>
      </c>
      <c r="B415" s="5" t="s">
        <v>549</v>
      </c>
      <c r="C415" s="6">
        <v>45231</v>
      </c>
      <c r="D415" s="8">
        <v>50</v>
      </c>
      <c r="E415" s="5" t="s">
        <v>20</v>
      </c>
      <c r="F415" s="5" t="s">
        <v>32</v>
      </c>
      <c r="G415" s="5" t="s">
        <v>115</v>
      </c>
      <c r="H415" s="7">
        <v>47.29</v>
      </c>
      <c r="I415" s="3">
        <v>3</v>
      </c>
      <c r="J415" s="33">
        <f>H415*I415</f>
        <v>141.87</v>
      </c>
      <c r="K415" s="4">
        <v>10.89</v>
      </c>
      <c r="L415" s="9">
        <f>IF(J415=0,0,K415/J415)</f>
        <v>7.6760414463945867E-2</v>
      </c>
      <c r="M415" s="25">
        <v>130.97999999999999</v>
      </c>
      <c r="N415" s="5" t="s">
        <v>327</v>
      </c>
      <c r="O415" s="5" t="s">
        <v>33</v>
      </c>
      <c r="P415" s="3">
        <v>21</v>
      </c>
      <c r="Q415" s="3">
        <v>7</v>
      </c>
      <c r="R415" s="5" t="b">
        <v>0</v>
      </c>
      <c r="S415" s="5" t="str">
        <f>IF(R415=TRUE,"Returning Customer","New Customer")</f>
        <v>New Customer</v>
      </c>
      <c r="T415" s="3">
        <v>3</v>
      </c>
      <c r="U415" s="12" t="str">
        <f>IF(T415&lt;=3,"Fast",IF(T415&lt;=7,"Standard",IF(T415&lt;=14,"Slow","Very Slow")))</f>
        <v>Fast</v>
      </c>
      <c r="V415" s="10" t="str">
        <f>IF(D415&lt;=25,"18-25",IF(D415&lt;=35,"26-35",IF(D415&lt;=45,"36-45",IF(D415&lt;=55,"46-55",IF(D415&lt;=65,"56-65","66-75")))))</f>
        <v>46-55</v>
      </c>
      <c r="W415" s="3">
        <v>2</v>
      </c>
    </row>
    <row r="416" spans="1:23">
      <c r="A416" s="5" t="s">
        <v>995</v>
      </c>
      <c r="B416" s="5" t="s">
        <v>996</v>
      </c>
      <c r="C416" s="6">
        <v>44961</v>
      </c>
      <c r="D416" s="8">
        <v>38</v>
      </c>
      <c r="E416" s="5" t="s">
        <v>20</v>
      </c>
      <c r="F416" s="5" t="s">
        <v>73</v>
      </c>
      <c r="G416" s="5" t="s">
        <v>37</v>
      </c>
      <c r="H416" s="7">
        <v>135.88</v>
      </c>
      <c r="I416" s="3">
        <v>4</v>
      </c>
      <c r="J416" s="33">
        <f>H416*I416</f>
        <v>543.52</v>
      </c>
      <c r="K416" s="4">
        <v>16.14</v>
      </c>
      <c r="L416" s="9">
        <f>IF(J416=0,0,K416/J416)</f>
        <v>2.9695319399470121E-2</v>
      </c>
      <c r="M416" s="25">
        <v>527.38</v>
      </c>
      <c r="N416" s="5" t="s">
        <v>692</v>
      </c>
      <c r="O416" s="5" t="s">
        <v>24</v>
      </c>
      <c r="P416" s="3">
        <v>13</v>
      </c>
      <c r="Q416" s="3">
        <v>15</v>
      </c>
      <c r="R416" s="5" t="b">
        <v>0</v>
      </c>
      <c r="S416" s="5" t="str">
        <f>IF(R416=TRUE,"Returning Customer","New Customer")</f>
        <v>New Customer</v>
      </c>
      <c r="T416" s="3">
        <v>7</v>
      </c>
      <c r="U416" s="12" t="str">
        <f>IF(T416&lt;=3,"Fast",IF(T416&lt;=7,"Standard",IF(T416&lt;=14,"Slow","Very Slow")))</f>
        <v>Standard</v>
      </c>
      <c r="V416" s="10" t="str">
        <f>IF(D416&lt;=25,"18-25",IF(D416&lt;=35,"26-35",IF(D416&lt;=45,"36-45",IF(D416&lt;=55,"46-55",IF(D416&lt;=65,"56-65","66-75")))))</f>
        <v>36-45</v>
      </c>
      <c r="W416" s="3">
        <v>4</v>
      </c>
    </row>
    <row r="417" spans="1:23">
      <c r="A417" s="5" t="s">
        <v>997</v>
      </c>
      <c r="B417" s="5" t="s">
        <v>998</v>
      </c>
      <c r="C417" s="6">
        <v>45272</v>
      </c>
      <c r="D417" s="8">
        <v>26</v>
      </c>
      <c r="E417" s="5" t="s">
        <v>36</v>
      </c>
      <c r="F417" s="5" t="s">
        <v>88</v>
      </c>
      <c r="G417" s="5" t="s">
        <v>46</v>
      </c>
      <c r="H417" s="7">
        <v>914.56</v>
      </c>
      <c r="I417" s="3">
        <v>3</v>
      </c>
      <c r="J417" s="33">
        <f>H417*I417</f>
        <v>2743.68</v>
      </c>
      <c r="K417" s="4">
        <v>163.69999999999999</v>
      </c>
      <c r="L417" s="9">
        <f>IF(J417=0,0,K417/J417)</f>
        <v>5.9664392348961981E-2</v>
      </c>
      <c r="M417" s="25">
        <v>2579.98</v>
      </c>
      <c r="N417" s="5" t="s">
        <v>692</v>
      </c>
      <c r="O417" s="5" t="s">
        <v>33</v>
      </c>
      <c r="P417" s="3">
        <v>8</v>
      </c>
      <c r="Q417" s="3">
        <v>11</v>
      </c>
      <c r="R417" s="5" t="b">
        <v>1</v>
      </c>
      <c r="S417" s="5" t="str">
        <f>IF(R417=TRUE,"Returning Customer","New Customer")</f>
        <v>Returning Customer</v>
      </c>
      <c r="T417" s="3">
        <v>4</v>
      </c>
      <c r="U417" s="12" t="str">
        <f>IF(T417&lt;=3,"Fast",IF(T417&lt;=7,"Standard",IF(T417&lt;=14,"Slow","Very Slow")))</f>
        <v>Standard</v>
      </c>
      <c r="V417" s="10" t="str">
        <f>IF(D417&lt;=25,"18-25",IF(D417&lt;=35,"26-35",IF(D417&lt;=45,"36-45",IF(D417&lt;=55,"46-55",IF(D417&lt;=65,"56-65","66-75")))))</f>
        <v>26-35</v>
      </c>
      <c r="W417" s="3">
        <v>2</v>
      </c>
    </row>
    <row r="418" spans="1:23">
      <c r="A418" s="5" t="s">
        <v>550</v>
      </c>
      <c r="B418" s="5" t="s">
        <v>551</v>
      </c>
      <c r="C418" s="6">
        <v>45368</v>
      </c>
      <c r="D418" s="8">
        <v>53</v>
      </c>
      <c r="E418" s="5" t="s">
        <v>20</v>
      </c>
      <c r="F418" s="5" t="s">
        <v>27</v>
      </c>
      <c r="G418" s="5" t="s">
        <v>37</v>
      </c>
      <c r="H418" s="7">
        <v>66.02</v>
      </c>
      <c r="I418" s="3">
        <v>1</v>
      </c>
      <c r="J418" s="33">
        <f>H418*I418</f>
        <v>66.02</v>
      </c>
      <c r="K418" s="4">
        <v>0</v>
      </c>
      <c r="L418" s="9">
        <f>IF(J418=0,0,K418/J418)</f>
        <v>0</v>
      </c>
      <c r="M418" s="25">
        <v>66.02</v>
      </c>
      <c r="N418" s="5" t="s">
        <v>327</v>
      </c>
      <c r="O418" s="5" t="s">
        <v>33</v>
      </c>
      <c r="P418" s="3">
        <v>23</v>
      </c>
      <c r="Q418" s="3">
        <v>11</v>
      </c>
      <c r="R418" s="5" t="b">
        <v>1</v>
      </c>
      <c r="S418" s="5" t="str">
        <f>IF(R418=TRUE,"Returning Customer","New Customer")</f>
        <v>Returning Customer</v>
      </c>
      <c r="T418" s="3">
        <v>7</v>
      </c>
      <c r="U418" s="12" t="str">
        <f>IF(T418&lt;=3,"Fast",IF(T418&lt;=7,"Standard",IF(T418&lt;=14,"Slow","Very Slow")))</f>
        <v>Standard</v>
      </c>
      <c r="V418" s="10" t="str">
        <f>IF(D418&lt;=25,"18-25",IF(D418&lt;=35,"26-35",IF(D418&lt;=45,"36-45",IF(D418&lt;=55,"46-55",IF(D418&lt;=65,"56-65","66-75")))))</f>
        <v>46-55</v>
      </c>
      <c r="W418" s="3">
        <v>5</v>
      </c>
    </row>
    <row r="419" spans="1:23">
      <c r="A419" s="5" t="s">
        <v>999</v>
      </c>
      <c r="B419" s="5" t="s">
        <v>1000</v>
      </c>
      <c r="C419" s="6">
        <v>45047</v>
      </c>
      <c r="D419" s="8">
        <v>36</v>
      </c>
      <c r="E419" s="5" t="s">
        <v>20</v>
      </c>
      <c r="F419" s="5" t="s">
        <v>32</v>
      </c>
      <c r="G419" s="5" t="s">
        <v>46</v>
      </c>
      <c r="H419" s="7">
        <v>440.2</v>
      </c>
      <c r="I419" s="3">
        <v>1</v>
      </c>
      <c r="J419" s="33">
        <f>H419*I419</f>
        <v>440.2</v>
      </c>
      <c r="K419" s="4">
        <v>0</v>
      </c>
      <c r="L419" s="9">
        <f>IF(J419=0,0,K419/J419)</f>
        <v>0</v>
      </c>
      <c r="M419" s="25">
        <v>440.2</v>
      </c>
      <c r="N419" s="5" t="s">
        <v>692</v>
      </c>
      <c r="O419" s="5" t="s">
        <v>24</v>
      </c>
      <c r="P419" s="3">
        <v>7</v>
      </c>
      <c r="Q419" s="3">
        <v>7</v>
      </c>
      <c r="R419" s="5" t="b">
        <v>1</v>
      </c>
      <c r="S419" s="5" t="str">
        <f>IF(R419=TRUE,"Returning Customer","New Customer")</f>
        <v>Returning Customer</v>
      </c>
      <c r="T419" s="3">
        <v>8</v>
      </c>
      <c r="U419" s="12" t="str">
        <f>IF(T419&lt;=3,"Fast",IF(T419&lt;=7,"Standard",IF(T419&lt;=14,"Slow","Very Slow")))</f>
        <v>Slow</v>
      </c>
      <c r="V419" s="10" t="str">
        <f>IF(D419&lt;=25,"18-25",IF(D419&lt;=35,"26-35",IF(D419&lt;=45,"36-45",IF(D419&lt;=55,"46-55",IF(D419&lt;=65,"56-65","66-75")))))</f>
        <v>36-45</v>
      </c>
      <c r="W419" s="3">
        <v>5</v>
      </c>
    </row>
    <row r="420" spans="1:23">
      <c r="A420" s="5" t="s">
        <v>1001</v>
      </c>
      <c r="B420" s="5" t="s">
        <v>1002</v>
      </c>
      <c r="C420" s="6">
        <v>45133</v>
      </c>
      <c r="D420" s="8">
        <v>49</v>
      </c>
      <c r="E420" s="5" t="s">
        <v>20</v>
      </c>
      <c r="F420" s="5" t="s">
        <v>52</v>
      </c>
      <c r="G420" s="5" t="s">
        <v>37</v>
      </c>
      <c r="H420" s="7">
        <v>147.38999999999999</v>
      </c>
      <c r="I420" s="3">
        <v>3</v>
      </c>
      <c r="J420" s="33">
        <f>H420*I420</f>
        <v>442.16999999999996</v>
      </c>
      <c r="K420" s="4">
        <v>40.69</v>
      </c>
      <c r="L420" s="9">
        <f>IF(J420=0,0,K420/J420)</f>
        <v>9.2023429902526183E-2</v>
      </c>
      <c r="M420" s="25">
        <v>401.48</v>
      </c>
      <c r="N420" s="5" t="s">
        <v>692</v>
      </c>
      <c r="O420" s="5" t="s">
        <v>24</v>
      </c>
      <c r="P420" s="3">
        <v>21</v>
      </c>
      <c r="Q420" s="3">
        <v>7</v>
      </c>
      <c r="R420" s="5" t="b">
        <v>0</v>
      </c>
      <c r="S420" s="5" t="str">
        <f>IF(R420=TRUE,"Returning Customer","New Customer")</f>
        <v>New Customer</v>
      </c>
      <c r="T420" s="3">
        <v>5</v>
      </c>
      <c r="U420" s="12" t="str">
        <f>IF(T420&lt;=3,"Fast",IF(T420&lt;=7,"Standard",IF(T420&lt;=14,"Slow","Very Slow")))</f>
        <v>Standard</v>
      </c>
      <c r="V420" s="10" t="str">
        <f>IF(D420&lt;=25,"18-25",IF(D420&lt;=35,"26-35",IF(D420&lt;=45,"36-45",IF(D420&lt;=55,"46-55",IF(D420&lt;=65,"56-65","66-75")))))</f>
        <v>46-55</v>
      </c>
      <c r="W420" s="3">
        <v>4</v>
      </c>
    </row>
    <row r="421" spans="1:23">
      <c r="A421" s="5" t="s">
        <v>552</v>
      </c>
      <c r="B421" s="5" t="s">
        <v>553</v>
      </c>
      <c r="C421" s="6">
        <v>44988</v>
      </c>
      <c r="D421" s="8">
        <v>35</v>
      </c>
      <c r="E421" s="5" t="s">
        <v>20</v>
      </c>
      <c r="F421" s="5" t="s">
        <v>21</v>
      </c>
      <c r="G421" s="5" t="s">
        <v>115</v>
      </c>
      <c r="H421" s="7">
        <v>30.6</v>
      </c>
      <c r="I421" s="3">
        <v>1</v>
      </c>
      <c r="J421" s="33">
        <f>H421*I421</f>
        <v>30.6</v>
      </c>
      <c r="K421" s="4">
        <v>2.2000000000000002</v>
      </c>
      <c r="L421" s="9">
        <f>IF(J421=0,0,K421/J421)</f>
        <v>7.1895424836601315E-2</v>
      </c>
      <c r="M421" s="25">
        <v>28.4</v>
      </c>
      <c r="N421" s="5" t="s">
        <v>327</v>
      </c>
      <c r="O421" s="5" t="s">
        <v>33</v>
      </c>
      <c r="P421" s="3">
        <v>7</v>
      </c>
      <c r="Q421" s="3">
        <v>6</v>
      </c>
      <c r="R421" s="5" t="b">
        <v>0</v>
      </c>
      <c r="S421" s="5" t="str">
        <f>IF(R421=TRUE,"Returning Customer","New Customer")</f>
        <v>New Customer</v>
      </c>
      <c r="T421" s="3">
        <v>4</v>
      </c>
      <c r="U421" s="12" t="str">
        <f>IF(T421&lt;=3,"Fast",IF(T421&lt;=7,"Standard",IF(T421&lt;=14,"Slow","Very Slow")))</f>
        <v>Standard</v>
      </c>
      <c r="V421" s="10" t="str">
        <f>IF(D421&lt;=25,"18-25",IF(D421&lt;=35,"26-35",IF(D421&lt;=45,"36-45",IF(D421&lt;=55,"46-55",IF(D421&lt;=65,"56-65","66-75")))))</f>
        <v>26-35</v>
      </c>
      <c r="W421" s="3">
        <v>5</v>
      </c>
    </row>
    <row r="422" spans="1:23">
      <c r="A422" s="5" t="s">
        <v>1377</v>
      </c>
      <c r="B422" s="5" t="s">
        <v>1378</v>
      </c>
      <c r="C422" s="6">
        <v>45218</v>
      </c>
      <c r="D422" s="8">
        <v>59</v>
      </c>
      <c r="E422" s="5" t="s">
        <v>36</v>
      </c>
      <c r="F422" s="5" t="s">
        <v>59</v>
      </c>
      <c r="G422" s="5" t="s">
        <v>53</v>
      </c>
      <c r="H422" s="7">
        <v>23.26</v>
      </c>
      <c r="I422" s="3">
        <v>1</v>
      </c>
      <c r="J422" s="33">
        <f>H422*I422</f>
        <v>23.26</v>
      </c>
      <c r="K422" s="4">
        <v>0</v>
      </c>
      <c r="L422" s="9">
        <f>IF(J422=0,0,K422/J422)</f>
        <v>0</v>
      </c>
      <c r="M422" s="25">
        <v>23.26</v>
      </c>
      <c r="N422" s="5" t="s">
        <v>1298</v>
      </c>
      <c r="O422" s="5" t="s">
        <v>33</v>
      </c>
      <c r="P422" s="3">
        <v>45</v>
      </c>
      <c r="Q422" s="3">
        <v>8</v>
      </c>
      <c r="R422" s="5" t="b">
        <v>0</v>
      </c>
      <c r="S422" s="5" t="str">
        <f>IF(R422=TRUE,"Returning Customer","New Customer")</f>
        <v>New Customer</v>
      </c>
      <c r="T422" s="3">
        <v>5</v>
      </c>
      <c r="U422" s="12" t="str">
        <f>IF(T422&lt;=3,"Fast",IF(T422&lt;=7,"Standard",IF(T422&lt;=14,"Slow","Very Slow")))</f>
        <v>Standard</v>
      </c>
      <c r="V422" s="10" t="str">
        <f>IF(D422&lt;=25,"18-25",IF(D422&lt;=35,"26-35",IF(D422&lt;=45,"36-45",IF(D422&lt;=55,"46-55",IF(D422&lt;=65,"56-65","66-75")))))</f>
        <v>56-65</v>
      </c>
      <c r="W422" s="3">
        <v>4</v>
      </c>
    </row>
    <row r="423" spans="1:23">
      <c r="A423" s="5" t="s">
        <v>1379</v>
      </c>
      <c r="B423" s="5" t="s">
        <v>1380</v>
      </c>
      <c r="C423" s="6">
        <v>45053</v>
      </c>
      <c r="D423" s="8">
        <v>56</v>
      </c>
      <c r="E423" s="5" t="s">
        <v>36</v>
      </c>
      <c r="F423" s="5" t="s">
        <v>59</v>
      </c>
      <c r="G423" s="5" t="s">
        <v>22</v>
      </c>
      <c r="H423" s="7">
        <v>157.38999999999999</v>
      </c>
      <c r="I423" s="3">
        <v>3</v>
      </c>
      <c r="J423" s="33">
        <f>H423*I423</f>
        <v>472.16999999999996</v>
      </c>
      <c r="K423" s="4">
        <v>0</v>
      </c>
      <c r="L423" s="9">
        <f>IF(J423=0,0,K423/J423)</f>
        <v>0</v>
      </c>
      <c r="M423" s="25">
        <v>472.17</v>
      </c>
      <c r="N423" s="5" t="s">
        <v>1298</v>
      </c>
      <c r="O423" s="5" t="s">
        <v>33</v>
      </c>
      <c r="P423" s="3">
        <v>9</v>
      </c>
      <c r="Q423" s="3">
        <v>13</v>
      </c>
      <c r="R423" s="5" t="b">
        <v>1</v>
      </c>
      <c r="S423" s="5" t="str">
        <f>IF(R423=TRUE,"Returning Customer","New Customer")</f>
        <v>Returning Customer</v>
      </c>
      <c r="T423" s="3">
        <v>11</v>
      </c>
      <c r="U423" s="12" t="str">
        <f>IF(T423&lt;=3,"Fast",IF(T423&lt;=7,"Standard",IF(T423&lt;=14,"Slow","Very Slow")))</f>
        <v>Slow</v>
      </c>
      <c r="V423" s="10" t="str">
        <f>IF(D423&lt;=25,"18-25",IF(D423&lt;=35,"26-35",IF(D423&lt;=45,"36-45",IF(D423&lt;=55,"46-55",IF(D423&lt;=65,"56-65","66-75")))))</f>
        <v>56-65</v>
      </c>
      <c r="W423" s="3">
        <v>5</v>
      </c>
    </row>
    <row r="424" spans="1:23">
      <c r="A424" s="5" t="s">
        <v>1003</v>
      </c>
      <c r="B424" s="5" t="s">
        <v>1004</v>
      </c>
      <c r="C424" s="6">
        <v>45223</v>
      </c>
      <c r="D424" s="8">
        <v>32</v>
      </c>
      <c r="E424" s="5" t="s">
        <v>122</v>
      </c>
      <c r="F424" s="5" t="s">
        <v>88</v>
      </c>
      <c r="G424" s="5" t="s">
        <v>64</v>
      </c>
      <c r="H424" s="7">
        <v>2432.27</v>
      </c>
      <c r="I424" s="3">
        <v>1</v>
      </c>
      <c r="J424" s="33">
        <f>H424*I424</f>
        <v>2432.27</v>
      </c>
      <c r="K424" s="4">
        <v>301.61</v>
      </c>
      <c r="L424" s="9">
        <f>IF(J424=0,0,K424/J424)</f>
        <v>0.1240035029005826</v>
      </c>
      <c r="M424" s="25">
        <v>2130.66</v>
      </c>
      <c r="N424" s="5" t="s">
        <v>692</v>
      </c>
      <c r="O424" s="5" t="s">
        <v>29</v>
      </c>
      <c r="P424" s="3">
        <v>24</v>
      </c>
      <c r="Q424" s="3">
        <v>11</v>
      </c>
      <c r="R424" s="5" t="b">
        <v>1</v>
      </c>
      <c r="S424" s="5" t="str">
        <f>IF(R424=TRUE,"Returning Customer","New Customer")</f>
        <v>Returning Customer</v>
      </c>
      <c r="T424" s="3">
        <v>3</v>
      </c>
      <c r="U424" s="12" t="str">
        <f>IF(T424&lt;=3,"Fast",IF(T424&lt;=7,"Standard",IF(T424&lt;=14,"Slow","Very Slow")))</f>
        <v>Fast</v>
      </c>
      <c r="V424" s="10" t="str">
        <f>IF(D424&lt;=25,"18-25",IF(D424&lt;=35,"26-35",IF(D424&lt;=45,"36-45",IF(D424&lt;=55,"46-55",IF(D424&lt;=65,"56-65","66-75")))))</f>
        <v>26-35</v>
      </c>
      <c r="W424" s="3">
        <v>1</v>
      </c>
    </row>
    <row r="425" spans="1:23">
      <c r="A425" s="5" t="s">
        <v>1005</v>
      </c>
      <c r="B425" s="5" t="s">
        <v>1006</v>
      </c>
      <c r="C425" s="6">
        <v>45231</v>
      </c>
      <c r="D425" s="8">
        <v>46</v>
      </c>
      <c r="E425" s="5" t="s">
        <v>20</v>
      </c>
      <c r="F425" s="5" t="s">
        <v>21</v>
      </c>
      <c r="G425" s="5" t="s">
        <v>28</v>
      </c>
      <c r="H425" s="7">
        <v>71.42</v>
      </c>
      <c r="I425" s="3">
        <v>2</v>
      </c>
      <c r="J425" s="33">
        <f>H425*I425</f>
        <v>142.84</v>
      </c>
      <c r="K425" s="4">
        <v>0</v>
      </c>
      <c r="L425" s="9">
        <f>IF(J425=0,0,K425/J425)</f>
        <v>0</v>
      </c>
      <c r="M425" s="25">
        <v>142.84</v>
      </c>
      <c r="N425" s="5" t="s">
        <v>692</v>
      </c>
      <c r="O425" s="5" t="s">
        <v>29</v>
      </c>
      <c r="P425" s="3">
        <v>5</v>
      </c>
      <c r="Q425" s="3">
        <v>4</v>
      </c>
      <c r="R425" s="5" t="b">
        <v>1</v>
      </c>
      <c r="S425" s="5" t="str">
        <f>IF(R425=TRUE,"Returning Customer","New Customer")</f>
        <v>Returning Customer</v>
      </c>
      <c r="T425" s="3">
        <v>3</v>
      </c>
      <c r="U425" s="12" t="str">
        <f>IF(T425&lt;=3,"Fast",IF(T425&lt;=7,"Standard",IF(T425&lt;=14,"Slow","Very Slow")))</f>
        <v>Fast</v>
      </c>
      <c r="V425" s="10" t="str">
        <f>IF(D425&lt;=25,"18-25",IF(D425&lt;=35,"26-35",IF(D425&lt;=45,"36-45",IF(D425&lt;=55,"46-55",IF(D425&lt;=65,"56-65","66-75")))))</f>
        <v>46-55</v>
      </c>
      <c r="W425" s="3">
        <v>2</v>
      </c>
    </row>
    <row r="426" spans="1:23">
      <c r="A426" s="5" t="s">
        <v>554</v>
      </c>
      <c r="B426" s="5" t="s">
        <v>555</v>
      </c>
      <c r="C426" s="6">
        <v>44947</v>
      </c>
      <c r="D426" s="8">
        <v>42</v>
      </c>
      <c r="E426" s="5" t="s">
        <v>20</v>
      </c>
      <c r="F426" s="5" t="s">
        <v>49</v>
      </c>
      <c r="G426" s="5" t="s">
        <v>53</v>
      </c>
      <c r="H426" s="7">
        <v>36.1</v>
      </c>
      <c r="I426" s="3">
        <v>3</v>
      </c>
      <c r="J426" s="33">
        <f>H426*I426</f>
        <v>108.30000000000001</v>
      </c>
      <c r="K426" s="4">
        <v>5.01</v>
      </c>
      <c r="L426" s="9">
        <f>IF(J426=0,0,K426/J426)</f>
        <v>4.6260387811634343E-2</v>
      </c>
      <c r="M426" s="25">
        <v>103.29</v>
      </c>
      <c r="N426" s="5" t="s">
        <v>327</v>
      </c>
      <c r="O426" s="5" t="s">
        <v>29</v>
      </c>
      <c r="P426" s="3">
        <v>52</v>
      </c>
      <c r="Q426" s="3">
        <v>7</v>
      </c>
      <c r="R426" s="5" t="b">
        <v>1</v>
      </c>
      <c r="S426" s="5" t="str">
        <f>IF(R426=TRUE,"Returning Customer","New Customer")</f>
        <v>Returning Customer</v>
      </c>
      <c r="T426" s="3">
        <v>4</v>
      </c>
      <c r="U426" s="12" t="str">
        <f>IF(T426&lt;=3,"Fast",IF(T426&lt;=7,"Standard",IF(T426&lt;=14,"Slow","Very Slow")))</f>
        <v>Standard</v>
      </c>
      <c r="V426" s="10" t="str">
        <f>IF(D426&lt;=25,"18-25",IF(D426&lt;=35,"26-35",IF(D426&lt;=45,"36-45",IF(D426&lt;=55,"46-55",IF(D426&lt;=65,"56-65","66-75")))))</f>
        <v>36-45</v>
      </c>
      <c r="W426" s="3">
        <v>4</v>
      </c>
    </row>
    <row r="427" spans="1:23">
      <c r="A427" s="5" t="s">
        <v>223</v>
      </c>
      <c r="B427" s="5" t="s">
        <v>224</v>
      </c>
      <c r="C427" s="6">
        <v>45244</v>
      </c>
      <c r="D427" s="8">
        <v>51</v>
      </c>
      <c r="E427" s="5" t="s">
        <v>20</v>
      </c>
      <c r="F427" s="5" t="s">
        <v>32</v>
      </c>
      <c r="G427" s="5" t="s">
        <v>22</v>
      </c>
      <c r="H427" s="7">
        <v>241.12</v>
      </c>
      <c r="I427" s="3">
        <v>1</v>
      </c>
      <c r="J427" s="33">
        <f>H427*I427</f>
        <v>241.12</v>
      </c>
      <c r="K427" s="4">
        <v>15.58</v>
      </c>
      <c r="L427" s="9">
        <f>IF(J427=0,0,K427/J427)</f>
        <v>6.46151293961513E-2</v>
      </c>
      <c r="M427" s="25">
        <v>225.54</v>
      </c>
      <c r="N427" s="5" t="s">
        <v>23</v>
      </c>
      <c r="O427" s="5" t="s">
        <v>33</v>
      </c>
      <c r="P427" s="3">
        <v>10</v>
      </c>
      <c r="Q427" s="3">
        <v>15</v>
      </c>
      <c r="R427" s="5" t="b">
        <v>1</v>
      </c>
      <c r="S427" s="5" t="str">
        <f>IF(R427=TRUE,"Returning Customer","New Customer")</f>
        <v>Returning Customer</v>
      </c>
      <c r="T427" s="3">
        <v>11</v>
      </c>
      <c r="U427" s="12" t="str">
        <f>IF(T427&lt;=3,"Fast",IF(T427&lt;=7,"Standard",IF(T427&lt;=14,"Slow","Very Slow")))</f>
        <v>Slow</v>
      </c>
      <c r="V427" s="10" t="str">
        <f>IF(D427&lt;=25,"18-25",IF(D427&lt;=35,"26-35",IF(D427&lt;=45,"36-45",IF(D427&lt;=55,"46-55",IF(D427&lt;=65,"56-65","66-75")))))</f>
        <v>46-55</v>
      </c>
      <c r="W427" s="3">
        <v>4</v>
      </c>
    </row>
    <row r="428" spans="1:23">
      <c r="A428" s="5" t="s">
        <v>1270</v>
      </c>
      <c r="B428" s="5" t="s">
        <v>1271</v>
      </c>
      <c r="C428" s="6">
        <v>44968</v>
      </c>
      <c r="D428" s="8">
        <v>23</v>
      </c>
      <c r="E428" s="5" t="s">
        <v>20</v>
      </c>
      <c r="F428" s="5" t="s">
        <v>73</v>
      </c>
      <c r="G428" s="5" t="s">
        <v>64</v>
      </c>
      <c r="H428" s="7">
        <v>1635.67</v>
      </c>
      <c r="I428" s="3">
        <v>4</v>
      </c>
      <c r="J428" s="33">
        <f>H428*I428</f>
        <v>6542.68</v>
      </c>
      <c r="K428" s="4">
        <v>178.7</v>
      </c>
      <c r="L428" s="9">
        <f>IF(J428=0,0,K428/J428)</f>
        <v>2.7312966551932844E-2</v>
      </c>
      <c r="M428" s="25">
        <v>6363.98</v>
      </c>
      <c r="N428" s="5" t="s">
        <v>1231</v>
      </c>
      <c r="O428" s="5" t="s">
        <v>24</v>
      </c>
      <c r="P428" s="3">
        <v>7</v>
      </c>
      <c r="Q428" s="3">
        <v>9</v>
      </c>
      <c r="R428" s="5" t="b">
        <v>0</v>
      </c>
      <c r="S428" s="5" t="str">
        <f>IF(R428=TRUE,"Returning Customer","New Customer")</f>
        <v>New Customer</v>
      </c>
      <c r="T428" s="3">
        <v>11</v>
      </c>
      <c r="U428" s="12" t="str">
        <f>IF(T428&lt;=3,"Fast",IF(T428&lt;=7,"Standard",IF(T428&lt;=14,"Slow","Very Slow")))</f>
        <v>Slow</v>
      </c>
      <c r="V428" s="10" t="str">
        <f>IF(D428&lt;=25,"18-25",IF(D428&lt;=35,"26-35",IF(D428&lt;=45,"36-45",IF(D428&lt;=55,"46-55",IF(D428&lt;=65,"56-65","66-75")))))</f>
        <v>18-25</v>
      </c>
      <c r="W428" s="3">
        <v>1</v>
      </c>
    </row>
    <row r="429" spans="1:23">
      <c r="A429" s="5" t="s">
        <v>1381</v>
      </c>
      <c r="B429" s="5" t="s">
        <v>1382</v>
      </c>
      <c r="C429" s="6">
        <v>45141</v>
      </c>
      <c r="D429" s="8">
        <v>43</v>
      </c>
      <c r="E429" s="5" t="s">
        <v>20</v>
      </c>
      <c r="F429" s="5" t="s">
        <v>32</v>
      </c>
      <c r="G429" s="5" t="s">
        <v>37</v>
      </c>
      <c r="H429" s="7">
        <v>87.59</v>
      </c>
      <c r="I429" s="3">
        <v>1</v>
      </c>
      <c r="J429" s="33">
        <f>H429*I429</f>
        <v>87.59</v>
      </c>
      <c r="K429" s="4">
        <v>5.76</v>
      </c>
      <c r="L429" s="9">
        <f>IF(J429=0,0,K429/J429)</f>
        <v>6.5760931613197848E-2</v>
      </c>
      <c r="M429" s="25">
        <v>81.83</v>
      </c>
      <c r="N429" s="5" t="s">
        <v>1298</v>
      </c>
      <c r="O429" s="5" t="s">
        <v>29</v>
      </c>
      <c r="P429" s="3">
        <v>16</v>
      </c>
      <c r="Q429" s="3">
        <v>4</v>
      </c>
      <c r="R429" s="5" t="b">
        <v>0</v>
      </c>
      <c r="S429" s="5" t="str">
        <f>IF(R429=TRUE,"Returning Customer","New Customer")</f>
        <v>New Customer</v>
      </c>
      <c r="T429" s="3">
        <v>8</v>
      </c>
      <c r="U429" s="12" t="str">
        <f>IF(T429&lt;=3,"Fast",IF(T429&lt;=7,"Standard",IF(T429&lt;=14,"Slow","Very Slow")))</f>
        <v>Slow</v>
      </c>
      <c r="V429" s="10" t="str">
        <f>IF(D429&lt;=25,"18-25",IF(D429&lt;=35,"26-35",IF(D429&lt;=45,"36-45",IF(D429&lt;=55,"46-55",IF(D429&lt;=65,"56-65","66-75")))))</f>
        <v>36-45</v>
      </c>
      <c r="W429" s="3">
        <v>4</v>
      </c>
    </row>
    <row r="430" spans="1:23">
      <c r="A430" s="5" t="s">
        <v>225</v>
      </c>
      <c r="B430" s="5" t="s">
        <v>226</v>
      </c>
      <c r="C430" s="6">
        <v>45263</v>
      </c>
      <c r="D430" s="8">
        <v>47</v>
      </c>
      <c r="E430" s="5" t="s">
        <v>36</v>
      </c>
      <c r="F430" s="5" t="s">
        <v>21</v>
      </c>
      <c r="G430" s="5" t="s">
        <v>115</v>
      </c>
      <c r="H430" s="7">
        <v>61.23</v>
      </c>
      <c r="I430" s="3">
        <v>1</v>
      </c>
      <c r="J430" s="33">
        <f>H430*I430</f>
        <v>61.23</v>
      </c>
      <c r="K430" s="4">
        <v>7.57</v>
      </c>
      <c r="L430" s="9">
        <f>IF(J430=0,0,K430/J430)</f>
        <v>0.12363220643475421</v>
      </c>
      <c r="M430" s="25">
        <v>53.66</v>
      </c>
      <c r="N430" s="5" t="s">
        <v>23</v>
      </c>
      <c r="O430" s="5" t="s">
        <v>24</v>
      </c>
      <c r="P430" s="3">
        <v>17</v>
      </c>
      <c r="Q430" s="3">
        <v>11</v>
      </c>
      <c r="R430" s="5" t="b">
        <v>0</v>
      </c>
      <c r="S430" s="5" t="str">
        <f>IF(R430=TRUE,"Returning Customer","New Customer")</f>
        <v>New Customer</v>
      </c>
      <c r="T430" s="3">
        <v>10</v>
      </c>
      <c r="U430" s="12" t="str">
        <f>IF(T430&lt;=3,"Fast",IF(T430&lt;=7,"Standard",IF(T430&lt;=14,"Slow","Very Slow")))</f>
        <v>Slow</v>
      </c>
      <c r="V430" s="10" t="str">
        <f>IF(D430&lt;=25,"18-25",IF(D430&lt;=35,"26-35",IF(D430&lt;=45,"36-45",IF(D430&lt;=55,"46-55",IF(D430&lt;=65,"56-65","66-75")))))</f>
        <v>46-55</v>
      </c>
      <c r="W430" s="3">
        <v>4</v>
      </c>
    </row>
    <row r="431" spans="1:23">
      <c r="A431" s="5" t="s">
        <v>1007</v>
      </c>
      <c r="B431" s="5" t="s">
        <v>1008</v>
      </c>
      <c r="C431" s="6">
        <v>45225</v>
      </c>
      <c r="D431" s="8">
        <v>18</v>
      </c>
      <c r="E431" s="5" t="s">
        <v>36</v>
      </c>
      <c r="F431" s="5" t="s">
        <v>49</v>
      </c>
      <c r="G431" s="5" t="s">
        <v>28</v>
      </c>
      <c r="H431" s="7">
        <v>45.25</v>
      </c>
      <c r="I431" s="3">
        <v>1</v>
      </c>
      <c r="J431" s="33">
        <f>H431*I431</f>
        <v>45.25</v>
      </c>
      <c r="K431" s="4">
        <v>0</v>
      </c>
      <c r="L431" s="9">
        <f>IF(J431=0,0,K431/J431)</f>
        <v>0</v>
      </c>
      <c r="M431" s="25">
        <v>45.25</v>
      </c>
      <c r="N431" s="5" t="s">
        <v>692</v>
      </c>
      <c r="O431" s="5" t="s">
        <v>33</v>
      </c>
      <c r="P431" s="3">
        <v>14</v>
      </c>
      <c r="Q431" s="3">
        <v>11</v>
      </c>
      <c r="R431" s="5" t="b">
        <v>1</v>
      </c>
      <c r="S431" s="5" t="str">
        <f>IF(R431=TRUE,"Returning Customer","New Customer")</f>
        <v>Returning Customer</v>
      </c>
      <c r="T431" s="3">
        <v>4</v>
      </c>
      <c r="U431" s="12" t="str">
        <f>IF(T431&lt;=3,"Fast",IF(T431&lt;=7,"Standard",IF(T431&lt;=14,"Slow","Very Slow")))</f>
        <v>Standard</v>
      </c>
      <c r="V431" s="10" t="str">
        <f>IF(D431&lt;=25,"18-25",IF(D431&lt;=35,"26-35",IF(D431&lt;=45,"36-45",IF(D431&lt;=55,"46-55",IF(D431&lt;=65,"56-65","66-75")))))</f>
        <v>18-25</v>
      </c>
      <c r="W431" s="3">
        <v>5</v>
      </c>
    </row>
    <row r="432" spans="1:23">
      <c r="A432" s="5" t="s">
        <v>1009</v>
      </c>
      <c r="B432" s="5" t="s">
        <v>1010</v>
      </c>
      <c r="C432" s="6">
        <v>45216</v>
      </c>
      <c r="D432" s="8">
        <v>20</v>
      </c>
      <c r="E432" s="5" t="s">
        <v>36</v>
      </c>
      <c r="F432" s="5" t="s">
        <v>52</v>
      </c>
      <c r="G432" s="5" t="s">
        <v>64</v>
      </c>
      <c r="H432" s="7">
        <v>892.29</v>
      </c>
      <c r="I432" s="3">
        <v>4</v>
      </c>
      <c r="J432" s="33">
        <f>H432*I432</f>
        <v>3569.16</v>
      </c>
      <c r="K432" s="4">
        <v>0</v>
      </c>
      <c r="L432" s="9">
        <f>IF(J432=0,0,K432/J432)</f>
        <v>0</v>
      </c>
      <c r="M432" s="25">
        <v>3569.16</v>
      </c>
      <c r="N432" s="5" t="s">
        <v>692</v>
      </c>
      <c r="O432" s="5" t="s">
        <v>33</v>
      </c>
      <c r="P432" s="3">
        <v>9</v>
      </c>
      <c r="Q432" s="3">
        <v>5</v>
      </c>
      <c r="R432" s="5" t="b">
        <v>1</v>
      </c>
      <c r="S432" s="5" t="str">
        <f>IF(R432=TRUE,"Returning Customer","New Customer")</f>
        <v>Returning Customer</v>
      </c>
      <c r="T432" s="3">
        <v>3</v>
      </c>
      <c r="U432" s="12" t="str">
        <f>IF(T432&lt;=3,"Fast",IF(T432&lt;=7,"Standard",IF(T432&lt;=14,"Slow","Very Slow")))</f>
        <v>Fast</v>
      </c>
      <c r="V432" s="10" t="str">
        <f>IF(D432&lt;=25,"18-25",IF(D432&lt;=35,"26-35",IF(D432&lt;=45,"36-45",IF(D432&lt;=55,"46-55",IF(D432&lt;=65,"56-65","66-75")))))</f>
        <v>18-25</v>
      </c>
      <c r="W432" s="3">
        <v>4</v>
      </c>
    </row>
    <row r="433" spans="1:23">
      <c r="A433" s="5" t="s">
        <v>1011</v>
      </c>
      <c r="B433" s="5" t="s">
        <v>1012</v>
      </c>
      <c r="C433" s="6">
        <v>45194</v>
      </c>
      <c r="D433" s="8">
        <v>18</v>
      </c>
      <c r="E433" s="5" t="s">
        <v>20</v>
      </c>
      <c r="F433" s="5" t="s">
        <v>32</v>
      </c>
      <c r="G433" s="5" t="s">
        <v>56</v>
      </c>
      <c r="H433" s="7">
        <v>1028.79</v>
      </c>
      <c r="I433" s="3">
        <v>1</v>
      </c>
      <c r="J433" s="33">
        <f>H433*I433</f>
        <v>1028.79</v>
      </c>
      <c r="K433" s="4">
        <v>0</v>
      </c>
      <c r="L433" s="9">
        <f>IF(J433=0,0,K433/J433)</f>
        <v>0</v>
      </c>
      <c r="M433" s="25">
        <v>1028.79</v>
      </c>
      <c r="N433" s="5" t="s">
        <v>692</v>
      </c>
      <c r="O433" s="5" t="s">
        <v>29</v>
      </c>
      <c r="P433" s="3">
        <v>10</v>
      </c>
      <c r="Q433" s="3">
        <v>6</v>
      </c>
      <c r="R433" s="5" t="b">
        <v>1</v>
      </c>
      <c r="S433" s="5" t="str">
        <f>IF(R433=TRUE,"Returning Customer","New Customer")</f>
        <v>Returning Customer</v>
      </c>
      <c r="T433" s="3">
        <v>6</v>
      </c>
      <c r="U433" s="12" t="str">
        <f>IF(T433&lt;=3,"Fast",IF(T433&lt;=7,"Standard",IF(T433&lt;=14,"Slow","Very Slow")))</f>
        <v>Standard</v>
      </c>
      <c r="V433" s="10" t="str">
        <f>IF(D433&lt;=25,"18-25",IF(D433&lt;=35,"26-35",IF(D433&lt;=45,"36-45",IF(D433&lt;=55,"46-55",IF(D433&lt;=65,"56-65","66-75")))))</f>
        <v>18-25</v>
      </c>
      <c r="W433" s="3">
        <v>4</v>
      </c>
    </row>
    <row r="434" spans="1:23">
      <c r="A434" s="5" t="s">
        <v>556</v>
      </c>
      <c r="B434" s="5" t="s">
        <v>557</v>
      </c>
      <c r="C434" s="6">
        <v>45088</v>
      </c>
      <c r="D434" s="8">
        <v>31</v>
      </c>
      <c r="E434" s="5" t="s">
        <v>36</v>
      </c>
      <c r="F434" s="5" t="s">
        <v>32</v>
      </c>
      <c r="G434" s="5" t="s">
        <v>64</v>
      </c>
      <c r="H434" s="7">
        <v>836.04</v>
      </c>
      <c r="I434" s="3">
        <v>5</v>
      </c>
      <c r="J434" s="33">
        <f>H434*I434</f>
        <v>4180.2</v>
      </c>
      <c r="K434" s="4">
        <v>0</v>
      </c>
      <c r="L434" s="9">
        <f>IF(J434=0,0,K434/J434)</f>
        <v>0</v>
      </c>
      <c r="M434" s="25">
        <v>4180.2</v>
      </c>
      <c r="N434" s="5" t="s">
        <v>327</v>
      </c>
      <c r="O434" s="5" t="s">
        <v>24</v>
      </c>
      <c r="P434" s="3">
        <v>8</v>
      </c>
      <c r="Q434" s="3">
        <v>10</v>
      </c>
      <c r="R434" s="5" t="b">
        <v>0</v>
      </c>
      <c r="S434" s="5" t="str">
        <f>IF(R434=TRUE,"Returning Customer","New Customer")</f>
        <v>New Customer</v>
      </c>
      <c r="T434" s="3">
        <v>8</v>
      </c>
      <c r="U434" s="12" t="str">
        <f>IF(T434&lt;=3,"Fast",IF(T434&lt;=7,"Standard",IF(T434&lt;=14,"Slow","Very Slow")))</f>
        <v>Slow</v>
      </c>
      <c r="V434" s="10" t="str">
        <f>IF(D434&lt;=25,"18-25",IF(D434&lt;=35,"26-35",IF(D434&lt;=45,"36-45",IF(D434&lt;=55,"46-55",IF(D434&lt;=65,"56-65","66-75")))))</f>
        <v>26-35</v>
      </c>
      <c r="W434" s="3">
        <v>5</v>
      </c>
    </row>
    <row r="435" spans="1:23">
      <c r="A435" s="5" t="s">
        <v>1013</v>
      </c>
      <c r="B435" s="5" t="s">
        <v>1014</v>
      </c>
      <c r="C435" s="6">
        <v>45060</v>
      </c>
      <c r="D435" s="8">
        <v>43</v>
      </c>
      <c r="E435" s="5" t="s">
        <v>20</v>
      </c>
      <c r="F435" s="5" t="s">
        <v>32</v>
      </c>
      <c r="G435" s="5" t="s">
        <v>22</v>
      </c>
      <c r="H435" s="7">
        <v>275.02999999999997</v>
      </c>
      <c r="I435" s="3">
        <v>2</v>
      </c>
      <c r="J435" s="33">
        <f>H435*I435</f>
        <v>550.05999999999995</v>
      </c>
      <c r="K435" s="4">
        <v>0</v>
      </c>
      <c r="L435" s="9">
        <f>IF(J435=0,0,K435/J435)</f>
        <v>0</v>
      </c>
      <c r="M435" s="25">
        <v>550.05999999999995</v>
      </c>
      <c r="N435" s="5" t="s">
        <v>692</v>
      </c>
      <c r="O435" s="5" t="s">
        <v>33</v>
      </c>
      <c r="P435" s="3">
        <v>16</v>
      </c>
      <c r="Q435" s="3">
        <v>12</v>
      </c>
      <c r="R435" s="5" t="b">
        <v>1</v>
      </c>
      <c r="S435" s="5" t="str">
        <f>IF(R435=TRUE,"Returning Customer","New Customer")</f>
        <v>Returning Customer</v>
      </c>
      <c r="T435" s="3">
        <v>12</v>
      </c>
      <c r="U435" s="12" t="str">
        <f>IF(T435&lt;=3,"Fast",IF(T435&lt;=7,"Standard",IF(T435&lt;=14,"Slow","Very Slow")))</f>
        <v>Slow</v>
      </c>
      <c r="V435" s="10" t="str">
        <f>IF(D435&lt;=25,"18-25",IF(D435&lt;=35,"26-35",IF(D435&lt;=45,"36-45",IF(D435&lt;=55,"46-55",IF(D435&lt;=65,"56-65","66-75")))))</f>
        <v>36-45</v>
      </c>
      <c r="W435" s="3">
        <v>5</v>
      </c>
    </row>
    <row r="436" spans="1:23">
      <c r="A436" s="5" t="s">
        <v>227</v>
      </c>
      <c r="B436" s="5" t="s">
        <v>228</v>
      </c>
      <c r="C436" s="6">
        <v>45031</v>
      </c>
      <c r="D436" s="8">
        <v>53</v>
      </c>
      <c r="E436" s="5" t="s">
        <v>20</v>
      </c>
      <c r="F436" s="5" t="s">
        <v>32</v>
      </c>
      <c r="G436" s="5" t="s">
        <v>53</v>
      </c>
      <c r="H436" s="7">
        <v>52.51</v>
      </c>
      <c r="I436" s="3">
        <v>1</v>
      </c>
      <c r="J436" s="33">
        <f>H436*I436</f>
        <v>52.51</v>
      </c>
      <c r="K436" s="4">
        <v>2.99</v>
      </c>
      <c r="L436" s="9">
        <f>IF(J436=0,0,K436/J436)</f>
        <v>5.6941534945724633E-2</v>
      </c>
      <c r="M436" s="25">
        <v>49.52</v>
      </c>
      <c r="N436" s="5" t="s">
        <v>23</v>
      </c>
      <c r="O436" s="5" t="s">
        <v>33</v>
      </c>
      <c r="P436" s="3">
        <v>9</v>
      </c>
      <c r="Q436" s="3">
        <v>10</v>
      </c>
      <c r="R436" s="5" t="b">
        <v>1</v>
      </c>
      <c r="S436" s="5" t="str">
        <f>IF(R436=TRUE,"Returning Customer","New Customer")</f>
        <v>Returning Customer</v>
      </c>
      <c r="T436" s="3">
        <v>2</v>
      </c>
      <c r="U436" s="12" t="str">
        <f>IF(T436&lt;=3,"Fast",IF(T436&lt;=7,"Standard",IF(T436&lt;=14,"Slow","Very Slow")))</f>
        <v>Fast</v>
      </c>
      <c r="V436" s="10" t="str">
        <f>IF(D436&lt;=25,"18-25",IF(D436&lt;=35,"26-35",IF(D436&lt;=45,"36-45",IF(D436&lt;=55,"46-55",IF(D436&lt;=65,"56-65","66-75")))))</f>
        <v>46-55</v>
      </c>
      <c r="W436" s="3">
        <v>4</v>
      </c>
    </row>
    <row r="437" spans="1:23">
      <c r="A437" s="5" t="s">
        <v>229</v>
      </c>
      <c r="B437" s="5" t="s">
        <v>230</v>
      </c>
      <c r="C437" s="6">
        <v>45269</v>
      </c>
      <c r="D437" s="8">
        <v>35</v>
      </c>
      <c r="E437" s="5" t="s">
        <v>36</v>
      </c>
      <c r="F437" s="5" t="s">
        <v>32</v>
      </c>
      <c r="G437" s="5" t="s">
        <v>28</v>
      </c>
      <c r="H437" s="7">
        <v>240.93</v>
      </c>
      <c r="I437" s="3">
        <v>2</v>
      </c>
      <c r="J437" s="33">
        <f>H437*I437</f>
        <v>481.86</v>
      </c>
      <c r="K437" s="4">
        <v>14.37</v>
      </c>
      <c r="L437" s="9">
        <f>IF(J437=0,0,K437/J437)</f>
        <v>2.9821939982567547E-2</v>
      </c>
      <c r="M437" s="25">
        <v>467.49</v>
      </c>
      <c r="N437" s="5" t="s">
        <v>23</v>
      </c>
      <c r="O437" s="5" t="s">
        <v>29</v>
      </c>
      <c r="P437" s="3">
        <v>23</v>
      </c>
      <c r="Q437" s="3">
        <v>9</v>
      </c>
      <c r="R437" s="5" t="b">
        <v>0</v>
      </c>
      <c r="S437" s="5" t="str">
        <f>IF(R437=TRUE,"Returning Customer","New Customer")</f>
        <v>New Customer</v>
      </c>
      <c r="T437" s="3">
        <v>6</v>
      </c>
      <c r="U437" s="12" t="str">
        <f>IF(T437&lt;=3,"Fast",IF(T437&lt;=7,"Standard",IF(T437&lt;=14,"Slow","Very Slow")))</f>
        <v>Standard</v>
      </c>
      <c r="V437" s="10" t="str">
        <f>IF(D437&lt;=25,"18-25",IF(D437&lt;=35,"26-35",IF(D437&lt;=45,"36-45",IF(D437&lt;=55,"46-55",IF(D437&lt;=65,"56-65","66-75")))))</f>
        <v>26-35</v>
      </c>
      <c r="W437" s="3">
        <v>4</v>
      </c>
    </row>
    <row r="438" spans="1:23">
      <c r="A438" s="5" t="s">
        <v>1015</v>
      </c>
      <c r="B438" s="5" t="s">
        <v>1016</v>
      </c>
      <c r="C438" s="6">
        <v>45293</v>
      </c>
      <c r="D438" s="8">
        <v>54</v>
      </c>
      <c r="E438" s="5" t="s">
        <v>36</v>
      </c>
      <c r="F438" s="5" t="s">
        <v>32</v>
      </c>
      <c r="G438" s="5" t="s">
        <v>53</v>
      </c>
      <c r="H438" s="7">
        <v>82.82</v>
      </c>
      <c r="I438" s="3">
        <v>2</v>
      </c>
      <c r="J438" s="33">
        <f>H438*I438</f>
        <v>165.64</v>
      </c>
      <c r="K438" s="4">
        <v>0</v>
      </c>
      <c r="L438" s="9">
        <f>IF(J438=0,0,K438/J438)</f>
        <v>0</v>
      </c>
      <c r="M438" s="25">
        <v>165.64</v>
      </c>
      <c r="N438" s="5" t="s">
        <v>692</v>
      </c>
      <c r="O438" s="5" t="s">
        <v>24</v>
      </c>
      <c r="P438" s="3">
        <v>19</v>
      </c>
      <c r="Q438" s="3">
        <v>10</v>
      </c>
      <c r="R438" s="5" t="b">
        <v>1</v>
      </c>
      <c r="S438" s="5" t="str">
        <f>IF(R438=TRUE,"Returning Customer","New Customer")</f>
        <v>Returning Customer</v>
      </c>
      <c r="T438" s="3">
        <v>4</v>
      </c>
      <c r="U438" s="12" t="str">
        <f>IF(T438&lt;=3,"Fast",IF(T438&lt;=7,"Standard",IF(T438&lt;=14,"Slow","Very Slow")))</f>
        <v>Standard</v>
      </c>
      <c r="V438" s="10" t="str">
        <f>IF(D438&lt;=25,"18-25",IF(D438&lt;=35,"26-35",IF(D438&lt;=45,"36-45",IF(D438&lt;=55,"46-55",IF(D438&lt;=65,"56-65","66-75")))))</f>
        <v>46-55</v>
      </c>
      <c r="W438" s="3">
        <v>5</v>
      </c>
    </row>
    <row r="439" spans="1:23">
      <c r="A439" s="5" t="s">
        <v>1383</v>
      </c>
      <c r="B439" s="5" t="s">
        <v>1384</v>
      </c>
      <c r="C439" s="6">
        <v>45087</v>
      </c>
      <c r="D439" s="8">
        <v>18</v>
      </c>
      <c r="E439" s="5" t="s">
        <v>20</v>
      </c>
      <c r="F439" s="5" t="s">
        <v>32</v>
      </c>
      <c r="G439" s="5" t="s">
        <v>28</v>
      </c>
      <c r="H439" s="7">
        <v>314.82</v>
      </c>
      <c r="I439" s="3">
        <v>5</v>
      </c>
      <c r="J439" s="33">
        <f>H439*I439</f>
        <v>1574.1</v>
      </c>
      <c r="K439" s="4">
        <v>34.229999999999997</v>
      </c>
      <c r="L439" s="9">
        <f>IF(J439=0,0,K439/J439)</f>
        <v>2.1745759481608538E-2</v>
      </c>
      <c r="M439" s="25">
        <v>1539.87</v>
      </c>
      <c r="N439" s="5" t="s">
        <v>1298</v>
      </c>
      <c r="O439" s="5" t="s">
        <v>33</v>
      </c>
      <c r="P439" s="3">
        <v>18</v>
      </c>
      <c r="Q439" s="3">
        <v>12</v>
      </c>
      <c r="R439" s="5" t="b">
        <v>1</v>
      </c>
      <c r="S439" s="5" t="str">
        <f>IF(R439=TRUE,"Returning Customer","New Customer")</f>
        <v>Returning Customer</v>
      </c>
      <c r="T439" s="3">
        <v>1</v>
      </c>
      <c r="U439" s="12" t="str">
        <f>IF(T439&lt;=3,"Fast",IF(T439&lt;=7,"Standard",IF(T439&lt;=14,"Slow","Very Slow")))</f>
        <v>Fast</v>
      </c>
      <c r="V439" s="10" t="str">
        <f>IF(D439&lt;=25,"18-25",IF(D439&lt;=35,"26-35",IF(D439&lt;=45,"36-45",IF(D439&lt;=55,"46-55",IF(D439&lt;=65,"56-65","66-75")))))</f>
        <v>18-25</v>
      </c>
      <c r="W439" s="3">
        <v>3</v>
      </c>
    </row>
    <row r="440" spans="1:23">
      <c r="A440" s="5" t="s">
        <v>558</v>
      </c>
      <c r="B440" s="5" t="s">
        <v>559</v>
      </c>
      <c r="C440" s="6">
        <v>45049</v>
      </c>
      <c r="D440" s="8">
        <v>18</v>
      </c>
      <c r="E440" s="5" t="s">
        <v>20</v>
      </c>
      <c r="F440" s="5" t="s">
        <v>83</v>
      </c>
      <c r="G440" s="5" t="s">
        <v>56</v>
      </c>
      <c r="H440" s="7">
        <v>1513.47</v>
      </c>
      <c r="I440" s="3">
        <v>1</v>
      </c>
      <c r="J440" s="33">
        <f>H440*I440</f>
        <v>1513.47</v>
      </c>
      <c r="K440" s="4">
        <v>0</v>
      </c>
      <c r="L440" s="9">
        <f>IF(J440=0,0,K440/J440)</f>
        <v>0</v>
      </c>
      <c r="M440" s="25">
        <v>1513.47</v>
      </c>
      <c r="N440" s="5" t="s">
        <v>327</v>
      </c>
      <c r="O440" s="5" t="s">
        <v>33</v>
      </c>
      <c r="P440" s="3">
        <v>8</v>
      </c>
      <c r="Q440" s="3">
        <v>9</v>
      </c>
      <c r="R440" s="5" t="b">
        <v>1</v>
      </c>
      <c r="S440" s="5" t="str">
        <f>IF(R440=TRUE,"Returning Customer","New Customer")</f>
        <v>Returning Customer</v>
      </c>
      <c r="T440" s="3">
        <v>6</v>
      </c>
      <c r="U440" s="12" t="str">
        <f>IF(T440&lt;=3,"Fast",IF(T440&lt;=7,"Standard",IF(T440&lt;=14,"Slow","Very Slow")))</f>
        <v>Standard</v>
      </c>
      <c r="V440" s="10" t="str">
        <f>IF(D440&lt;=25,"18-25",IF(D440&lt;=35,"26-35",IF(D440&lt;=45,"36-45",IF(D440&lt;=55,"46-55",IF(D440&lt;=65,"56-65","66-75")))))</f>
        <v>18-25</v>
      </c>
      <c r="W440" s="3">
        <v>2</v>
      </c>
    </row>
    <row r="441" spans="1:23">
      <c r="A441" s="5" t="s">
        <v>1385</v>
      </c>
      <c r="B441" s="5" t="s">
        <v>1386</v>
      </c>
      <c r="C441" s="6">
        <v>45062</v>
      </c>
      <c r="D441" s="8">
        <v>34</v>
      </c>
      <c r="E441" s="5" t="s">
        <v>20</v>
      </c>
      <c r="F441" s="5" t="s">
        <v>52</v>
      </c>
      <c r="G441" s="5" t="s">
        <v>22</v>
      </c>
      <c r="H441" s="7">
        <v>118.91</v>
      </c>
      <c r="I441" s="3">
        <v>4</v>
      </c>
      <c r="J441" s="33">
        <f>H441*I441</f>
        <v>475.64</v>
      </c>
      <c r="K441" s="4">
        <v>0</v>
      </c>
      <c r="L441" s="9">
        <f>IF(J441=0,0,K441/J441)</f>
        <v>0</v>
      </c>
      <c r="M441" s="25">
        <v>475.64</v>
      </c>
      <c r="N441" s="5" t="s">
        <v>1298</v>
      </c>
      <c r="O441" s="5" t="s">
        <v>33</v>
      </c>
      <c r="P441" s="3">
        <v>6</v>
      </c>
      <c r="Q441" s="3">
        <v>12</v>
      </c>
      <c r="R441" s="5" t="b">
        <v>1</v>
      </c>
      <c r="S441" s="5" t="str">
        <f>IF(R441=TRUE,"Returning Customer","New Customer")</f>
        <v>Returning Customer</v>
      </c>
      <c r="T441" s="3">
        <v>8</v>
      </c>
      <c r="U441" s="12" t="str">
        <f>IF(T441&lt;=3,"Fast",IF(T441&lt;=7,"Standard",IF(T441&lt;=14,"Slow","Very Slow")))</f>
        <v>Slow</v>
      </c>
      <c r="V441" s="10" t="str">
        <f>IF(D441&lt;=25,"18-25",IF(D441&lt;=35,"26-35",IF(D441&lt;=45,"36-45",IF(D441&lt;=55,"46-55",IF(D441&lt;=65,"56-65","66-75")))))</f>
        <v>26-35</v>
      </c>
      <c r="W441" s="3">
        <v>4</v>
      </c>
    </row>
    <row r="442" spans="1:23">
      <c r="A442" s="5" t="s">
        <v>1387</v>
      </c>
      <c r="B442" s="5" t="s">
        <v>1388</v>
      </c>
      <c r="C442" s="6">
        <v>45129</v>
      </c>
      <c r="D442" s="8">
        <v>39</v>
      </c>
      <c r="E442" s="5" t="s">
        <v>36</v>
      </c>
      <c r="F442" s="5" t="s">
        <v>32</v>
      </c>
      <c r="G442" s="5" t="s">
        <v>115</v>
      </c>
      <c r="H442" s="7">
        <v>11.65</v>
      </c>
      <c r="I442" s="3">
        <v>1</v>
      </c>
      <c r="J442" s="33">
        <f>H442*I442</f>
        <v>11.65</v>
      </c>
      <c r="K442" s="4">
        <v>0</v>
      </c>
      <c r="L442" s="9">
        <f>IF(J442=0,0,K442/J442)</f>
        <v>0</v>
      </c>
      <c r="M442" s="25">
        <v>11.65</v>
      </c>
      <c r="N442" s="5" t="s">
        <v>1298</v>
      </c>
      <c r="O442" s="5" t="s">
        <v>24</v>
      </c>
      <c r="P442" s="3">
        <v>18</v>
      </c>
      <c r="Q442" s="3">
        <v>10</v>
      </c>
      <c r="R442" s="5" t="b">
        <v>1</v>
      </c>
      <c r="S442" s="5" t="str">
        <f>IF(R442=TRUE,"Returning Customer","New Customer")</f>
        <v>Returning Customer</v>
      </c>
      <c r="T442" s="3">
        <v>5</v>
      </c>
      <c r="U442" s="12" t="str">
        <f>IF(T442&lt;=3,"Fast",IF(T442&lt;=7,"Standard",IF(T442&lt;=14,"Slow","Very Slow")))</f>
        <v>Standard</v>
      </c>
      <c r="V442" s="10" t="str">
        <f>IF(D442&lt;=25,"18-25",IF(D442&lt;=35,"26-35",IF(D442&lt;=45,"36-45",IF(D442&lt;=55,"46-55",IF(D442&lt;=65,"56-65","66-75")))))</f>
        <v>36-45</v>
      </c>
      <c r="W442" s="3">
        <v>5</v>
      </c>
    </row>
    <row r="443" spans="1:23">
      <c r="A443" s="5" t="s">
        <v>1017</v>
      </c>
      <c r="B443" s="5" t="s">
        <v>1018</v>
      </c>
      <c r="C443" s="6">
        <v>44994</v>
      </c>
      <c r="D443" s="8">
        <v>34</v>
      </c>
      <c r="E443" s="5" t="s">
        <v>20</v>
      </c>
      <c r="F443" s="5" t="s">
        <v>73</v>
      </c>
      <c r="G443" s="5" t="s">
        <v>115</v>
      </c>
      <c r="H443" s="7">
        <v>45.6</v>
      </c>
      <c r="I443" s="3">
        <v>2</v>
      </c>
      <c r="J443" s="33">
        <f>H443*I443</f>
        <v>91.2</v>
      </c>
      <c r="K443" s="4">
        <v>6.6</v>
      </c>
      <c r="L443" s="9">
        <f>IF(J443=0,0,K443/J443)</f>
        <v>7.2368421052631568E-2</v>
      </c>
      <c r="M443" s="25">
        <v>84.6</v>
      </c>
      <c r="N443" s="5" t="s">
        <v>692</v>
      </c>
      <c r="O443" s="5" t="s">
        <v>33</v>
      </c>
      <c r="P443" s="3">
        <v>15</v>
      </c>
      <c r="Q443" s="3">
        <v>5</v>
      </c>
      <c r="R443" s="5" t="b">
        <v>0</v>
      </c>
      <c r="S443" s="5" t="str">
        <f>IF(R443=TRUE,"Returning Customer","New Customer")</f>
        <v>New Customer</v>
      </c>
      <c r="T443" s="3">
        <v>5</v>
      </c>
      <c r="U443" s="12" t="str">
        <f>IF(T443&lt;=3,"Fast",IF(T443&lt;=7,"Standard",IF(T443&lt;=14,"Slow","Very Slow")))</f>
        <v>Standard</v>
      </c>
      <c r="V443" s="10" t="str">
        <f>IF(D443&lt;=25,"18-25",IF(D443&lt;=35,"26-35",IF(D443&lt;=45,"36-45",IF(D443&lt;=55,"46-55",IF(D443&lt;=65,"56-65","66-75")))))</f>
        <v>26-35</v>
      </c>
      <c r="W443" s="3">
        <v>3</v>
      </c>
    </row>
    <row r="444" spans="1:23">
      <c r="A444" s="5" t="s">
        <v>1019</v>
      </c>
      <c r="B444" s="5" t="s">
        <v>1020</v>
      </c>
      <c r="C444" s="6">
        <v>45270</v>
      </c>
      <c r="D444" s="8">
        <v>18</v>
      </c>
      <c r="E444" s="5" t="s">
        <v>122</v>
      </c>
      <c r="F444" s="5" t="s">
        <v>88</v>
      </c>
      <c r="G444" s="5" t="s">
        <v>64</v>
      </c>
      <c r="H444" s="7">
        <v>635.69000000000005</v>
      </c>
      <c r="I444" s="3">
        <v>2</v>
      </c>
      <c r="J444" s="33">
        <f>H444*I444</f>
        <v>1271.3800000000001</v>
      </c>
      <c r="K444" s="4">
        <v>0</v>
      </c>
      <c r="L444" s="9">
        <f>IF(J444=0,0,K444/J444)</f>
        <v>0</v>
      </c>
      <c r="M444" s="25">
        <v>1271.3800000000001</v>
      </c>
      <c r="N444" s="5" t="s">
        <v>692</v>
      </c>
      <c r="O444" s="5" t="s">
        <v>24</v>
      </c>
      <c r="P444" s="3">
        <v>17</v>
      </c>
      <c r="Q444" s="3">
        <v>6</v>
      </c>
      <c r="R444" s="5" t="b">
        <v>1</v>
      </c>
      <c r="S444" s="5" t="str">
        <f>IF(R444=TRUE,"Returning Customer","New Customer")</f>
        <v>Returning Customer</v>
      </c>
      <c r="T444" s="3">
        <v>5</v>
      </c>
      <c r="U444" s="12" t="str">
        <f>IF(T444&lt;=3,"Fast",IF(T444&lt;=7,"Standard",IF(T444&lt;=14,"Slow","Very Slow")))</f>
        <v>Standard</v>
      </c>
      <c r="V444" s="10" t="str">
        <f>IF(D444&lt;=25,"18-25",IF(D444&lt;=35,"26-35",IF(D444&lt;=45,"36-45",IF(D444&lt;=55,"46-55",IF(D444&lt;=65,"56-65","66-75")))))</f>
        <v>18-25</v>
      </c>
      <c r="W444" s="3">
        <v>3</v>
      </c>
    </row>
    <row r="445" spans="1:23">
      <c r="A445" s="5" t="s">
        <v>1021</v>
      </c>
      <c r="B445" s="5" t="s">
        <v>1022</v>
      </c>
      <c r="C445" s="6">
        <v>45257</v>
      </c>
      <c r="D445" s="8">
        <v>33</v>
      </c>
      <c r="E445" s="5" t="s">
        <v>20</v>
      </c>
      <c r="F445" s="5" t="s">
        <v>49</v>
      </c>
      <c r="G445" s="5" t="s">
        <v>56</v>
      </c>
      <c r="H445" s="7">
        <v>311.36</v>
      </c>
      <c r="I445" s="3">
        <v>1</v>
      </c>
      <c r="J445" s="33">
        <f>H445*I445</f>
        <v>311.36</v>
      </c>
      <c r="K445" s="4">
        <v>46.57</v>
      </c>
      <c r="L445" s="9">
        <f>IF(J445=0,0,K445/J445)</f>
        <v>0.14956963001027748</v>
      </c>
      <c r="M445" s="25">
        <v>264.79000000000002</v>
      </c>
      <c r="N445" s="5" t="s">
        <v>692</v>
      </c>
      <c r="O445" s="5" t="s">
        <v>33</v>
      </c>
      <c r="P445" s="3">
        <v>10</v>
      </c>
      <c r="Q445" s="3">
        <v>11</v>
      </c>
      <c r="R445" s="5" t="b">
        <v>1</v>
      </c>
      <c r="S445" s="5" t="str">
        <f>IF(R445=TRUE,"Returning Customer","New Customer")</f>
        <v>Returning Customer</v>
      </c>
      <c r="T445" s="3">
        <v>2</v>
      </c>
      <c r="U445" s="12" t="str">
        <f>IF(T445&lt;=3,"Fast",IF(T445&lt;=7,"Standard",IF(T445&lt;=14,"Slow","Very Slow")))</f>
        <v>Fast</v>
      </c>
      <c r="V445" s="10" t="str">
        <f>IF(D445&lt;=25,"18-25",IF(D445&lt;=35,"26-35",IF(D445&lt;=45,"36-45",IF(D445&lt;=55,"46-55",IF(D445&lt;=65,"56-65","66-75")))))</f>
        <v>26-35</v>
      </c>
      <c r="W445" s="3">
        <v>3</v>
      </c>
    </row>
    <row r="446" spans="1:23">
      <c r="A446" s="5" t="s">
        <v>231</v>
      </c>
      <c r="B446" s="5" t="s">
        <v>232</v>
      </c>
      <c r="C446" s="6">
        <v>45080</v>
      </c>
      <c r="D446" s="8">
        <v>19</v>
      </c>
      <c r="E446" s="5" t="s">
        <v>20</v>
      </c>
      <c r="F446" s="5" t="s">
        <v>52</v>
      </c>
      <c r="G446" s="5" t="s">
        <v>37</v>
      </c>
      <c r="H446" s="7">
        <v>132.38999999999999</v>
      </c>
      <c r="I446" s="3">
        <v>1</v>
      </c>
      <c r="J446" s="33">
        <f>H446*I446</f>
        <v>132.38999999999999</v>
      </c>
      <c r="K446" s="4">
        <v>0</v>
      </c>
      <c r="L446" s="9">
        <f>IF(J446=0,0,K446/J446)</f>
        <v>0</v>
      </c>
      <c r="M446" s="25">
        <v>132.38999999999999</v>
      </c>
      <c r="N446" s="5" t="s">
        <v>23</v>
      </c>
      <c r="O446" s="5" t="s">
        <v>33</v>
      </c>
      <c r="P446" s="3">
        <v>9</v>
      </c>
      <c r="Q446" s="3">
        <v>11</v>
      </c>
      <c r="R446" s="5" t="b">
        <v>0</v>
      </c>
      <c r="S446" s="5" t="str">
        <f>IF(R446=TRUE,"Returning Customer","New Customer")</f>
        <v>New Customer</v>
      </c>
      <c r="T446" s="3">
        <v>5</v>
      </c>
      <c r="U446" s="12" t="str">
        <f>IF(T446&lt;=3,"Fast",IF(T446&lt;=7,"Standard",IF(T446&lt;=14,"Slow","Very Slow")))</f>
        <v>Standard</v>
      </c>
      <c r="V446" s="10" t="str">
        <f>IF(D446&lt;=25,"18-25",IF(D446&lt;=35,"26-35",IF(D446&lt;=45,"36-45",IF(D446&lt;=55,"46-55",IF(D446&lt;=65,"56-65","66-75")))))</f>
        <v>18-25</v>
      </c>
      <c r="W446" s="3">
        <v>5</v>
      </c>
    </row>
    <row r="447" spans="1:23">
      <c r="A447" s="5" t="s">
        <v>560</v>
      </c>
      <c r="B447" s="5" t="s">
        <v>561</v>
      </c>
      <c r="C447" s="6">
        <v>45161</v>
      </c>
      <c r="D447" s="8">
        <v>43</v>
      </c>
      <c r="E447" s="5" t="s">
        <v>36</v>
      </c>
      <c r="F447" s="5" t="s">
        <v>73</v>
      </c>
      <c r="G447" s="5" t="s">
        <v>46</v>
      </c>
      <c r="H447" s="7">
        <v>905.87</v>
      </c>
      <c r="I447" s="3">
        <v>4</v>
      </c>
      <c r="J447" s="33">
        <f>H447*I447</f>
        <v>3623.48</v>
      </c>
      <c r="K447" s="4">
        <v>0</v>
      </c>
      <c r="L447" s="9">
        <f>IF(J447=0,0,K447/J447)</f>
        <v>0</v>
      </c>
      <c r="M447" s="25">
        <v>3623.48</v>
      </c>
      <c r="N447" s="5" t="s">
        <v>327</v>
      </c>
      <c r="O447" s="5" t="s">
        <v>24</v>
      </c>
      <c r="P447" s="3">
        <v>19</v>
      </c>
      <c r="Q447" s="3">
        <v>10</v>
      </c>
      <c r="R447" s="5" t="b">
        <v>1</v>
      </c>
      <c r="S447" s="5" t="str">
        <f>IF(R447=TRUE,"Returning Customer","New Customer")</f>
        <v>Returning Customer</v>
      </c>
      <c r="T447" s="3">
        <v>2</v>
      </c>
      <c r="U447" s="12" t="str">
        <f>IF(T447&lt;=3,"Fast",IF(T447&lt;=7,"Standard",IF(T447&lt;=14,"Slow","Very Slow")))</f>
        <v>Fast</v>
      </c>
      <c r="V447" s="10" t="str">
        <f>IF(D447&lt;=25,"18-25",IF(D447&lt;=35,"26-35",IF(D447&lt;=45,"36-45",IF(D447&lt;=55,"46-55",IF(D447&lt;=65,"56-65","66-75")))))</f>
        <v>36-45</v>
      </c>
      <c r="W447" s="3">
        <v>4</v>
      </c>
    </row>
    <row r="448" spans="1:23">
      <c r="A448" s="5" t="s">
        <v>1389</v>
      </c>
      <c r="B448" s="5" t="s">
        <v>1390</v>
      </c>
      <c r="C448" s="6">
        <v>45088</v>
      </c>
      <c r="D448" s="8">
        <v>39</v>
      </c>
      <c r="E448" s="5" t="s">
        <v>36</v>
      </c>
      <c r="F448" s="5" t="s">
        <v>27</v>
      </c>
      <c r="G448" s="5" t="s">
        <v>37</v>
      </c>
      <c r="H448" s="7">
        <v>110.03</v>
      </c>
      <c r="I448" s="3">
        <v>1</v>
      </c>
      <c r="J448" s="33">
        <f>H448*I448</f>
        <v>110.03</v>
      </c>
      <c r="K448" s="4">
        <v>0</v>
      </c>
      <c r="L448" s="9">
        <f>IF(J448=0,0,K448/J448)</f>
        <v>0</v>
      </c>
      <c r="M448" s="25">
        <v>110.03</v>
      </c>
      <c r="N448" s="5" t="s">
        <v>1298</v>
      </c>
      <c r="O448" s="5" t="s">
        <v>33</v>
      </c>
      <c r="P448" s="3">
        <v>8</v>
      </c>
      <c r="Q448" s="3">
        <v>13</v>
      </c>
      <c r="R448" s="5" t="b">
        <v>1</v>
      </c>
      <c r="S448" s="5" t="str">
        <f>IF(R448=TRUE,"Returning Customer","New Customer")</f>
        <v>Returning Customer</v>
      </c>
      <c r="T448" s="3">
        <v>8</v>
      </c>
      <c r="U448" s="12" t="str">
        <f>IF(T448&lt;=3,"Fast",IF(T448&lt;=7,"Standard",IF(T448&lt;=14,"Slow","Very Slow")))</f>
        <v>Slow</v>
      </c>
      <c r="V448" s="10" t="str">
        <f>IF(D448&lt;=25,"18-25",IF(D448&lt;=35,"26-35",IF(D448&lt;=45,"36-45",IF(D448&lt;=55,"46-55",IF(D448&lt;=65,"56-65","66-75")))))</f>
        <v>36-45</v>
      </c>
      <c r="W448" s="3">
        <v>5</v>
      </c>
    </row>
    <row r="449" spans="1:23">
      <c r="A449" s="5" t="s">
        <v>1023</v>
      </c>
      <c r="B449" s="5" t="s">
        <v>1024</v>
      </c>
      <c r="C449" s="6">
        <v>45311</v>
      </c>
      <c r="D449" s="8">
        <v>23</v>
      </c>
      <c r="E449" s="5" t="s">
        <v>20</v>
      </c>
      <c r="F449" s="5" t="s">
        <v>27</v>
      </c>
      <c r="G449" s="5" t="s">
        <v>22</v>
      </c>
      <c r="H449" s="7">
        <v>148.35</v>
      </c>
      <c r="I449" s="3">
        <v>4</v>
      </c>
      <c r="J449" s="33">
        <f>H449*I449</f>
        <v>593.4</v>
      </c>
      <c r="K449" s="4">
        <v>0</v>
      </c>
      <c r="L449" s="9">
        <f>IF(J449=0,0,K449/J449)</f>
        <v>0</v>
      </c>
      <c r="M449" s="25">
        <v>593.4</v>
      </c>
      <c r="N449" s="5" t="s">
        <v>692</v>
      </c>
      <c r="O449" s="5" t="s">
        <v>33</v>
      </c>
      <c r="P449" s="3">
        <v>21</v>
      </c>
      <c r="Q449" s="3">
        <v>10</v>
      </c>
      <c r="R449" s="5" t="b">
        <v>0</v>
      </c>
      <c r="S449" s="5" t="str">
        <f>IF(R449=TRUE,"Returning Customer","New Customer")</f>
        <v>New Customer</v>
      </c>
      <c r="T449" s="3">
        <v>4</v>
      </c>
      <c r="U449" s="12" t="str">
        <f>IF(T449&lt;=3,"Fast",IF(T449&lt;=7,"Standard",IF(T449&lt;=14,"Slow","Very Slow")))</f>
        <v>Standard</v>
      </c>
      <c r="V449" s="10" t="str">
        <f>IF(D449&lt;=25,"18-25",IF(D449&lt;=35,"26-35",IF(D449&lt;=45,"36-45",IF(D449&lt;=55,"46-55",IF(D449&lt;=65,"56-65","66-75")))))</f>
        <v>18-25</v>
      </c>
      <c r="W449" s="3">
        <v>4</v>
      </c>
    </row>
    <row r="450" spans="1:23">
      <c r="A450" s="5" t="s">
        <v>233</v>
      </c>
      <c r="B450" s="5" t="s">
        <v>234</v>
      </c>
      <c r="C450" s="6">
        <v>44964</v>
      </c>
      <c r="D450" s="8">
        <v>28</v>
      </c>
      <c r="E450" s="5" t="s">
        <v>36</v>
      </c>
      <c r="F450" s="5" t="s">
        <v>49</v>
      </c>
      <c r="G450" s="5" t="s">
        <v>56</v>
      </c>
      <c r="H450" s="7">
        <v>711.42</v>
      </c>
      <c r="I450" s="3">
        <v>3</v>
      </c>
      <c r="J450" s="33">
        <f>H450*I450</f>
        <v>2134.2599999999998</v>
      </c>
      <c r="K450" s="4">
        <v>0</v>
      </c>
      <c r="L450" s="9">
        <f>IF(J450=0,0,K450/J450)</f>
        <v>0</v>
      </c>
      <c r="M450" s="25">
        <v>2134.2600000000002</v>
      </c>
      <c r="N450" s="5" t="s">
        <v>23</v>
      </c>
      <c r="O450" s="5" t="s">
        <v>33</v>
      </c>
      <c r="P450" s="3">
        <v>16</v>
      </c>
      <c r="Q450" s="3">
        <v>9</v>
      </c>
      <c r="R450" s="5" t="b">
        <v>0</v>
      </c>
      <c r="S450" s="5" t="str">
        <f>IF(R450=TRUE,"Returning Customer","New Customer")</f>
        <v>New Customer</v>
      </c>
      <c r="T450" s="3">
        <v>11</v>
      </c>
      <c r="U450" s="12" t="str">
        <f>IF(T450&lt;=3,"Fast",IF(T450&lt;=7,"Standard",IF(T450&lt;=14,"Slow","Very Slow")))</f>
        <v>Slow</v>
      </c>
      <c r="V450" s="10" t="str">
        <f>IF(D450&lt;=25,"18-25",IF(D450&lt;=35,"26-35",IF(D450&lt;=45,"36-45",IF(D450&lt;=55,"46-55",IF(D450&lt;=65,"56-65","66-75")))))</f>
        <v>26-35</v>
      </c>
      <c r="W450" s="3">
        <v>5</v>
      </c>
    </row>
    <row r="451" spans="1:23">
      <c r="A451" s="5" t="s">
        <v>1272</v>
      </c>
      <c r="B451" s="5" t="s">
        <v>1273</v>
      </c>
      <c r="C451" s="6">
        <v>44931</v>
      </c>
      <c r="D451" s="8">
        <v>22</v>
      </c>
      <c r="E451" s="5" t="s">
        <v>36</v>
      </c>
      <c r="F451" s="5" t="s">
        <v>88</v>
      </c>
      <c r="G451" s="5" t="s">
        <v>53</v>
      </c>
      <c r="H451" s="7">
        <v>77.599999999999994</v>
      </c>
      <c r="I451" s="3">
        <v>1</v>
      </c>
      <c r="J451" s="33">
        <f>H451*I451</f>
        <v>77.599999999999994</v>
      </c>
      <c r="K451" s="4">
        <v>10.69</v>
      </c>
      <c r="L451" s="9">
        <f>IF(J451=0,0,K451/J451)</f>
        <v>0.1377577319587629</v>
      </c>
      <c r="M451" s="25">
        <v>66.91</v>
      </c>
      <c r="N451" s="5" t="s">
        <v>1231</v>
      </c>
      <c r="O451" s="5" t="s">
        <v>33</v>
      </c>
      <c r="P451" s="3">
        <v>9</v>
      </c>
      <c r="Q451" s="3">
        <v>10</v>
      </c>
      <c r="R451" s="5" t="b">
        <v>1</v>
      </c>
      <c r="S451" s="5" t="str">
        <f>IF(R451=TRUE,"Returning Customer","New Customer")</f>
        <v>Returning Customer</v>
      </c>
      <c r="T451" s="3">
        <v>1</v>
      </c>
      <c r="U451" s="12" t="str">
        <f>IF(T451&lt;=3,"Fast",IF(T451&lt;=7,"Standard",IF(T451&lt;=14,"Slow","Very Slow")))</f>
        <v>Fast</v>
      </c>
      <c r="V451" s="10" t="str">
        <f>IF(D451&lt;=25,"18-25",IF(D451&lt;=35,"26-35",IF(D451&lt;=45,"36-45",IF(D451&lt;=55,"46-55",IF(D451&lt;=65,"56-65","66-75")))))</f>
        <v>18-25</v>
      </c>
      <c r="W451" s="3">
        <v>4</v>
      </c>
    </row>
    <row r="452" spans="1:23">
      <c r="A452" s="5" t="s">
        <v>235</v>
      </c>
      <c r="B452" s="5" t="s">
        <v>236</v>
      </c>
      <c r="C452" s="6">
        <v>45161</v>
      </c>
      <c r="D452" s="8">
        <v>34</v>
      </c>
      <c r="E452" s="5" t="s">
        <v>36</v>
      </c>
      <c r="F452" s="5" t="s">
        <v>88</v>
      </c>
      <c r="G452" s="5" t="s">
        <v>56</v>
      </c>
      <c r="H452" s="7">
        <v>172.79</v>
      </c>
      <c r="I452" s="3">
        <v>1</v>
      </c>
      <c r="J452" s="33">
        <f>H452*I452</f>
        <v>172.79</v>
      </c>
      <c r="K452" s="4">
        <v>30.83</v>
      </c>
      <c r="L452" s="9">
        <f>IF(J452=0,0,K452/J452)</f>
        <v>0.17842467735401354</v>
      </c>
      <c r="M452" s="25">
        <v>141.96</v>
      </c>
      <c r="N452" s="5" t="s">
        <v>23</v>
      </c>
      <c r="O452" s="5" t="s">
        <v>33</v>
      </c>
      <c r="P452" s="3">
        <v>16</v>
      </c>
      <c r="Q452" s="3">
        <v>9</v>
      </c>
      <c r="R452" s="5" t="b">
        <v>0</v>
      </c>
      <c r="S452" s="5" t="str">
        <f>IF(R452=TRUE,"Returning Customer","New Customer")</f>
        <v>New Customer</v>
      </c>
      <c r="T452" s="3">
        <v>11</v>
      </c>
      <c r="U452" s="12" t="str">
        <f>IF(T452&lt;=3,"Fast",IF(T452&lt;=7,"Standard",IF(T452&lt;=14,"Slow","Very Slow")))</f>
        <v>Slow</v>
      </c>
      <c r="V452" s="10" t="str">
        <f>IF(D452&lt;=25,"18-25",IF(D452&lt;=35,"26-35",IF(D452&lt;=45,"36-45",IF(D452&lt;=55,"46-55",IF(D452&lt;=65,"56-65","66-75")))))</f>
        <v>26-35</v>
      </c>
      <c r="W452" s="3">
        <v>4</v>
      </c>
    </row>
    <row r="453" spans="1:23">
      <c r="A453" s="5" t="s">
        <v>1025</v>
      </c>
      <c r="B453" s="5" t="s">
        <v>1026</v>
      </c>
      <c r="C453" s="6">
        <v>45245</v>
      </c>
      <c r="D453" s="8">
        <v>46</v>
      </c>
      <c r="E453" s="5" t="s">
        <v>36</v>
      </c>
      <c r="F453" s="5" t="s">
        <v>73</v>
      </c>
      <c r="G453" s="5" t="s">
        <v>46</v>
      </c>
      <c r="H453" s="7">
        <v>350.06</v>
      </c>
      <c r="I453" s="3">
        <v>3</v>
      </c>
      <c r="J453" s="33">
        <f>H453*I453</f>
        <v>1050.18</v>
      </c>
      <c r="K453" s="4">
        <v>97.43</v>
      </c>
      <c r="L453" s="9">
        <f>IF(J453=0,0,K453/J453)</f>
        <v>9.2774571978137085E-2</v>
      </c>
      <c r="M453" s="25">
        <v>952.75</v>
      </c>
      <c r="N453" s="5" t="s">
        <v>692</v>
      </c>
      <c r="O453" s="5" t="s">
        <v>24</v>
      </c>
      <c r="P453" s="3">
        <v>18</v>
      </c>
      <c r="Q453" s="3">
        <v>10</v>
      </c>
      <c r="R453" s="5" t="b">
        <v>1</v>
      </c>
      <c r="S453" s="5" t="str">
        <f>IF(R453=TRUE,"Returning Customer","New Customer")</f>
        <v>Returning Customer</v>
      </c>
      <c r="T453" s="3">
        <v>3</v>
      </c>
      <c r="U453" s="12" t="str">
        <f>IF(T453&lt;=3,"Fast",IF(T453&lt;=7,"Standard",IF(T453&lt;=14,"Slow","Very Slow")))</f>
        <v>Fast</v>
      </c>
      <c r="V453" s="10" t="str">
        <f>IF(D453&lt;=25,"18-25",IF(D453&lt;=35,"26-35",IF(D453&lt;=45,"36-45",IF(D453&lt;=55,"46-55",IF(D453&lt;=65,"56-65","66-75")))))</f>
        <v>46-55</v>
      </c>
      <c r="W453" s="3">
        <v>5</v>
      </c>
    </row>
    <row r="454" spans="1:23">
      <c r="A454" s="5" t="s">
        <v>562</v>
      </c>
      <c r="B454" s="5" t="s">
        <v>563</v>
      </c>
      <c r="C454" s="6">
        <v>45215</v>
      </c>
      <c r="D454" s="8">
        <v>23</v>
      </c>
      <c r="E454" s="5" t="s">
        <v>36</v>
      </c>
      <c r="F454" s="5" t="s">
        <v>21</v>
      </c>
      <c r="G454" s="5" t="s">
        <v>115</v>
      </c>
      <c r="H454" s="7">
        <v>50.95</v>
      </c>
      <c r="I454" s="3">
        <v>1</v>
      </c>
      <c r="J454" s="33">
        <f>H454*I454</f>
        <v>50.95</v>
      </c>
      <c r="K454" s="4">
        <v>8.3800000000000008</v>
      </c>
      <c r="L454" s="9">
        <f>IF(J454=0,0,K454/J454)</f>
        <v>0.16447497546614329</v>
      </c>
      <c r="M454" s="25">
        <v>42.57</v>
      </c>
      <c r="N454" s="5" t="s">
        <v>327</v>
      </c>
      <c r="O454" s="5" t="s">
        <v>24</v>
      </c>
      <c r="P454" s="3">
        <v>23</v>
      </c>
      <c r="Q454" s="3">
        <v>13</v>
      </c>
      <c r="R454" s="5" t="b">
        <v>0</v>
      </c>
      <c r="S454" s="5" t="str">
        <f>IF(R454=TRUE,"Returning Customer","New Customer")</f>
        <v>New Customer</v>
      </c>
      <c r="T454" s="3">
        <v>13</v>
      </c>
      <c r="U454" s="12" t="str">
        <f>IF(T454&lt;=3,"Fast",IF(T454&lt;=7,"Standard",IF(T454&lt;=14,"Slow","Very Slow")))</f>
        <v>Slow</v>
      </c>
      <c r="V454" s="10" t="str">
        <f>IF(D454&lt;=25,"18-25",IF(D454&lt;=35,"26-35",IF(D454&lt;=45,"36-45",IF(D454&lt;=55,"46-55",IF(D454&lt;=65,"56-65","66-75")))))</f>
        <v>18-25</v>
      </c>
      <c r="W454" s="3">
        <v>5</v>
      </c>
    </row>
    <row r="455" spans="1:23">
      <c r="A455" s="5" t="s">
        <v>1027</v>
      </c>
      <c r="B455" s="5" t="s">
        <v>1028</v>
      </c>
      <c r="C455" s="6">
        <v>44978</v>
      </c>
      <c r="D455" s="8">
        <v>41</v>
      </c>
      <c r="E455" s="5" t="s">
        <v>36</v>
      </c>
      <c r="F455" s="5" t="s">
        <v>49</v>
      </c>
      <c r="G455" s="5" t="s">
        <v>22</v>
      </c>
      <c r="H455" s="7">
        <v>214.36</v>
      </c>
      <c r="I455" s="3">
        <v>1</v>
      </c>
      <c r="J455" s="33">
        <f>H455*I455</f>
        <v>214.36</v>
      </c>
      <c r="K455" s="4">
        <v>0</v>
      </c>
      <c r="L455" s="9">
        <f>IF(J455=0,0,K455/J455)</f>
        <v>0</v>
      </c>
      <c r="M455" s="25">
        <v>214.36</v>
      </c>
      <c r="N455" s="5" t="s">
        <v>692</v>
      </c>
      <c r="O455" s="5" t="s">
        <v>33</v>
      </c>
      <c r="P455" s="3">
        <v>8</v>
      </c>
      <c r="Q455" s="3">
        <v>7</v>
      </c>
      <c r="R455" s="5" t="b">
        <v>0</v>
      </c>
      <c r="S455" s="5" t="str">
        <f>IF(R455=TRUE,"Returning Customer","New Customer")</f>
        <v>New Customer</v>
      </c>
      <c r="T455" s="3">
        <v>8</v>
      </c>
      <c r="U455" s="12" t="str">
        <f>IF(T455&lt;=3,"Fast",IF(T455&lt;=7,"Standard",IF(T455&lt;=14,"Slow","Very Slow")))</f>
        <v>Slow</v>
      </c>
      <c r="V455" s="10" t="str">
        <f>IF(D455&lt;=25,"18-25",IF(D455&lt;=35,"26-35",IF(D455&lt;=45,"36-45",IF(D455&lt;=55,"46-55",IF(D455&lt;=65,"56-65","66-75")))))</f>
        <v>36-45</v>
      </c>
      <c r="W455" s="3">
        <v>5</v>
      </c>
    </row>
    <row r="456" spans="1:23">
      <c r="A456" s="5" t="s">
        <v>1029</v>
      </c>
      <c r="B456" s="5" t="s">
        <v>1030</v>
      </c>
      <c r="C456" s="6">
        <v>44964</v>
      </c>
      <c r="D456" s="8">
        <v>28</v>
      </c>
      <c r="E456" s="5" t="s">
        <v>36</v>
      </c>
      <c r="F456" s="5" t="s">
        <v>59</v>
      </c>
      <c r="G456" s="5" t="s">
        <v>56</v>
      </c>
      <c r="H456" s="7">
        <v>293.95</v>
      </c>
      <c r="I456" s="3">
        <v>1</v>
      </c>
      <c r="J456" s="33">
        <f>H456*I456</f>
        <v>293.95</v>
      </c>
      <c r="K456" s="4">
        <v>22.04</v>
      </c>
      <c r="L456" s="9">
        <f>IF(J456=0,0,K456/J456)</f>
        <v>7.4978737880591936E-2</v>
      </c>
      <c r="M456" s="25">
        <v>271.91000000000003</v>
      </c>
      <c r="N456" s="5" t="s">
        <v>692</v>
      </c>
      <c r="O456" s="5" t="s">
        <v>29</v>
      </c>
      <c r="P456" s="3">
        <v>10</v>
      </c>
      <c r="Q456" s="3">
        <v>10</v>
      </c>
      <c r="R456" s="5" t="b">
        <v>1</v>
      </c>
      <c r="S456" s="5" t="str">
        <f>IF(R456=TRUE,"Returning Customer","New Customer")</f>
        <v>Returning Customer</v>
      </c>
      <c r="T456" s="3">
        <v>12</v>
      </c>
      <c r="U456" s="12" t="str">
        <f>IF(T456&lt;=3,"Fast",IF(T456&lt;=7,"Standard",IF(T456&lt;=14,"Slow","Very Slow")))</f>
        <v>Slow</v>
      </c>
      <c r="V456" s="10" t="str">
        <f>IF(D456&lt;=25,"18-25",IF(D456&lt;=35,"26-35",IF(D456&lt;=45,"36-45",IF(D456&lt;=55,"46-55",IF(D456&lt;=65,"56-65","66-75")))))</f>
        <v>26-35</v>
      </c>
      <c r="W456" s="3">
        <v>5</v>
      </c>
    </row>
    <row r="457" spans="1:23">
      <c r="A457" s="5" t="s">
        <v>1031</v>
      </c>
      <c r="B457" s="5" t="s">
        <v>1032</v>
      </c>
      <c r="C457" s="6">
        <v>45202</v>
      </c>
      <c r="D457" s="8">
        <v>25</v>
      </c>
      <c r="E457" s="5" t="s">
        <v>20</v>
      </c>
      <c r="F457" s="5" t="s">
        <v>32</v>
      </c>
      <c r="G457" s="5" t="s">
        <v>28</v>
      </c>
      <c r="H457" s="7">
        <v>182.49</v>
      </c>
      <c r="I457" s="3">
        <v>3</v>
      </c>
      <c r="J457" s="33">
        <f>H457*I457</f>
        <v>547.47</v>
      </c>
      <c r="K457" s="4">
        <v>40.229999999999997</v>
      </c>
      <c r="L457" s="9">
        <f>IF(J457=0,0,K457/J457)</f>
        <v>7.3483478546769676E-2</v>
      </c>
      <c r="M457" s="25">
        <v>507.24</v>
      </c>
      <c r="N457" s="5" t="s">
        <v>692</v>
      </c>
      <c r="O457" s="5" t="s">
        <v>33</v>
      </c>
      <c r="P457" s="3">
        <v>25</v>
      </c>
      <c r="Q457" s="3">
        <v>7</v>
      </c>
      <c r="R457" s="5" t="b">
        <v>0</v>
      </c>
      <c r="S457" s="5" t="str">
        <f>IF(R457=TRUE,"Returning Customer","New Customer")</f>
        <v>New Customer</v>
      </c>
      <c r="T457" s="3">
        <v>5</v>
      </c>
      <c r="U457" s="12" t="str">
        <f>IF(T457&lt;=3,"Fast",IF(T457&lt;=7,"Standard",IF(T457&lt;=14,"Slow","Very Slow")))</f>
        <v>Standard</v>
      </c>
      <c r="V457" s="10" t="str">
        <f>IF(D457&lt;=25,"18-25",IF(D457&lt;=35,"26-35",IF(D457&lt;=45,"36-45",IF(D457&lt;=55,"46-55",IF(D457&lt;=65,"56-65","66-75")))))</f>
        <v>18-25</v>
      </c>
      <c r="W457" s="3">
        <v>4</v>
      </c>
    </row>
    <row r="458" spans="1:23">
      <c r="A458" s="5" t="s">
        <v>1033</v>
      </c>
      <c r="B458" s="5" t="s">
        <v>1034</v>
      </c>
      <c r="C458" s="6">
        <v>45036</v>
      </c>
      <c r="D458" s="8">
        <v>33</v>
      </c>
      <c r="E458" s="5" t="s">
        <v>20</v>
      </c>
      <c r="F458" s="5" t="s">
        <v>83</v>
      </c>
      <c r="G458" s="5" t="s">
        <v>37</v>
      </c>
      <c r="H458" s="7">
        <v>122.34</v>
      </c>
      <c r="I458" s="3">
        <v>1</v>
      </c>
      <c r="J458" s="33">
        <f>H458*I458</f>
        <v>122.34</v>
      </c>
      <c r="K458" s="4">
        <v>0</v>
      </c>
      <c r="L458" s="9">
        <f>IF(J458=0,0,K458/J458)</f>
        <v>0</v>
      </c>
      <c r="M458" s="25">
        <v>122.34</v>
      </c>
      <c r="N458" s="5" t="s">
        <v>692</v>
      </c>
      <c r="O458" s="5" t="s">
        <v>24</v>
      </c>
      <c r="P458" s="3">
        <v>16</v>
      </c>
      <c r="Q458" s="3">
        <v>8</v>
      </c>
      <c r="R458" s="5" t="b">
        <v>1</v>
      </c>
      <c r="S458" s="5" t="str">
        <f>IF(R458=TRUE,"Returning Customer","New Customer")</f>
        <v>Returning Customer</v>
      </c>
      <c r="T458" s="3">
        <v>9</v>
      </c>
      <c r="U458" s="12" t="str">
        <f>IF(T458&lt;=3,"Fast",IF(T458&lt;=7,"Standard",IF(T458&lt;=14,"Slow","Very Slow")))</f>
        <v>Slow</v>
      </c>
      <c r="V458" s="10" t="str">
        <f>IF(D458&lt;=25,"18-25",IF(D458&lt;=35,"26-35",IF(D458&lt;=45,"36-45",IF(D458&lt;=55,"46-55",IF(D458&lt;=65,"56-65","66-75")))))</f>
        <v>26-35</v>
      </c>
      <c r="W458" s="3">
        <v>4</v>
      </c>
    </row>
    <row r="459" spans="1:23">
      <c r="A459" s="5" t="s">
        <v>237</v>
      </c>
      <c r="B459" s="5" t="s">
        <v>238</v>
      </c>
      <c r="C459" s="6">
        <v>45186</v>
      </c>
      <c r="D459" s="8">
        <v>22</v>
      </c>
      <c r="E459" s="5" t="s">
        <v>20</v>
      </c>
      <c r="F459" s="5" t="s">
        <v>32</v>
      </c>
      <c r="G459" s="5" t="s">
        <v>64</v>
      </c>
      <c r="H459" s="7">
        <v>665.91</v>
      </c>
      <c r="I459" s="3">
        <v>2</v>
      </c>
      <c r="J459" s="33">
        <f>H459*I459</f>
        <v>1331.82</v>
      </c>
      <c r="K459" s="4">
        <v>0</v>
      </c>
      <c r="L459" s="9">
        <f>IF(J459=0,0,K459/J459)</f>
        <v>0</v>
      </c>
      <c r="M459" s="25">
        <v>1331.82</v>
      </c>
      <c r="N459" s="5" t="s">
        <v>23</v>
      </c>
      <c r="O459" s="5" t="s">
        <v>33</v>
      </c>
      <c r="P459" s="3">
        <v>9</v>
      </c>
      <c r="Q459" s="3">
        <v>8</v>
      </c>
      <c r="R459" s="5" t="b">
        <v>0</v>
      </c>
      <c r="S459" s="5" t="str">
        <f>IF(R459=TRUE,"Returning Customer","New Customer")</f>
        <v>New Customer</v>
      </c>
      <c r="T459" s="3">
        <v>6</v>
      </c>
      <c r="U459" s="12" t="str">
        <f>IF(T459&lt;=3,"Fast",IF(T459&lt;=7,"Standard",IF(T459&lt;=14,"Slow","Very Slow")))</f>
        <v>Standard</v>
      </c>
      <c r="V459" s="10" t="str">
        <f>IF(D459&lt;=25,"18-25",IF(D459&lt;=35,"26-35",IF(D459&lt;=45,"36-45",IF(D459&lt;=55,"46-55",IF(D459&lt;=65,"56-65","66-75")))))</f>
        <v>18-25</v>
      </c>
      <c r="W459" s="3">
        <v>4</v>
      </c>
    </row>
    <row r="460" spans="1:23">
      <c r="A460" s="5" t="s">
        <v>1035</v>
      </c>
      <c r="B460" s="5" t="s">
        <v>1036</v>
      </c>
      <c r="C460" s="6">
        <v>45062</v>
      </c>
      <c r="D460" s="8">
        <v>28</v>
      </c>
      <c r="E460" s="5" t="s">
        <v>20</v>
      </c>
      <c r="F460" s="5" t="s">
        <v>21</v>
      </c>
      <c r="G460" s="5" t="s">
        <v>37</v>
      </c>
      <c r="H460" s="7">
        <v>213.77</v>
      </c>
      <c r="I460" s="3">
        <v>4</v>
      </c>
      <c r="J460" s="33">
        <f>H460*I460</f>
        <v>855.08</v>
      </c>
      <c r="K460" s="4">
        <v>0</v>
      </c>
      <c r="L460" s="9">
        <f>IF(J460=0,0,K460/J460)</f>
        <v>0</v>
      </c>
      <c r="M460" s="25">
        <v>855.08</v>
      </c>
      <c r="N460" s="5" t="s">
        <v>692</v>
      </c>
      <c r="O460" s="5" t="s">
        <v>24</v>
      </c>
      <c r="P460" s="3">
        <v>22</v>
      </c>
      <c r="Q460" s="3">
        <v>5</v>
      </c>
      <c r="R460" s="5" t="b">
        <v>0</v>
      </c>
      <c r="S460" s="5" t="str">
        <f>IF(R460=TRUE,"Returning Customer","New Customer")</f>
        <v>New Customer</v>
      </c>
      <c r="T460" s="3">
        <v>2</v>
      </c>
      <c r="U460" s="12" t="str">
        <f>IF(T460&lt;=3,"Fast",IF(T460&lt;=7,"Standard",IF(T460&lt;=14,"Slow","Very Slow")))</f>
        <v>Fast</v>
      </c>
      <c r="V460" s="10" t="str">
        <f>IF(D460&lt;=25,"18-25",IF(D460&lt;=35,"26-35",IF(D460&lt;=45,"36-45",IF(D460&lt;=55,"46-55",IF(D460&lt;=65,"56-65","66-75")))))</f>
        <v>26-35</v>
      </c>
      <c r="W460" s="3">
        <v>4</v>
      </c>
    </row>
    <row r="461" spans="1:23">
      <c r="A461" s="5" t="s">
        <v>239</v>
      </c>
      <c r="B461" s="5" t="s">
        <v>240</v>
      </c>
      <c r="C461" s="6">
        <v>44994</v>
      </c>
      <c r="D461" s="8">
        <v>20</v>
      </c>
      <c r="E461" s="5" t="s">
        <v>20</v>
      </c>
      <c r="F461" s="5" t="s">
        <v>88</v>
      </c>
      <c r="G461" s="5" t="s">
        <v>22</v>
      </c>
      <c r="H461" s="7">
        <v>96.23</v>
      </c>
      <c r="I461" s="3">
        <v>2</v>
      </c>
      <c r="J461" s="33">
        <f>H461*I461</f>
        <v>192.46</v>
      </c>
      <c r="K461" s="4">
        <v>0</v>
      </c>
      <c r="L461" s="9">
        <f>IF(J461=0,0,K461/J461)</f>
        <v>0</v>
      </c>
      <c r="M461" s="25">
        <v>192.46</v>
      </c>
      <c r="N461" s="5" t="s">
        <v>23</v>
      </c>
      <c r="O461" s="5" t="s">
        <v>24</v>
      </c>
      <c r="P461" s="3">
        <v>26</v>
      </c>
      <c r="Q461" s="3">
        <v>13</v>
      </c>
      <c r="R461" s="5" t="b">
        <v>0</v>
      </c>
      <c r="S461" s="5" t="str">
        <f>IF(R461=TRUE,"Returning Customer","New Customer")</f>
        <v>New Customer</v>
      </c>
      <c r="T461" s="3">
        <v>3</v>
      </c>
      <c r="U461" s="12" t="str">
        <f>IF(T461&lt;=3,"Fast",IF(T461&lt;=7,"Standard",IF(T461&lt;=14,"Slow","Very Slow")))</f>
        <v>Fast</v>
      </c>
      <c r="V461" s="10" t="str">
        <f>IF(D461&lt;=25,"18-25",IF(D461&lt;=35,"26-35",IF(D461&lt;=45,"36-45",IF(D461&lt;=55,"46-55",IF(D461&lt;=65,"56-65","66-75")))))</f>
        <v>18-25</v>
      </c>
      <c r="W461" s="3">
        <v>4</v>
      </c>
    </row>
    <row r="462" spans="1:23">
      <c r="A462" s="5" t="s">
        <v>1037</v>
      </c>
      <c r="B462" s="5" t="s">
        <v>1038</v>
      </c>
      <c r="C462" s="6">
        <v>45105</v>
      </c>
      <c r="D462" s="8">
        <v>58</v>
      </c>
      <c r="E462" s="5" t="s">
        <v>36</v>
      </c>
      <c r="F462" s="5" t="s">
        <v>32</v>
      </c>
      <c r="G462" s="5" t="s">
        <v>115</v>
      </c>
      <c r="H462" s="7">
        <v>36.1</v>
      </c>
      <c r="I462" s="3">
        <v>3</v>
      </c>
      <c r="J462" s="33">
        <f>H462*I462</f>
        <v>108.30000000000001</v>
      </c>
      <c r="K462" s="4">
        <v>0</v>
      </c>
      <c r="L462" s="9">
        <f>IF(J462=0,0,K462/J462)</f>
        <v>0</v>
      </c>
      <c r="M462" s="25">
        <v>108.3</v>
      </c>
      <c r="N462" s="5" t="s">
        <v>692</v>
      </c>
      <c r="O462" s="5" t="s">
        <v>33</v>
      </c>
      <c r="P462" s="3">
        <v>14</v>
      </c>
      <c r="Q462" s="3">
        <v>7</v>
      </c>
      <c r="R462" s="5" t="b">
        <v>1</v>
      </c>
      <c r="S462" s="5" t="str">
        <f>IF(R462=TRUE,"Returning Customer","New Customer")</f>
        <v>Returning Customer</v>
      </c>
      <c r="T462" s="3">
        <v>13</v>
      </c>
      <c r="U462" s="12" t="str">
        <f>IF(T462&lt;=3,"Fast",IF(T462&lt;=7,"Standard",IF(T462&lt;=14,"Slow","Very Slow")))</f>
        <v>Slow</v>
      </c>
      <c r="V462" s="10" t="str">
        <f>IF(D462&lt;=25,"18-25",IF(D462&lt;=35,"26-35",IF(D462&lt;=45,"36-45",IF(D462&lt;=55,"46-55",IF(D462&lt;=65,"56-65","66-75")))))</f>
        <v>56-65</v>
      </c>
      <c r="W462" s="3">
        <v>4</v>
      </c>
    </row>
    <row r="463" spans="1:23">
      <c r="A463" s="5" t="s">
        <v>1039</v>
      </c>
      <c r="B463" s="5" t="s">
        <v>1040</v>
      </c>
      <c r="C463" s="6">
        <v>44962</v>
      </c>
      <c r="D463" s="8">
        <v>35</v>
      </c>
      <c r="E463" s="5" t="s">
        <v>20</v>
      </c>
      <c r="F463" s="5" t="s">
        <v>21</v>
      </c>
      <c r="G463" s="5" t="s">
        <v>56</v>
      </c>
      <c r="H463" s="7">
        <v>205.05</v>
      </c>
      <c r="I463" s="3">
        <v>2</v>
      </c>
      <c r="J463" s="33">
        <f>H463*I463</f>
        <v>410.1</v>
      </c>
      <c r="K463" s="4">
        <v>0</v>
      </c>
      <c r="L463" s="9">
        <f>IF(J463=0,0,K463/J463)</f>
        <v>0</v>
      </c>
      <c r="M463" s="25">
        <v>410.1</v>
      </c>
      <c r="N463" s="5" t="s">
        <v>692</v>
      </c>
      <c r="O463" s="5" t="s">
        <v>24</v>
      </c>
      <c r="P463" s="3">
        <v>22</v>
      </c>
      <c r="Q463" s="3">
        <v>6</v>
      </c>
      <c r="R463" s="5" t="b">
        <v>1</v>
      </c>
      <c r="S463" s="5" t="str">
        <f>IF(R463=TRUE,"Returning Customer","New Customer")</f>
        <v>Returning Customer</v>
      </c>
      <c r="T463" s="3">
        <v>5</v>
      </c>
      <c r="U463" s="12" t="str">
        <f>IF(T463&lt;=3,"Fast",IF(T463&lt;=7,"Standard",IF(T463&lt;=14,"Slow","Very Slow")))</f>
        <v>Standard</v>
      </c>
      <c r="V463" s="10" t="str">
        <f>IF(D463&lt;=25,"18-25",IF(D463&lt;=35,"26-35",IF(D463&lt;=45,"36-45",IF(D463&lt;=55,"46-55",IF(D463&lt;=65,"56-65","66-75")))))</f>
        <v>26-35</v>
      </c>
      <c r="W463" s="3">
        <v>5</v>
      </c>
    </row>
    <row r="464" spans="1:23">
      <c r="A464" s="5" t="s">
        <v>1041</v>
      </c>
      <c r="B464" s="5" t="s">
        <v>1042</v>
      </c>
      <c r="C464" s="6">
        <v>45377</v>
      </c>
      <c r="D464" s="8">
        <v>26</v>
      </c>
      <c r="E464" s="5" t="s">
        <v>20</v>
      </c>
      <c r="F464" s="5" t="s">
        <v>32</v>
      </c>
      <c r="G464" s="5" t="s">
        <v>115</v>
      </c>
      <c r="H464" s="7">
        <v>19.84</v>
      </c>
      <c r="I464" s="3">
        <v>3</v>
      </c>
      <c r="J464" s="33">
        <f>H464*I464</f>
        <v>59.519999999999996</v>
      </c>
      <c r="K464" s="4">
        <v>0</v>
      </c>
      <c r="L464" s="9">
        <f>IF(J464=0,0,K464/J464)</f>
        <v>0</v>
      </c>
      <c r="M464" s="25">
        <v>59.52</v>
      </c>
      <c r="N464" s="5" t="s">
        <v>692</v>
      </c>
      <c r="O464" s="5" t="s">
        <v>33</v>
      </c>
      <c r="P464" s="3">
        <v>11</v>
      </c>
      <c r="Q464" s="3">
        <v>10</v>
      </c>
      <c r="R464" s="5" t="b">
        <v>0</v>
      </c>
      <c r="S464" s="5" t="str">
        <f>IF(R464=TRUE,"Returning Customer","New Customer")</f>
        <v>New Customer</v>
      </c>
      <c r="T464" s="3">
        <v>6</v>
      </c>
      <c r="U464" s="12" t="str">
        <f>IF(T464&lt;=3,"Fast",IF(T464&lt;=7,"Standard",IF(T464&lt;=14,"Slow","Very Slow")))</f>
        <v>Standard</v>
      </c>
      <c r="V464" s="10" t="str">
        <f>IF(D464&lt;=25,"18-25",IF(D464&lt;=35,"26-35",IF(D464&lt;=45,"36-45",IF(D464&lt;=55,"46-55",IF(D464&lt;=65,"56-65","66-75")))))</f>
        <v>26-35</v>
      </c>
      <c r="W464" s="3">
        <v>4</v>
      </c>
    </row>
    <row r="465" spans="1:23">
      <c r="A465" s="5" t="s">
        <v>1043</v>
      </c>
      <c r="B465" s="5" t="s">
        <v>1044</v>
      </c>
      <c r="C465" s="6">
        <v>45052</v>
      </c>
      <c r="D465" s="8">
        <v>37</v>
      </c>
      <c r="E465" s="5" t="s">
        <v>36</v>
      </c>
      <c r="F465" s="5" t="s">
        <v>52</v>
      </c>
      <c r="G465" s="5" t="s">
        <v>37</v>
      </c>
      <c r="H465" s="7">
        <v>103.09</v>
      </c>
      <c r="I465" s="3">
        <v>2</v>
      </c>
      <c r="J465" s="33">
        <f>H465*I465</f>
        <v>206.18</v>
      </c>
      <c r="K465" s="4">
        <v>0</v>
      </c>
      <c r="L465" s="9">
        <f>IF(J465=0,0,K465/J465)</f>
        <v>0</v>
      </c>
      <c r="M465" s="25">
        <v>206.18</v>
      </c>
      <c r="N465" s="5" t="s">
        <v>692</v>
      </c>
      <c r="O465" s="5" t="s">
        <v>33</v>
      </c>
      <c r="P465" s="3">
        <v>15</v>
      </c>
      <c r="Q465" s="3">
        <v>8</v>
      </c>
      <c r="R465" s="5" t="b">
        <v>0</v>
      </c>
      <c r="S465" s="5" t="str">
        <f>IF(R465=TRUE,"Returning Customer","New Customer")</f>
        <v>New Customer</v>
      </c>
      <c r="T465" s="3">
        <v>5</v>
      </c>
      <c r="U465" s="12" t="str">
        <f>IF(T465&lt;=3,"Fast",IF(T465&lt;=7,"Standard",IF(T465&lt;=14,"Slow","Very Slow")))</f>
        <v>Standard</v>
      </c>
      <c r="V465" s="10" t="str">
        <f>IF(D465&lt;=25,"18-25",IF(D465&lt;=35,"26-35",IF(D465&lt;=45,"36-45",IF(D465&lt;=55,"46-55",IF(D465&lt;=65,"56-65","66-75")))))</f>
        <v>36-45</v>
      </c>
      <c r="W465" s="3">
        <v>3</v>
      </c>
    </row>
    <row r="466" spans="1:23">
      <c r="A466" s="5" t="s">
        <v>1045</v>
      </c>
      <c r="B466" s="5" t="s">
        <v>1046</v>
      </c>
      <c r="C466" s="6">
        <v>45116</v>
      </c>
      <c r="D466" s="8">
        <v>33</v>
      </c>
      <c r="E466" s="5" t="s">
        <v>20</v>
      </c>
      <c r="F466" s="5" t="s">
        <v>32</v>
      </c>
      <c r="G466" s="5" t="s">
        <v>56</v>
      </c>
      <c r="H466" s="7">
        <v>343.43</v>
      </c>
      <c r="I466" s="3">
        <v>5</v>
      </c>
      <c r="J466" s="33">
        <f>H466*I466</f>
        <v>1717.15</v>
      </c>
      <c r="K466" s="4">
        <v>0</v>
      </c>
      <c r="L466" s="9">
        <f>IF(J466=0,0,K466/J466)</f>
        <v>0</v>
      </c>
      <c r="M466" s="25">
        <v>1717.15</v>
      </c>
      <c r="N466" s="5" t="s">
        <v>692</v>
      </c>
      <c r="O466" s="5" t="s">
        <v>33</v>
      </c>
      <c r="P466" s="3">
        <v>16</v>
      </c>
      <c r="Q466" s="3">
        <v>9</v>
      </c>
      <c r="R466" s="5" t="b">
        <v>1</v>
      </c>
      <c r="S466" s="5" t="str">
        <f>IF(R466=TRUE,"Returning Customer","New Customer")</f>
        <v>Returning Customer</v>
      </c>
      <c r="T466" s="3">
        <v>4</v>
      </c>
      <c r="U466" s="12" t="str">
        <f>IF(T466&lt;=3,"Fast",IF(T466&lt;=7,"Standard",IF(T466&lt;=14,"Slow","Very Slow")))</f>
        <v>Standard</v>
      </c>
      <c r="V466" s="10" t="str">
        <f>IF(D466&lt;=25,"18-25",IF(D466&lt;=35,"26-35",IF(D466&lt;=45,"36-45",IF(D466&lt;=55,"46-55",IF(D466&lt;=65,"56-65","66-75")))))</f>
        <v>26-35</v>
      </c>
      <c r="W466" s="3">
        <v>1</v>
      </c>
    </row>
    <row r="467" spans="1:23">
      <c r="A467" s="5" t="s">
        <v>564</v>
      </c>
      <c r="B467" s="5" t="s">
        <v>565</v>
      </c>
      <c r="C467" s="6">
        <v>45072</v>
      </c>
      <c r="D467" s="8">
        <v>32</v>
      </c>
      <c r="E467" s="5" t="s">
        <v>20</v>
      </c>
      <c r="F467" s="5" t="s">
        <v>52</v>
      </c>
      <c r="G467" s="5" t="s">
        <v>37</v>
      </c>
      <c r="H467" s="7">
        <v>163.89</v>
      </c>
      <c r="I467" s="3">
        <v>1</v>
      </c>
      <c r="J467" s="33">
        <f>H467*I467</f>
        <v>163.89</v>
      </c>
      <c r="K467" s="4">
        <v>0</v>
      </c>
      <c r="L467" s="9">
        <f>IF(J467=0,0,K467/J467)</f>
        <v>0</v>
      </c>
      <c r="M467" s="25">
        <v>163.89</v>
      </c>
      <c r="N467" s="5" t="s">
        <v>327</v>
      </c>
      <c r="O467" s="5" t="s">
        <v>33</v>
      </c>
      <c r="P467" s="3">
        <v>7</v>
      </c>
      <c r="Q467" s="3">
        <v>9</v>
      </c>
      <c r="R467" s="5" t="b">
        <v>0</v>
      </c>
      <c r="S467" s="5" t="str">
        <f>IF(R467=TRUE,"Returning Customer","New Customer")</f>
        <v>New Customer</v>
      </c>
      <c r="T467" s="3">
        <v>4</v>
      </c>
      <c r="U467" s="12" t="str">
        <f>IF(T467&lt;=3,"Fast",IF(T467&lt;=7,"Standard",IF(T467&lt;=14,"Slow","Very Slow")))</f>
        <v>Standard</v>
      </c>
      <c r="V467" s="10" t="str">
        <f>IF(D467&lt;=25,"18-25",IF(D467&lt;=35,"26-35",IF(D467&lt;=45,"36-45",IF(D467&lt;=55,"46-55",IF(D467&lt;=65,"56-65","66-75")))))</f>
        <v>26-35</v>
      </c>
      <c r="W467" s="3">
        <v>5</v>
      </c>
    </row>
    <row r="468" spans="1:23">
      <c r="A468" s="5" t="s">
        <v>1274</v>
      </c>
      <c r="B468" s="5" t="s">
        <v>1275</v>
      </c>
      <c r="C468" s="6">
        <v>45007</v>
      </c>
      <c r="D468" s="8">
        <v>42</v>
      </c>
      <c r="E468" s="5" t="s">
        <v>20</v>
      </c>
      <c r="F468" s="5" t="s">
        <v>52</v>
      </c>
      <c r="G468" s="5" t="s">
        <v>22</v>
      </c>
      <c r="H468" s="7">
        <v>125.69</v>
      </c>
      <c r="I468" s="3">
        <v>2</v>
      </c>
      <c r="J468" s="33">
        <f>H468*I468</f>
        <v>251.38</v>
      </c>
      <c r="K468" s="4">
        <v>36.31</v>
      </c>
      <c r="L468" s="9">
        <f>IF(J468=0,0,K468/J468)</f>
        <v>0.14444267642612779</v>
      </c>
      <c r="M468" s="25">
        <v>215.07</v>
      </c>
      <c r="N468" s="5" t="s">
        <v>1231</v>
      </c>
      <c r="O468" s="5" t="s">
        <v>33</v>
      </c>
      <c r="P468" s="3">
        <v>9</v>
      </c>
      <c r="Q468" s="3">
        <v>11</v>
      </c>
      <c r="R468" s="5" t="b">
        <v>1</v>
      </c>
      <c r="S468" s="5" t="str">
        <f>IF(R468=TRUE,"Returning Customer","New Customer")</f>
        <v>Returning Customer</v>
      </c>
      <c r="T468" s="3">
        <v>5</v>
      </c>
      <c r="U468" s="12" t="str">
        <f>IF(T468&lt;=3,"Fast",IF(T468&lt;=7,"Standard",IF(T468&lt;=14,"Slow","Very Slow")))</f>
        <v>Standard</v>
      </c>
      <c r="V468" s="10" t="str">
        <f>IF(D468&lt;=25,"18-25",IF(D468&lt;=35,"26-35",IF(D468&lt;=45,"36-45",IF(D468&lt;=55,"46-55",IF(D468&lt;=65,"56-65","66-75")))))</f>
        <v>36-45</v>
      </c>
      <c r="W468" s="3">
        <v>5</v>
      </c>
    </row>
    <row r="469" spans="1:23">
      <c r="A469" s="5" t="s">
        <v>1047</v>
      </c>
      <c r="B469" s="5" t="s">
        <v>1048</v>
      </c>
      <c r="C469" s="6">
        <v>45151</v>
      </c>
      <c r="D469" s="8">
        <v>44</v>
      </c>
      <c r="E469" s="5" t="s">
        <v>20</v>
      </c>
      <c r="F469" s="5" t="s">
        <v>83</v>
      </c>
      <c r="G469" s="5" t="s">
        <v>53</v>
      </c>
      <c r="H469" s="7">
        <v>32.53</v>
      </c>
      <c r="I469" s="3">
        <v>5</v>
      </c>
      <c r="J469" s="33">
        <f>H469*I469</f>
        <v>162.65</v>
      </c>
      <c r="K469" s="4">
        <v>3.22</v>
      </c>
      <c r="L469" s="9">
        <f>IF(J469=0,0,K469/J469)</f>
        <v>1.9797110359668E-2</v>
      </c>
      <c r="M469" s="25">
        <v>159.43</v>
      </c>
      <c r="N469" s="5" t="s">
        <v>692</v>
      </c>
      <c r="O469" s="5" t="s">
        <v>24</v>
      </c>
      <c r="P469" s="3">
        <v>16</v>
      </c>
      <c r="Q469" s="3">
        <v>10</v>
      </c>
      <c r="R469" s="5" t="b">
        <v>1</v>
      </c>
      <c r="S469" s="5" t="str">
        <f>IF(R469=TRUE,"Returning Customer","New Customer")</f>
        <v>Returning Customer</v>
      </c>
      <c r="T469" s="3">
        <v>5</v>
      </c>
      <c r="U469" s="12" t="str">
        <f>IF(T469&lt;=3,"Fast",IF(T469&lt;=7,"Standard",IF(T469&lt;=14,"Slow","Very Slow")))</f>
        <v>Standard</v>
      </c>
      <c r="V469" s="10" t="str">
        <f>IF(D469&lt;=25,"18-25",IF(D469&lt;=35,"26-35",IF(D469&lt;=45,"36-45",IF(D469&lt;=55,"46-55",IF(D469&lt;=65,"56-65","66-75")))))</f>
        <v>36-45</v>
      </c>
      <c r="W469" s="3">
        <v>4</v>
      </c>
    </row>
    <row r="470" spans="1:23">
      <c r="A470" s="5" t="s">
        <v>1049</v>
      </c>
      <c r="B470" s="5" t="s">
        <v>1050</v>
      </c>
      <c r="C470" s="6">
        <v>45353</v>
      </c>
      <c r="D470" s="8">
        <v>28</v>
      </c>
      <c r="E470" s="5" t="s">
        <v>20</v>
      </c>
      <c r="F470" s="5" t="s">
        <v>83</v>
      </c>
      <c r="G470" s="5" t="s">
        <v>115</v>
      </c>
      <c r="H470" s="7">
        <v>97.62</v>
      </c>
      <c r="I470" s="3">
        <v>1</v>
      </c>
      <c r="J470" s="33">
        <f>H470*I470</f>
        <v>97.62</v>
      </c>
      <c r="K470" s="4">
        <v>9.61</v>
      </c>
      <c r="L470" s="9">
        <f>IF(J470=0,0,K470/J470)</f>
        <v>9.8442942020077848E-2</v>
      </c>
      <c r="M470" s="25">
        <v>88.01</v>
      </c>
      <c r="N470" s="5" t="s">
        <v>692</v>
      </c>
      <c r="O470" s="5" t="s">
        <v>33</v>
      </c>
      <c r="P470" s="3">
        <v>33</v>
      </c>
      <c r="Q470" s="3">
        <v>5</v>
      </c>
      <c r="R470" s="5" t="b">
        <v>0</v>
      </c>
      <c r="S470" s="5" t="str">
        <f>IF(R470=TRUE,"Returning Customer","New Customer")</f>
        <v>New Customer</v>
      </c>
      <c r="T470" s="3">
        <v>11</v>
      </c>
      <c r="U470" s="12" t="str">
        <f>IF(T470&lt;=3,"Fast",IF(T470&lt;=7,"Standard",IF(T470&lt;=14,"Slow","Very Slow")))</f>
        <v>Slow</v>
      </c>
      <c r="V470" s="10" t="str">
        <f>IF(D470&lt;=25,"18-25",IF(D470&lt;=35,"26-35",IF(D470&lt;=45,"36-45",IF(D470&lt;=55,"46-55",IF(D470&lt;=65,"56-65","66-75")))))</f>
        <v>26-35</v>
      </c>
      <c r="W470" s="3">
        <v>5</v>
      </c>
    </row>
    <row r="471" spans="1:23">
      <c r="A471" s="5" t="s">
        <v>1051</v>
      </c>
      <c r="B471" s="5" t="s">
        <v>1052</v>
      </c>
      <c r="C471" s="6">
        <v>45205</v>
      </c>
      <c r="D471" s="8">
        <v>28</v>
      </c>
      <c r="E471" s="5" t="s">
        <v>36</v>
      </c>
      <c r="F471" s="5" t="s">
        <v>32</v>
      </c>
      <c r="G471" s="5" t="s">
        <v>115</v>
      </c>
      <c r="H471" s="7">
        <v>25.98</v>
      </c>
      <c r="I471" s="3">
        <v>2</v>
      </c>
      <c r="J471" s="33">
        <f>H471*I471</f>
        <v>51.96</v>
      </c>
      <c r="K471" s="4">
        <v>0</v>
      </c>
      <c r="L471" s="9">
        <f>IF(J471=0,0,K471/J471)</f>
        <v>0</v>
      </c>
      <c r="M471" s="25">
        <v>51.96</v>
      </c>
      <c r="N471" s="5" t="s">
        <v>692</v>
      </c>
      <c r="O471" s="5" t="s">
        <v>33</v>
      </c>
      <c r="P471" s="3">
        <v>8</v>
      </c>
      <c r="Q471" s="3">
        <v>11</v>
      </c>
      <c r="R471" s="5" t="b">
        <v>0</v>
      </c>
      <c r="S471" s="5" t="str">
        <f>IF(R471=TRUE,"Returning Customer","New Customer")</f>
        <v>New Customer</v>
      </c>
      <c r="T471" s="3">
        <v>4</v>
      </c>
      <c r="U471" s="12" t="str">
        <f>IF(T471&lt;=3,"Fast",IF(T471&lt;=7,"Standard",IF(T471&lt;=14,"Slow","Very Slow")))</f>
        <v>Standard</v>
      </c>
      <c r="V471" s="10" t="str">
        <f>IF(D471&lt;=25,"18-25",IF(D471&lt;=35,"26-35",IF(D471&lt;=45,"36-45",IF(D471&lt;=55,"46-55",IF(D471&lt;=65,"56-65","66-75")))))</f>
        <v>26-35</v>
      </c>
      <c r="W471" s="3">
        <v>5</v>
      </c>
    </row>
    <row r="472" spans="1:23">
      <c r="A472" s="5" t="s">
        <v>1391</v>
      </c>
      <c r="B472" s="5" t="s">
        <v>1392</v>
      </c>
      <c r="C472" s="6">
        <v>45287</v>
      </c>
      <c r="D472" s="8">
        <v>31</v>
      </c>
      <c r="E472" s="5" t="s">
        <v>36</v>
      </c>
      <c r="F472" s="5" t="s">
        <v>27</v>
      </c>
      <c r="G472" s="5" t="s">
        <v>37</v>
      </c>
      <c r="H472" s="7">
        <v>69.81</v>
      </c>
      <c r="I472" s="3">
        <v>1</v>
      </c>
      <c r="J472" s="33">
        <f>H472*I472</f>
        <v>69.81</v>
      </c>
      <c r="K472" s="4">
        <v>7.88</v>
      </c>
      <c r="L472" s="9">
        <f>IF(J472=0,0,K472/J472)</f>
        <v>0.11287781120183354</v>
      </c>
      <c r="M472" s="25">
        <v>61.93</v>
      </c>
      <c r="N472" s="5" t="s">
        <v>1298</v>
      </c>
      <c r="O472" s="5" t="s">
        <v>33</v>
      </c>
      <c r="P472" s="3">
        <v>12</v>
      </c>
      <c r="Q472" s="3">
        <v>13</v>
      </c>
      <c r="R472" s="5" t="b">
        <v>0</v>
      </c>
      <c r="S472" s="5" t="str">
        <f>IF(R472=TRUE,"Returning Customer","New Customer")</f>
        <v>New Customer</v>
      </c>
      <c r="T472" s="3">
        <v>12</v>
      </c>
      <c r="U472" s="12" t="str">
        <f>IF(T472&lt;=3,"Fast",IF(T472&lt;=7,"Standard",IF(T472&lt;=14,"Slow","Very Slow")))</f>
        <v>Slow</v>
      </c>
      <c r="V472" s="10" t="str">
        <f>IF(D472&lt;=25,"18-25",IF(D472&lt;=35,"26-35",IF(D472&lt;=45,"36-45",IF(D472&lt;=55,"46-55",IF(D472&lt;=65,"56-65","66-75")))))</f>
        <v>26-35</v>
      </c>
      <c r="W472" s="3">
        <v>5</v>
      </c>
    </row>
    <row r="473" spans="1:23">
      <c r="A473" s="5" t="s">
        <v>241</v>
      </c>
      <c r="B473" s="5" t="s">
        <v>242</v>
      </c>
      <c r="C473" s="6">
        <v>45081</v>
      </c>
      <c r="D473" s="8">
        <v>18</v>
      </c>
      <c r="E473" s="5" t="s">
        <v>20</v>
      </c>
      <c r="F473" s="5" t="s">
        <v>32</v>
      </c>
      <c r="G473" s="5" t="s">
        <v>64</v>
      </c>
      <c r="H473" s="7">
        <v>3463.03</v>
      </c>
      <c r="I473" s="3">
        <v>5</v>
      </c>
      <c r="J473" s="33">
        <f>H473*I473</f>
        <v>17315.150000000001</v>
      </c>
      <c r="K473" s="4">
        <v>215.85</v>
      </c>
      <c r="L473" s="9">
        <f>IF(J473=0,0,K473/J473)</f>
        <v>1.2465961888866107E-2</v>
      </c>
      <c r="M473" s="25">
        <v>17099.3</v>
      </c>
      <c r="N473" s="5" t="s">
        <v>23</v>
      </c>
      <c r="O473" s="5" t="s">
        <v>24</v>
      </c>
      <c r="P473" s="3">
        <v>20</v>
      </c>
      <c r="Q473" s="3">
        <v>5</v>
      </c>
      <c r="R473" s="5" t="b">
        <v>1</v>
      </c>
      <c r="S473" s="5" t="str">
        <f>IF(R473=TRUE,"Returning Customer","New Customer")</f>
        <v>Returning Customer</v>
      </c>
      <c r="T473" s="3">
        <v>4</v>
      </c>
      <c r="U473" s="12" t="str">
        <f>IF(T473&lt;=3,"Fast",IF(T473&lt;=7,"Standard",IF(T473&lt;=14,"Slow","Very Slow")))</f>
        <v>Standard</v>
      </c>
      <c r="V473" s="10" t="str">
        <f>IF(D473&lt;=25,"18-25",IF(D473&lt;=35,"26-35",IF(D473&lt;=45,"36-45",IF(D473&lt;=55,"46-55",IF(D473&lt;=65,"56-65","66-75")))))</f>
        <v>18-25</v>
      </c>
      <c r="W473" s="3">
        <v>4</v>
      </c>
    </row>
    <row r="474" spans="1:23">
      <c r="A474" s="5" t="s">
        <v>243</v>
      </c>
      <c r="B474" s="5" t="s">
        <v>244</v>
      </c>
      <c r="C474" s="6">
        <v>45240</v>
      </c>
      <c r="D474" s="8">
        <v>18</v>
      </c>
      <c r="E474" s="5" t="s">
        <v>20</v>
      </c>
      <c r="F474" s="5" t="s">
        <v>32</v>
      </c>
      <c r="G474" s="5" t="s">
        <v>37</v>
      </c>
      <c r="H474" s="7">
        <v>19.34</v>
      </c>
      <c r="I474" s="3">
        <v>1</v>
      </c>
      <c r="J474" s="33">
        <f>H474*I474</f>
        <v>19.34</v>
      </c>
      <c r="K474" s="4">
        <v>0</v>
      </c>
      <c r="L474" s="9">
        <f>IF(J474=0,0,K474/J474)</f>
        <v>0</v>
      </c>
      <c r="M474" s="25">
        <v>19.34</v>
      </c>
      <c r="N474" s="5" t="s">
        <v>23</v>
      </c>
      <c r="O474" s="5" t="s">
        <v>24</v>
      </c>
      <c r="P474" s="3">
        <v>17</v>
      </c>
      <c r="Q474" s="3">
        <v>12</v>
      </c>
      <c r="R474" s="5" t="b">
        <v>1</v>
      </c>
      <c r="S474" s="5" t="str">
        <f>IF(R474=TRUE,"Returning Customer","New Customer")</f>
        <v>Returning Customer</v>
      </c>
      <c r="T474" s="3">
        <v>5</v>
      </c>
      <c r="U474" s="12" t="str">
        <f>IF(T474&lt;=3,"Fast",IF(T474&lt;=7,"Standard",IF(T474&lt;=14,"Slow","Very Slow")))</f>
        <v>Standard</v>
      </c>
      <c r="V474" s="10" t="str">
        <f>IF(D474&lt;=25,"18-25",IF(D474&lt;=35,"26-35",IF(D474&lt;=45,"36-45",IF(D474&lt;=55,"46-55",IF(D474&lt;=65,"56-65","66-75")))))</f>
        <v>18-25</v>
      </c>
      <c r="W474" s="3">
        <v>4</v>
      </c>
    </row>
    <row r="475" spans="1:23">
      <c r="A475" s="5" t="s">
        <v>1053</v>
      </c>
      <c r="B475" s="5" t="s">
        <v>1054</v>
      </c>
      <c r="C475" s="6">
        <v>45340</v>
      </c>
      <c r="D475" s="8">
        <v>51</v>
      </c>
      <c r="E475" s="5" t="s">
        <v>20</v>
      </c>
      <c r="F475" s="5" t="s">
        <v>32</v>
      </c>
      <c r="G475" s="5" t="s">
        <v>22</v>
      </c>
      <c r="H475" s="7">
        <v>76.66</v>
      </c>
      <c r="I475" s="3">
        <v>1</v>
      </c>
      <c r="J475" s="33">
        <f>H475*I475</f>
        <v>76.66</v>
      </c>
      <c r="K475" s="4">
        <v>0</v>
      </c>
      <c r="L475" s="9">
        <f>IF(J475=0,0,K475/J475)</f>
        <v>0</v>
      </c>
      <c r="M475" s="25">
        <v>76.66</v>
      </c>
      <c r="N475" s="5" t="s">
        <v>692</v>
      </c>
      <c r="O475" s="5" t="s">
        <v>33</v>
      </c>
      <c r="P475" s="3">
        <v>9</v>
      </c>
      <c r="Q475" s="3">
        <v>9</v>
      </c>
      <c r="R475" s="5" t="b">
        <v>1</v>
      </c>
      <c r="S475" s="5" t="str">
        <f>IF(R475=TRUE,"Returning Customer","New Customer")</f>
        <v>Returning Customer</v>
      </c>
      <c r="T475" s="3">
        <v>4</v>
      </c>
      <c r="U475" s="12" t="str">
        <f>IF(T475&lt;=3,"Fast",IF(T475&lt;=7,"Standard",IF(T475&lt;=14,"Slow","Very Slow")))</f>
        <v>Standard</v>
      </c>
      <c r="V475" s="10" t="str">
        <f>IF(D475&lt;=25,"18-25",IF(D475&lt;=35,"26-35",IF(D475&lt;=45,"36-45",IF(D475&lt;=55,"46-55",IF(D475&lt;=65,"56-65","66-75")))))</f>
        <v>46-55</v>
      </c>
      <c r="W475" s="3">
        <v>2</v>
      </c>
    </row>
    <row r="476" spans="1:23">
      <c r="A476" s="5" t="s">
        <v>1055</v>
      </c>
      <c r="B476" s="5" t="s">
        <v>1056</v>
      </c>
      <c r="C476" s="6">
        <v>45261</v>
      </c>
      <c r="D476" s="8">
        <v>54</v>
      </c>
      <c r="E476" s="5" t="s">
        <v>36</v>
      </c>
      <c r="F476" s="5" t="s">
        <v>83</v>
      </c>
      <c r="G476" s="5" t="s">
        <v>37</v>
      </c>
      <c r="H476" s="7">
        <v>235.12</v>
      </c>
      <c r="I476" s="3">
        <v>1</v>
      </c>
      <c r="J476" s="33">
        <f>H476*I476</f>
        <v>235.12</v>
      </c>
      <c r="K476" s="4">
        <v>0</v>
      </c>
      <c r="L476" s="9">
        <f>IF(J476=0,0,K476/J476)</f>
        <v>0</v>
      </c>
      <c r="M476" s="25">
        <v>235.12</v>
      </c>
      <c r="N476" s="5" t="s">
        <v>692</v>
      </c>
      <c r="O476" s="5" t="s">
        <v>33</v>
      </c>
      <c r="P476" s="3">
        <v>34</v>
      </c>
      <c r="Q476" s="3">
        <v>13</v>
      </c>
      <c r="R476" s="5" t="b">
        <v>1</v>
      </c>
      <c r="S476" s="5" t="str">
        <f>IF(R476=TRUE,"Returning Customer","New Customer")</f>
        <v>Returning Customer</v>
      </c>
      <c r="T476" s="3">
        <v>6</v>
      </c>
      <c r="U476" s="12" t="str">
        <f>IF(T476&lt;=3,"Fast",IF(T476&lt;=7,"Standard",IF(T476&lt;=14,"Slow","Very Slow")))</f>
        <v>Standard</v>
      </c>
      <c r="V476" s="10" t="str">
        <f>IF(D476&lt;=25,"18-25",IF(D476&lt;=35,"26-35",IF(D476&lt;=45,"36-45",IF(D476&lt;=55,"46-55",IF(D476&lt;=65,"56-65","66-75")))))</f>
        <v>46-55</v>
      </c>
      <c r="W476" s="3">
        <v>5</v>
      </c>
    </row>
    <row r="477" spans="1:23">
      <c r="A477" s="5" t="s">
        <v>1057</v>
      </c>
      <c r="B477" s="5" t="s">
        <v>1058</v>
      </c>
      <c r="C477" s="6">
        <v>45197</v>
      </c>
      <c r="D477" s="8">
        <v>32</v>
      </c>
      <c r="E477" s="5" t="s">
        <v>20</v>
      </c>
      <c r="F477" s="5" t="s">
        <v>76</v>
      </c>
      <c r="G477" s="5" t="s">
        <v>64</v>
      </c>
      <c r="H477" s="7">
        <v>1939.72</v>
      </c>
      <c r="I477" s="3">
        <v>1</v>
      </c>
      <c r="J477" s="33">
        <f>H477*I477</f>
        <v>1939.72</v>
      </c>
      <c r="K477" s="4">
        <v>487.88</v>
      </c>
      <c r="L477" s="9">
        <f>IF(J477=0,0,K477/J477)</f>
        <v>0.2515208380591013</v>
      </c>
      <c r="M477" s="25">
        <v>1451.84</v>
      </c>
      <c r="N477" s="5" t="s">
        <v>692</v>
      </c>
      <c r="O477" s="5" t="s">
        <v>24</v>
      </c>
      <c r="P477" s="3">
        <v>15</v>
      </c>
      <c r="Q477" s="3">
        <v>6</v>
      </c>
      <c r="R477" s="5" t="b">
        <v>1</v>
      </c>
      <c r="S477" s="5" t="str">
        <f>IF(R477=TRUE,"Returning Customer","New Customer")</f>
        <v>Returning Customer</v>
      </c>
      <c r="T477" s="3">
        <v>5</v>
      </c>
      <c r="U477" s="12" t="str">
        <f>IF(T477&lt;=3,"Fast",IF(T477&lt;=7,"Standard",IF(T477&lt;=14,"Slow","Very Slow")))</f>
        <v>Standard</v>
      </c>
      <c r="V477" s="10" t="str">
        <f>IF(D477&lt;=25,"18-25",IF(D477&lt;=35,"26-35",IF(D477&lt;=45,"36-45",IF(D477&lt;=55,"46-55",IF(D477&lt;=65,"56-65","66-75")))))</f>
        <v>26-35</v>
      </c>
      <c r="W477" s="3">
        <v>5</v>
      </c>
    </row>
    <row r="478" spans="1:23">
      <c r="A478" s="5" t="s">
        <v>1393</v>
      </c>
      <c r="B478" s="5" t="s">
        <v>1394</v>
      </c>
      <c r="C478" s="6">
        <v>44931</v>
      </c>
      <c r="D478" s="8">
        <v>41</v>
      </c>
      <c r="E478" s="5" t="s">
        <v>20</v>
      </c>
      <c r="F478" s="5" t="s">
        <v>32</v>
      </c>
      <c r="G478" s="5" t="s">
        <v>28</v>
      </c>
      <c r="H478" s="7">
        <v>181.88</v>
      </c>
      <c r="I478" s="3">
        <v>1</v>
      </c>
      <c r="J478" s="33">
        <f>H478*I478</f>
        <v>181.88</v>
      </c>
      <c r="K478" s="4">
        <v>26.42</v>
      </c>
      <c r="L478" s="9">
        <f>IF(J478=0,0,K478/J478)</f>
        <v>0.14526061139212668</v>
      </c>
      <c r="M478" s="25">
        <v>155.46</v>
      </c>
      <c r="N478" s="5" t="s">
        <v>1298</v>
      </c>
      <c r="O478" s="5" t="s">
        <v>33</v>
      </c>
      <c r="P478" s="3">
        <v>14</v>
      </c>
      <c r="Q478" s="3">
        <v>9</v>
      </c>
      <c r="R478" s="5" t="b">
        <v>1</v>
      </c>
      <c r="S478" s="5" t="str">
        <f>IF(R478=TRUE,"Returning Customer","New Customer")</f>
        <v>Returning Customer</v>
      </c>
      <c r="T478" s="3">
        <v>9</v>
      </c>
      <c r="U478" s="12" t="str">
        <f>IF(T478&lt;=3,"Fast",IF(T478&lt;=7,"Standard",IF(T478&lt;=14,"Slow","Very Slow")))</f>
        <v>Slow</v>
      </c>
      <c r="V478" s="10" t="str">
        <f>IF(D478&lt;=25,"18-25",IF(D478&lt;=35,"26-35",IF(D478&lt;=45,"36-45",IF(D478&lt;=55,"46-55",IF(D478&lt;=65,"56-65","66-75")))))</f>
        <v>36-45</v>
      </c>
      <c r="W478" s="3">
        <v>5</v>
      </c>
    </row>
    <row r="479" spans="1:23">
      <c r="A479" s="5" t="s">
        <v>1059</v>
      </c>
      <c r="B479" s="5" t="s">
        <v>1060</v>
      </c>
      <c r="C479" s="6">
        <v>45268</v>
      </c>
      <c r="D479" s="8">
        <v>38</v>
      </c>
      <c r="E479" s="5" t="s">
        <v>36</v>
      </c>
      <c r="F479" s="5" t="s">
        <v>32</v>
      </c>
      <c r="G479" s="5" t="s">
        <v>64</v>
      </c>
      <c r="H479" s="7">
        <v>410.32</v>
      </c>
      <c r="I479" s="3">
        <v>1</v>
      </c>
      <c r="J479" s="33">
        <f>H479*I479</f>
        <v>410.32</v>
      </c>
      <c r="K479" s="4">
        <v>0</v>
      </c>
      <c r="L479" s="9">
        <f>IF(J479=0,0,K479/J479)</f>
        <v>0</v>
      </c>
      <c r="M479" s="25">
        <v>410.32</v>
      </c>
      <c r="N479" s="5" t="s">
        <v>692</v>
      </c>
      <c r="O479" s="5" t="s">
        <v>33</v>
      </c>
      <c r="P479" s="3">
        <v>15</v>
      </c>
      <c r="Q479" s="3">
        <v>9</v>
      </c>
      <c r="R479" s="5" t="b">
        <v>1</v>
      </c>
      <c r="S479" s="5" t="str">
        <f>IF(R479=TRUE,"Returning Customer","New Customer")</f>
        <v>Returning Customer</v>
      </c>
      <c r="T479" s="3">
        <v>5</v>
      </c>
      <c r="U479" s="12" t="str">
        <f>IF(T479&lt;=3,"Fast",IF(T479&lt;=7,"Standard",IF(T479&lt;=14,"Slow","Very Slow")))</f>
        <v>Standard</v>
      </c>
      <c r="V479" s="10" t="str">
        <f>IF(D479&lt;=25,"18-25",IF(D479&lt;=35,"26-35",IF(D479&lt;=45,"36-45",IF(D479&lt;=55,"46-55",IF(D479&lt;=65,"56-65","66-75")))))</f>
        <v>36-45</v>
      </c>
      <c r="W479" s="3">
        <v>4</v>
      </c>
    </row>
    <row r="480" spans="1:23">
      <c r="A480" s="5" t="s">
        <v>566</v>
      </c>
      <c r="B480" s="5" t="s">
        <v>567</v>
      </c>
      <c r="C480" s="6">
        <v>45345</v>
      </c>
      <c r="D480" s="8">
        <v>71</v>
      </c>
      <c r="E480" s="5" t="s">
        <v>20</v>
      </c>
      <c r="F480" s="5" t="s">
        <v>32</v>
      </c>
      <c r="G480" s="5" t="s">
        <v>22</v>
      </c>
      <c r="H480" s="7">
        <v>254.01</v>
      </c>
      <c r="I480" s="3">
        <v>2</v>
      </c>
      <c r="J480" s="33">
        <f>H480*I480</f>
        <v>508.02</v>
      </c>
      <c r="K480" s="4">
        <v>0</v>
      </c>
      <c r="L480" s="9">
        <f>IF(J480=0,0,K480/J480)</f>
        <v>0</v>
      </c>
      <c r="M480" s="25">
        <v>508.02</v>
      </c>
      <c r="N480" s="5" t="s">
        <v>327</v>
      </c>
      <c r="O480" s="5" t="s">
        <v>33</v>
      </c>
      <c r="P480" s="3">
        <v>11</v>
      </c>
      <c r="Q480" s="3">
        <v>11</v>
      </c>
      <c r="R480" s="5" t="b">
        <v>0</v>
      </c>
      <c r="S480" s="5" t="str">
        <f>IF(R480=TRUE,"Returning Customer","New Customer")</f>
        <v>New Customer</v>
      </c>
      <c r="T480" s="3">
        <v>13</v>
      </c>
      <c r="U480" s="12" t="str">
        <f>IF(T480&lt;=3,"Fast",IF(T480&lt;=7,"Standard",IF(T480&lt;=14,"Slow","Very Slow")))</f>
        <v>Slow</v>
      </c>
      <c r="V480" s="10" t="str">
        <f>IF(D480&lt;=25,"18-25",IF(D480&lt;=35,"26-35",IF(D480&lt;=45,"36-45",IF(D480&lt;=55,"46-55",IF(D480&lt;=65,"56-65","66-75")))))</f>
        <v>66-75</v>
      </c>
      <c r="W480" s="3">
        <v>4</v>
      </c>
    </row>
    <row r="481" spans="1:23">
      <c r="A481" s="5" t="s">
        <v>568</v>
      </c>
      <c r="B481" s="5" t="s">
        <v>569</v>
      </c>
      <c r="C481" s="6">
        <v>45210</v>
      </c>
      <c r="D481" s="8">
        <v>48</v>
      </c>
      <c r="E481" s="5" t="s">
        <v>20</v>
      </c>
      <c r="F481" s="5" t="s">
        <v>21</v>
      </c>
      <c r="G481" s="5" t="s">
        <v>56</v>
      </c>
      <c r="H481" s="7">
        <v>279.39999999999998</v>
      </c>
      <c r="I481" s="3">
        <v>2</v>
      </c>
      <c r="J481" s="33">
        <f>H481*I481</f>
        <v>558.79999999999995</v>
      </c>
      <c r="K481" s="4">
        <v>0</v>
      </c>
      <c r="L481" s="9">
        <f>IF(J481=0,0,K481/J481)</f>
        <v>0</v>
      </c>
      <c r="M481" s="25">
        <v>558.79999999999995</v>
      </c>
      <c r="N481" s="5" t="s">
        <v>327</v>
      </c>
      <c r="O481" s="5" t="s">
        <v>33</v>
      </c>
      <c r="P481" s="3">
        <v>34</v>
      </c>
      <c r="Q481" s="3">
        <v>8</v>
      </c>
      <c r="R481" s="5" t="b">
        <v>0</v>
      </c>
      <c r="S481" s="5" t="str">
        <f>IF(R481=TRUE,"Returning Customer","New Customer")</f>
        <v>New Customer</v>
      </c>
      <c r="T481" s="3">
        <v>4</v>
      </c>
      <c r="U481" s="12" t="str">
        <f>IF(T481&lt;=3,"Fast",IF(T481&lt;=7,"Standard",IF(T481&lt;=14,"Slow","Very Slow")))</f>
        <v>Standard</v>
      </c>
      <c r="V481" s="10" t="str">
        <f>IF(D481&lt;=25,"18-25",IF(D481&lt;=35,"26-35",IF(D481&lt;=45,"36-45",IF(D481&lt;=55,"46-55",IF(D481&lt;=65,"56-65","66-75")))))</f>
        <v>46-55</v>
      </c>
      <c r="W481" s="3">
        <v>4</v>
      </c>
    </row>
    <row r="482" spans="1:23">
      <c r="A482" s="5" t="s">
        <v>570</v>
      </c>
      <c r="B482" s="5" t="s">
        <v>571</v>
      </c>
      <c r="C482" s="6">
        <v>45080</v>
      </c>
      <c r="D482" s="8">
        <v>33</v>
      </c>
      <c r="E482" s="5" t="s">
        <v>20</v>
      </c>
      <c r="F482" s="5" t="s">
        <v>73</v>
      </c>
      <c r="G482" s="5" t="s">
        <v>37</v>
      </c>
      <c r="H482" s="7">
        <v>166.69</v>
      </c>
      <c r="I482" s="3">
        <v>1</v>
      </c>
      <c r="J482" s="33">
        <f>H482*I482</f>
        <v>166.69</v>
      </c>
      <c r="K482" s="4">
        <v>0</v>
      </c>
      <c r="L482" s="9">
        <f>IF(J482=0,0,K482/J482)</f>
        <v>0</v>
      </c>
      <c r="M482" s="25">
        <v>166.69</v>
      </c>
      <c r="N482" s="5" t="s">
        <v>327</v>
      </c>
      <c r="O482" s="5" t="s">
        <v>33</v>
      </c>
      <c r="P482" s="3">
        <v>4</v>
      </c>
      <c r="Q482" s="3">
        <v>8</v>
      </c>
      <c r="R482" s="5" t="b">
        <v>0</v>
      </c>
      <c r="S482" s="5" t="str">
        <f>IF(R482=TRUE,"Returning Customer","New Customer")</f>
        <v>New Customer</v>
      </c>
      <c r="T482" s="3">
        <v>7</v>
      </c>
      <c r="U482" s="12" t="str">
        <f>IF(T482&lt;=3,"Fast",IF(T482&lt;=7,"Standard",IF(T482&lt;=14,"Slow","Very Slow")))</f>
        <v>Standard</v>
      </c>
      <c r="V482" s="10" t="str">
        <f>IF(D482&lt;=25,"18-25",IF(D482&lt;=35,"26-35",IF(D482&lt;=45,"36-45",IF(D482&lt;=55,"46-55",IF(D482&lt;=65,"56-65","66-75")))))</f>
        <v>26-35</v>
      </c>
      <c r="W482" s="3">
        <v>4</v>
      </c>
    </row>
    <row r="483" spans="1:23">
      <c r="A483" s="5" t="s">
        <v>1061</v>
      </c>
      <c r="B483" s="5" t="s">
        <v>1062</v>
      </c>
      <c r="C483" s="6">
        <v>45266</v>
      </c>
      <c r="D483" s="8">
        <v>23</v>
      </c>
      <c r="E483" s="5" t="s">
        <v>36</v>
      </c>
      <c r="F483" s="5" t="s">
        <v>32</v>
      </c>
      <c r="G483" s="5" t="s">
        <v>53</v>
      </c>
      <c r="H483" s="7">
        <v>86.96</v>
      </c>
      <c r="I483" s="3">
        <v>1</v>
      </c>
      <c r="J483" s="33">
        <f>H483*I483</f>
        <v>86.96</v>
      </c>
      <c r="K483" s="4">
        <v>0</v>
      </c>
      <c r="L483" s="9">
        <f>IF(J483=0,0,K483/J483)</f>
        <v>0</v>
      </c>
      <c r="M483" s="25">
        <v>86.96</v>
      </c>
      <c r="N483" s="5" t="s">
        <v>692</v>
      </c>
      <c r="O483" s="5" t="s">
        <v>33</v>
      </c>
      <c r="P483" s="3">
        <v>11</v>
      </c>
      <c r="Q483" s="3">
        <v>7</v>
      </c>
      <c r="R483" s="5" t="b">
        <v>1</v>
      </c>
      <c r="S483" s="5" t="str">
        <f>IF(R483=TRUE,"Returning Customer","New Customer")</f>
        <v>Returning Customer</v>
      </c>
      <c r="T483" s="3">
        <v>8</v>
      </c>
      <c r="U483" s="12" t="str">
        <f>IF(T483&lt;=3,"Fast",IF(T483&lt;=7,"Standard",IF(T483&lt;=14,"Slow","Very Slow")))</f>
        <v>Slow</v>
      </c>
      <c r="V483" s="10" t="str">
        <f>IF(D483&lt;=25,"18-25",IF(D483&lt;=35,"26-35",IF(D483&lt;=45,"36-45",IF(D483&lt;=55,"46-55",IF(D483&lt;=65,"56-65","66-75")))))</f>
        <v>18-25</v>
      </c>
      <c r="W483" s="3">
        <v>4</v>
      </c>
    </row>
    <row r="484" spans="1:23">
      <c r="A484" s="5" t="s">
        <v>572</v>
      </c>
      <c r="B484" s="5" t="s">
        <v>573</v>
      </c>
      <c r="C484" s="6">
        <v>44980</v>
      </c>
      <c r="D484" s="8">
        <v>18</v>
      </c>
      <c r="E484" s="5" t="s">
        <v>36</v>
      </c>
      <c r="F484" s="5" t="s">
        <v>27</v>
      </c>
      <c r="G484" s="5" t="s">
        <v>64</v>
      </c>
      <c r="H484" s="7">
        <v>911.25</v>
      </c>
      <c r="I484" s="3">
        <v>1</v>
      </c>
      <c r="J484" s="33">
        <f>H484*I484</f>
        <v>911.25</v>
      </c>
      <c r="K484" s="4">
        <v>0</v>
      </c>
      <c r="L484" s="9">
        <f>IF(J484=0,0,K484/J484)</f>
        <v>0</v>
      </c>
      <c r="M484" s="25">
        <v>911.25</v>
      </c>
      <c r="N484" s="5" t="s">
        <v>327</v>
      </c>
      <c r="O484" s="5" t="s">
        <v>29</v>
      </c>
      <c r="P484" s="3">
        <v>7</v>
      </c>
      <c r="Q484" s="3">
        <v>11</v>
      </c>
      <c r="R484" s="5" t="b">
        <v>0</v>
      </c>
      <c r="S484" s="5" t="str">
        <f>IF(R484=TRUE,"Returning Customer","New Customer")</f>
        <v>New Customer</v>
      </c>
      <c r="T484" s="3">
        <v>10</v>
      </c>
      <c r="U484" s="12" t="str">
        <f>IF(T484&lt;=3,"Fast",IF(T484&lt;=7,"Standard",IF(T484&lt;=14,"Slow","Very Slow")))</f>
        <v>Slow</v>
      </c>
      <c r="V484" s="10" t="str">
        <f>IF(D484&lt;=25,"18-25",IF(D484&lt;=35,"26-35",IF(D484&lt;=45,"36-45",IF(D484&lt;=55,"46-55",IF(D484&lt;=65,"56-65","66-75")))))</f>
        <v>18-25</v>
      </c>
      <c r="W484" s="3">
        <v>2</v>
      </c>
    </row>
    <row r="485" spans="1:23">
      <c r="A485" s="5" t="s">
        <v>1063</v>
      </c>
      <c r="B485" s="5" t="s">
        <v>1064</v>
      </c>
      <c r="C485" s="6">
        <v>45376</v>
      </c>
      <c r="D485" s="8">
        <v>37</v>
      </c>
      <c r="E485" s="5" t="s">
        <v>36</v>
      </c>
      <c r="F485" s="5" t="s">
        <v>52</v>
      </c>
      <c r="G485" s="5" t="s">
        <v>28</v>
      </c>
      <c r="H485" s="7">
        <v>207.48</v>
      </c>
      <c r="I485" s="3">
        <v>1</v>
      </c>
      <c r="J485" s="33">
        <f>H485*I485</f>
        <v>207.48</v>
      </c>
      <c r="K485" s="4">
        <v>0</v>
      </c>
      <c r="L485" s="9">
        <f>IF(J485=0,0,K485/J485)</f>
        <v>0</v>
      </c>
      <c r="M485" s="25">
        <v>207.48</v>
      </c>
      <c r="N485" s="5" t="s">
        <v>692</v>
      </c>
      <c r="O485" s="5" t="s">
        <v>24</v>
      </c>
      <c r="P485" s="3">
        <v>11</v>
      </c>
      <c r="Q485" s="3">
        <v>13</v>
      </c>
      <c r="R485" s="5" t="b">
        <v>1</v>
      </c>
      <c r="S485" s="5" t="str">
        <f>IF(R485=TRUE,"Returning Customer","New Customer")</f>
        <v>Returning Customer</v>
      </c>
      <c r="T485" s="3">
        <v>4</v>
      </c>
      <c r="U485" s="12" t="str">
        <f>IF(T485&lt;=3,"Fast",IF(T485&lt;=7,"Standard",IF(T485&lt;=14,"Slow","Very Slow")))</f>
        <v>Standard</v>
      </c>
      <c r="V485" s="10" t="str">
        <f>IF(D485&lt;=25,"18-25",IF(D485&lt;=35,"26-35",IF(D485&lt;=45,"36-45",IF(D485&lt;=55,"46-55",IF(D485&lt;=65,"56-65","66-75")))))</f>
        <v>36-45</v>
      </c>
      <c r="W485" s="3">
        <v>5</v>
      </c>
    </row>
    <row r="486" spans="1:23">
      <c r="A486" s="5" t="s">
        <v>1276</v>
      </c>
      <c r="B486" s="5" t="s">
        <v>1277</v>
      </c>
      <c r="C486" s="6">
        <v>44995</v>
      </c>
      <c r="D486" s="8">
        <v>25</v>
      </c>
      <c r="E486" s="5" t="s">
        <v>36</v>
      </c>
      <c r="F486" s="5" t="s">
        <v>76</v>
      </c>
      <c r="G486" s="5" t="s">
        <v>64</v>
      </c>
      <c r="H486" s="7">
        <v>1852.09</v>
      </c>
      <c r="I486" s="3">
        <v>1</v>
      </c>
      <c r="J486" s="33">
        <f>H486*I486</f>
        <v>1852.09</v>
      </c>
      <c r="K486" s="4">
        <v>0</v>
      </c>
      <c r="L486" s="9">
        <f>IF(J486=0,0,K486/J486)</f>
        <v>0</v>
      </c>
      <c r="M486" s="25">
        <v>1852.09</v>
      </c>
      <c r="N486" s="5" t="s">
        <v>1231</v>
      </c>
      <c r="O486" s="5" t="s">
        <v>33</v>
      </c>
      <c r="P486" s="3">
        <v>26</v>
      </c>
      <c r="Q486" s="3">
        <v>9</v>
      </c>
      <c r="R486" s="5" t="b">
        <v>1</v>
      </c>
      <c r="S486" s="5" t="str">
        <f>IF(R486=TRUE,"Returning Customer","New Customer")</f>
        <v>Returning Customer</v>
      </c>
      <c r="T486" s="3">
        <v>10</v>
      </c>
      <c r="U486" s="12" t="str">
        <f>IF(T486&lt;=3,"Fast",IF(T486&lt;=7,"Standard",IF(T486&lt;=14,"Slow","Very Slow")))</f>
        <v>Slow</v>
      </c>
      <c r="V486" s="10" t="str">
        <f>IF(D486&lt;=25,"18-25",IF(D486&lt;=35,"26-35",IF(D486&lt;=45,"36-45",IF(D486&lt;=55,"46-55",IF(D486&lt;=65,"56-65","66-75")))))</f>
        <v>18-25</v>
      </c>
      <c r="W486" s="3">
        <v>4</v>
      </c>
    </row>
    <row r="487" spans="1:23">
      <c r="A487" s="5" t="s">
        <v>1065</v>
      </c>
      <c r="B487" s="5" t="s">
        <v>1066</v>
      </c>
      <c r="C487" s="6">
        <v>45062</v>
      </c>
      <c r="D487" s="8">
        <v>18</v>
      </c>
      <c r="E487" s="5" t="s">
        <v>36</v>
      </c>
      <c r="F487" s="5" t="s">
        <v>49</v>
      </c>
      <c r="G487" s="5" t="s">
        <v>37</v>
      </c>
      <c r="H487" s="7">
        <v>86.95</v>
      </c>
      <c r="I487" s="3">
        <v>2</v>
      </c>
      <c r="J487" s="33">
        <f>H487*I487</f>
        <v>173.9</v>
      </c>
      <c r="K487" s="4">
        <v>0</v>
      </c>
      <c r="L487" s="9">
        <f>IF(J487=0,0,K487/J487)</f>
        <v>0</v>
      </c>
      <c r="M487" s="25">
        <v>173.9</v>
      </c>
      <c r="N487" s="5" t="s">
        <v>692</v>
      </c>
      <c r="O487" s="5" t="s">
        <v>24</v>
      </c>
      <c r="P487" s="3">
        <v>36</v>
      </c>
      <c r="Q487" s="3">
        <v>11</v>
      </c>
      <c r="R487" s="5" t="b">
        <v>0</v>
      </c>
      <c r="S487" s="5" t="str">
        <f>IF(R487=TRUE,"Returning Customer","New Customer")</f>
        <v>New Customer</v>
      </c>
      <c r="T487" s="3">
        <v>16</v>
      </c>
      <c r="U487" s="12" t="str">
        <f>IF(T487&lt;=3,"Fast",IF(T487&lt;=7,"Standard",IF(T487&lt;=14,"Slow","Very Slow")))</f>
        <v>Very Slow</v>
      </c>
      <c r="V487" s="10" t="str">
        <f>IF(D487&lt;=25,"18-25",IF(D487&lt;=35,"26-35",IF(D487&lt;=45,"36-45",IF(D487&lt;=55,"46-55",IF(D487&lt;=65,"56-65","66-75")))))</f>
        <v>18-25</v>
      </c>
      <c r="W487" s="3">
        <v>5</v>
      </c>
    </row>
    <row r="488" spans="1:23">
      <c r="A488" s="5" t="s">
        <v>1067</v>
      </c>
      <c r="B488" s="5" t="s">
        <v>1068</v>
      </c>
      <c r="C488" s="6">
        <v>44986</v>
      </c>
      <c r="D488" s="8">
        <v>27</v>
      </c>
      <c r="E488" s="5" t="s">
        <v>36</v>
      </c>
      <c r="F488" s="5" t="s">
        <v>21</v>
      </c>
      <c r="G488" s="5" t="s">
        <v>56</v>
      </c>
      <c r="H488" s="7">
        <v>287.64</v>
      </c>
      <c r="I488" s="3">
        <v>1</v>
      </c>
      <c r="J488" s="33">
        <f>H488*I488</f>
        <v>287.64</v>
      </c>
      <c r="K488" s="4">
        <v>70.08</v>
      </c>
      <c r="L488" s="9">
        <f>IF(J488=0,0,K488/J488)</f>
        <v>0.24363788068418857</v>
      </c>
      <c r="M488" s="25">
        <v>217.56</v>
      </c>
      <c r="N488" s="5" t="s">
        <v>692</v>
      </c>
      <c r="O488" s="5" t="s">
        <v>33</v>
      </c>
      <c r="P488" s="3">
        <v>8</v>
      </c>
      <c r="Q488" s="3">
        <v>7</v>
      </c>
      <c r="R488" s="5" t="b">
        <v>0</v>
      </c>
      <c r="S488" s="5" t="str">
        <f>IF(R488=TRUE,"Returning Customer","New Customer")</f>
        <v>New Customer</v>
      </c>
      <c r="T488" s="3">
        <v>9</v>
      </c>
      <c r="U488" s="12" t="str">
        <f>IF(T488&lt;=3,"Fast",IF(T488&lt;=7,"Standard",IF(T488&lt;=14,"Slow","Very Slow")))</f>
        <v>Slow</v>
      </c>
      <c r="V488" s="10" t="str">
        <f>IF(D488&lt;=25,"18-25",IF(D488&lt;=35,"26-35",IF(D488&lt;=45,"36-45",IF(D488&lt;=55,"46-55",IF(D488&lt;=65,"56-65","66-75")))))</f>
        <v>26-35</v>
      </c>
      <c r="W488" s="3">
        <v>5</v>
      </c>
    </row>
    <row r="489" spans="1:23">
      <c r="A489" s="5" t="s">
        <v>1069</v>
      </c>
      <c r="B489" s="5" t="s">
        <v>1070</v>
      </c>
      <c r="C489" s="6">
        <v>44981</v>
      </c>
      <c r="D489" s="8">
        <v>22</v>
      </c>
      <c r="E489" s="5" t="s">
        <v>36</v>
      </c>
      <c r="F489" s="5" t="s">
        <v>59</v>
      </c>
      <c r="G489" s="5" t="s">
        <v>115</v>
      </c>
      <c r="H489" s="7">
        <v>42.67</v>
      </c>
      <c r="I489" s="3">
        <v>1</v>
      </c>
      <c r="J489" s="33">
        <f>H489*I489</f>
        <v>42.67</v>
      </c>
      <c r="K489" s="4">
        <v>0</v>
      </c>
      <c r="L489" s="9">
        <f>IF(J489=0,0,K489/J489)</f>
        <v>0</v>
      </c>
      <c r="M489" s="25">
        <v>42.67</v>
      </c>
      <c r="N489" s="5" t="s">
        <v>692</v>
      </c>
      <c r="O489" s="5" t="s">
        <v>33</v>
      </c>
      <c r="P489" s="3">
        <v>15</v>
      </c>
      <c r="Q489" s="3">
        <v>10</v>
      </c>
      <c r="R489" s="5" t="b">
        <v>0</v>
      </c>
      <c r="S489" s="5" t="str">
        <f>IF(R489=TRUE,"Returning Customer","New Customer")</f>
        <v>New Customer</v>
      </c>
      <c r="T489" s="3">
        <v>3</v>
      </c>
      <c r="U489" s="12" t="str">
        <f>IF(T489&lt;=3,"Fast",IF(T489&lt;=7,"Standard",IF(T489&lt;=14,"Slow","Very Slow")))</f>
        <v>Fast</v>
      </c>
      <c r="V489" s="10" t="str">
        <f>IF(D489&lt;=25,"18-25",IF(D489&lt;=35,"26-35",IF(D489&lt;=45,"36-45",IF(D489&lt;=55,"46-55",IF(D489&lt;=65,"56-65","66-75")))))</f>
        <v>18-25</v>
      </c>
      <c r="W489" s="3">
        <v>4</v>
      </c>
    </row>
    <row r="490" spans="1:23">
      <c r="A490" s="5" t="s">
        <v>245</v>
      </c>
      <c r="B490" s="5" t="s">
        <v>246</v>
      </c>
      <c r="C490" s="6">
        <v>45307</v>
      </c>
      <c r="D490" s="8">
        <v>55</v>
      </c>
      <c r="E490" s="5" t="s">
        <v>20</v>
      </c>
      <c r="F490" s="5" t="s">
        <v>59</v>
      </c>
      <c r="G490" s="5" t="s">
        <v>37</v>
      </c>
      <c r="H490" s="7">
        <v>162.56</v>
      </c>
      <c r="I490" s="3">
        <v>5</v>
      </c>
      <c r="J490" s="33">
        <f>H490*I490</f>
        <v>812.8</v>
      </c>
      <c r="K490" s="4">
        <v>0</v>
      </c>
      <c r="L490" s="9">
        <f>IF(J490=0,0,K490/J490)</f>
        <v>0</v>
      </c>
      <c r="M490" s="25">
        <v>812.8</v>
      </c>
      <c r="N490" s="5" t="s">
        <v>23</v>
      </c>
      <c r="O490" s="5" t="s">
        <v>33</v>
      </c>
      <c r="P490" s="3">
        <v>15</v>
      </c>
      <c r="Q490" s="3">
        <v>14</v>
      </c>
      <c r="R490" s="5" t="b">
        <v>1</v>
      </c>
      <c r="S490" s="5" t="str">
        <f>IF(R490=TRUE,"Returning Customer","New Customer")</f>
        <v>Returning Customer</v>
      </c>
      <c r="T490" s="3">
        <v>5</v>
      </c>
      <c r="U490" s="12" t="str">
        <f>IF(T490&lt;=3,"Fast",IF(T490&lt;=7,"Standard",IF(T490&lt;=14,"Slow","Very Slow")))</f>
        <v>Standard</v>
      </c>
      <c r="V490" s="10" t="str">
        <f>IF(D490&lt;=25,"18-25",IF(D490&lt;=35,"26-35",IF(D490&lt;=45,"36-45",IF(D490&lt;=55,"46-55",IF(D490&lt;=65,"56-65","66-75")))))</f>
        <v>46-55</v>
      </c>
      <c r="W490" s="3">
        <v>3</v>
      </c>
    </row>
    <row r="491" spans="1:23">
      <c r="A491" s="5" t="s">
        <v>1071</v>
      </c>
      <c r="B491" s="5" t="s">
        <v>1072</v>
      </c>
      <c r="C491" s="6">
        <v>45210</v>
      </c>
      <c r="D491" s="8">
        <v>45</v>
      </c>
      <c r="E491" s="5" t="s">
        <v>36</v>
      </c>
      <c r="F491" s="5" t="s">
        <v>52</v>
      </c>
      <c r="G491" s="5" t="s">
        <v>115</v>
      </c>
      <c r="H491" s="7">
        <v>140.83000000000001</v>
      </c>
      <c r="I491" s="3">
        <v>2</v>
      </c>
      <c r="J491" s="33">
        <f>H491*I491</f>
        <v>281.66000000000003</v>
      </c>
      <c r="K491" s="4">
        <v>29.09</v>
      </c>
      <c r="L491" s="9">
        <f>IF(J491=0,0,K491/J491)</f>
        <v>0.10328055101895901</v>
      </c>
      <c r="M491" s="25">
        <v>252.57</v>
      </c>
      <c r="N491" s="5" t="s">
        <v>692</v>
      </c>
      <c r="O491" s="5" t="s">
        <v>33</v>
      </c>
      <c r="P491" s="3">
        <v>1</v>
      </c>
      <c r="Q491" s="3">
        <v>9</v>
      </c>
      <c r="R491" s="5" t="b">
        <v>0</v>
      </c>
      <c r="S491" s="5" t="str">
        <f>IF(R491=TRUE,"Returning Customer","New Customer")</f>
        <v>New Customer</v>
      </c>
      <c r="T491" s="3">
        <v>6</v>
      </c>
      <c r="U491" s="12" t="str">
        <f>IF(T491&lt;=3,"Fast",IF(T491&lt;=7,"Standard",IF(T491&lt;=14,"Slow","Very Slow")))</f>
        <v>Standard</v>
      </c>
      <c r="V491" s="10" t="str">
        <f>IF(D491&lt;=25,"18-25",IF(D491&lt;=35,"26-35",IF(D491&lt;=45,"36-45",IF(D491&lt;=55,"46-55",IF(D491&lt;=65,"56-65","66-75")))))</f>
        <v>36-45</v>
      </c>
      <c r="W491" s="3">
        <v>5</v>
      </c>
    </row>
    <row r="492" spans="1:23">
      <c r="A492" s="5" t="s">
        <v>574</v>
      </c>
      <c r="B492" s="5" t="s">
        <v>575</v>
      </c>
      <c r="C492" s="6">
        <v>45006</v>
      </c>
      <c r="D492" s="8">
        <v>34</v>
      </c>
      <c r="E492" s="5" t="s">
        <v>20</v>
      </c>
      <c r="F492" s="5" t="s">
        <v>52</v>
      </c>
      <c r="G492" s="5" t="s">
        <v>28</v>
      </c>
      <c r="H492" s="7">
        <v>111.96</v>
      </c>
      <c r="I492" s="3">
        <v>1</v>
      </c>
      <c r="J492" s="33">
        <f>H492*I492</f>
        <v>111.96</v>
      </c>
      <c r="K492" s="4">
        <v>8.74</v>
      </c>
      <c r="L492" s="9">
        <f>IF(J492=0,0,K492/J492)</f>
        <v>7.8063594140764567E-2</v>
      </c>
      <c r="M492" s="25">
        <v>103.22</v>
      </c>
      <c r="N492" s="5" t="s">
        <v>327</v>
      </c>
      <c r="O492" s="5" t="s">
        <v>33</v>
      </c>
      <c r="P492" s="3">
        <v>9</v>
      </c>
      <c r="Q492" s="3">
        <v>8</v>
      </c>
      <c r="R492" s="5" t="b">
        <v>0</v>
      </c>
      <c r="S492" s="5" t="str">
        <f>IF(R492=TRUE,"Returning Customer","New Customer")</f>
        <v>New Customer</v>
      </c>
      <c r="T492" s="3">
        <v>4</v>
      </c>
      <c r="U492" s="12" t="str">
        <f>IF(T492&lt;=3,"Fast",IF(T492&lt;=7,"Standard",IF(T492&lt;=14,"Slow","Very Slow")))</f>
        <v>Standard</v>
      </c>
      <c r="V492" s="10" t="str">
        <f>IF(D492&lt;=25,"18-25",IF(D492&lt;=35,"26-35",IF(D492&lt;=45,"36-45",IF(D492&lt;=55,"46-55",IF(D492&lt;=65,"56-65","66-75")))))</f>
        <v>26-35</v>
      </c>
      <c r="W492" s="3">
        <v>5</v>
      </c>
    </row>
    <row r="493" spans="1:23">
      <c r="A493" s="5" t="s">
        <v>1073</v>
      </c>
      <c r="B493" s="5" t="s">
        <v>1074</v>
      </c>
      <c r="C493" s="6">
        <v>45066</v>
      </c>
      <c r="D493" s="8">
        <v>52</v>
      </c>
      <c r="E493" s="5" t="s">
        <v>20</v>
      </c>
      <c r="F493" s="5" t="s">
        <v>76</v>
      </c>
      <c r="G493" s="5" t="s">
        <v>28</v>
      </c>
      <c r="H493" s="7">
        <v>375.36</v>
      </c>
      <c r="I493" s="3">
        <v>2</v>
      </c>
      <c r="J493" s="33">
        <f>H493*I493</f>
        <v>750.72</v>
      </c>
      <c r="K493" s="4">
        <v>0</v>
      </c>
      <c r="L493" s="9">
        <f>IF(J493=0,0,K493/J493)</f>
        <v>0</v>
      </c>
      <c r="M493" s="25">
        <v>750.72</v>
      </c>
      <c r="N493" s="5" t="s">
        <v>692</v>
      </c>
      <c r="O493" s="5" t="s">
        <v>24</v>
      </c>
      <c r="P493" s="3">
        <v>15</v>
      </c>
      <c r="Q493" s="3">
        <v>9</v>
      </c>
      <c r="R493" s="5" t="b">
        <v>0</v>
      </c>
      <c r="S493" s="5" t="str">
        <f>IF(R493=TRUE,"Returning Customer","New Customer")</f>
        <v>New Customer</v>
      </c>
      <c r="T493" s="3">
        <v>11</v>
      </c>
      <c r="U493" s="12" t="str">
        <f>IF(T493&lt;=3,"Fast",IF(T493&lt;=7,"Standard",IF(T493&lt;=14,"Slow","Very Slow")))</f>
        <v>Slow</v>
      </c>
      <c r="V493" s="10" t="str">
        <f>IF(D493&lt;=25,"18-25",IF(D493&lt;=35,"26-35",IF(D493&lt;=45,"36-45",IF(D493&lt;=55,"46-55",IF(D493&lt;=65,"56-65","66-75")))))</f>
        <v>46-55</v>
      </c>
      <c r="W493" s="3">
        <v>3</v>
      </c>
    </row>
    <row r="494" spans="1:23">
      <c r="A494" s="5" t="s">
        <v>1075</v>
      </c>
      <c r="B494" s="5" t="s">
        <v>1076</v>
      </c>
      <c r="C494" s="6">
        <v>45071</v>
      </c>
      <c r="D494" s="8">
        <v>35</v>
      </c>
      <c r="E494" s="5" t="s">
        <v>36</v>
      </c>
      <c r="F494" s="5" t="s">
        <v>32</v>
      </c>
      <c r="G494" s="5" t="s">
        <v>22</v>
      </c>
      <c r="H494" s="7">
        <v>318</v>
      </c>
      <c r="I494" s="3">
        <v>1</v>
      </c>
      <c r="J494" s="33">
        <f>H494*I494</f>
        <v>318</v>
      </c>
      <c r="K494" s="4">
        <v>0</v>
      </c>
      <c r="L494" s="9">
        <f>IF(J494=0,0,K494/J494)</f>
        <v>0</v>
      </c>
      <c r="M494" s="25">
        <v>318</v>
      </c>
      <c r="N494" s="5" t="s">
        <v>692</v>
      </c>
      <c r="O494" s="5" t="s">
        <v>33</v>
      </c>
      <c r="P494" s="3">
        <v>32</v>
      </c>
      <c r="Q494" s="3">
        <v>11</v>
      </c>
      <c r="R494" s="5" t="b">
        <v>0</v>
      </c>
      <c r="S494" s="5" t="str">
        <f>IF(R494=TRUE,"Returning Customer","New Customer")</f>
        <v>New Customer</v>
      </c>
      <c r="T494" s="3">
        <v>3</v>
      </c>
      <c r="U494" s="12" t="str">
        <f>IF(T494&lt;=3,"Fast",IF(T494&lt;=7,"Standard",IF(T494&lt;=14,"Slow","Very Slow")))</f>
        <v>Fast</v>
      </c>
      <c r="V494" s="10" t="str">
        <f>IF(D494&lt;=25,"18-25",IF(D494&lt;=35,"26-35",IF(D494&lt;=45,"36-45",IF(D494&lt;=55,"46-55",IF(D494&lt;=65,"56-65","66-75")))))</f>
        <v>26-35</v>
      </c>
      <c r="W494" s="3">
        <v>2</v>
      </c>
    </row>
    <row r="495" spans="1:23">
      <c r="A495" s="5" t="s">
        <v>576</v>
      </c>
      <c r="B495" s="5" t="s">
        <v>577</v>
      </c>
      <c r="C495" s="6">
        <v>45236</v>
      </c>
      <c r="D495" s="8">
        <v>24</v>
      </c>
      <c r="E495" s="5" t="s">
        <v>20</v>
      </c>
      <c r="F495" s="5" t="s">
        <v>32</v>
      </c>
      <c r="G495" s="5" t="s">
        <v>53</v>
      </c>
      <c r="H495" s="7">
        <v>46.29</v>
      </c>
      <c r="I495" s="3">
        <v>1</v>
      </c>
      <c r="J495" s="33">
        <f>H495*I495</f>
        <v>46.29</v>
      </c>
      <c r="K495" s="4">
        <v>0</v>
      </c>
      <c r="L495" s="9">
        <f>IF(J495=0,0,K495/J495)</f>
        <v>0</v>
      </c>
      <c r="M495" s="25">
        <v>46.29</v>
      </c>
      <c r="N495" s="5" t="s">
        <v>327</v>
      </c>
      <c r="O495" s="5" t="s">
        <v>33</v>
      </c>
      <c r="P495" s="3">
        <v>5</v>
      </c>
      <c r="Q495" s="3">
        <v>7</v>
      </c>
      <c r="R495" s="5" t="b">
        <v>0</v>
      </c>
      <c r="S495" s="5" t="str">
        <f>IF(R495=TRUE,"Returning Customer","New Customer")</f>
        <v>New Customer</v>
      </c>
      <c r="T495" s="3">
        <v>4</v>
      </c>
      <c r="U495" s="12" t="str">
        <f>IF(T495&lt;=3,"Fast",IF(T495&lt;=7,"Standard",IF(T495&lt;=14,"Slow","Very Slow")))</f>
        <v>Standard</v>
      </c>
      <c r="V495" s="10" t="str">
        <f>IF(D495&lt;=25,"18-25",IF(D495&lt;=35,"26-35",IF(D495&lt;=45,"36-45",IF(D495&lt;=55,"46-55",IF(D495&lt;=65,"56-65","66-75")))))</f>
        <v>18-25</v>
      </c>
      <c r="W495" s="3">
        <v>5</v>
      </c>
    </row>
    <row r="496" spans="1:23">
      <c r="A496" s="5" t="s">
        <v>1077</v>
      </c>
      <c r="B496" s="5" t="s">
        <v>1078</v>
      </c>
      <c r="C496" s="6">
        <v>45034</v>
      </c>
      <c r="D496" s="8">
        <v>53</v>
      </c>
      <c r="E496" s="5" t="s">
        <v>36</v>
      </c>
      <c r="F496" s="5" t="s">
        <v>21</v>
      </c>
      <c r="G496" s="5" t="s">
        <v>37</v>
      </c>
      <c r="H496" s="7">
        <v>82.32</v>
      </c>
      <c r="I496" s="3">
        <v>1</v>
      </c>
      <c r="J496" s="33">
        <f>H496*I496</f>
        <v>82.32</v>
      </c>
      <c r="K496" s="4">
        <v>0</v>
      </c>
      <c r="L496" s="9">
        <f>IF(J496=0,0,K496/J496)</f>
        <v>0</v>
      </c>
      <c r="M496" s="25">
        <v>82.32</v>
      </c>
      <c r="N496" s="5" t="s">
        <v>692</v>
      </c>
      <c r="O496" s="5" t="s">
        <v>24</v>
      </c>
      <c r="P496" s="3">
        <v>16</v>
      </c>
      <c r="Q496" s="3">
        <v>10</v>
      </c>
      <c r="R496" s="5" t="b">
        <v>1</v>
      </c>
      <c r="S496" s="5" t="str">
        <f>IF(R496=TRUE,"Returning Customer","New Customer")</f>
        <v>Returning Customer</v>
      </c>
      <c r="T496" s="3">
        <v>4</v>
      </c>
      <c r="U496" s="12" t="str">
        <f>IF(T496&lt;=3,"Fast",IF(T496&lt;=7,"Standard",IF(T496&lt;=14,"Slow","Very Slow")))</f>
        <v>Standard</v>
      </c>
      <c r="V496" s="10" t="str">
        <f>IF(D496&lt;=25,"18-25",IF(D496&lt;=35,"26-35",IF(D496&lt;=45,"36-45",IF(D496&lt;=55,"46-55",IF(D496&lt;=65,"56-65","66-75")))))</f>
        <v>46-55</v>
      </c>
      <c r="W496" s="3">
        <v>4</v>
      </c>
    </row>
    <row r="497" spans="1:23">
      <c r="A497" s="5" t="s">
        <v>247</v>
      </c>
      <c r="B497" s="5" t="s">
        <v>248</v>
      </c>
      <c r="C497" s="6">
        <v>45294</v>
      </c>
      <c r="D497" s="8">
        <v>41</v>
      </c>
      <c r="E497" s="5" t="s">
        <v>20</v>
      </c>
      <c r="F497" s="5" t="s">
        <v>59</v>
      </c>
      <c r="G497" s="5" t="s">
        <v>64</v>
      </c>
      <c r="H497" s="7">
        <v>734.28</v>
      </c>
      <c r="I497" s="3">
        <v>2</v>
      </c>
      <c r="J497" s="33">
        <f>H497*I497</f>
        <v>1468.56</v>
      </c>
      <c r="K497" s="4">
        <v>0</v>
      </c>
      <c r="L497" s="9">
        <f>IF(J497=0,0,K497/J497)</f>
        <v>0</v>
      </c>
      <c r="M497" s="25">
        <v>1468.56</v>
      </c>
      <c r="N497" s="5" t="s">
        <v>23</v>
      </c>
      <c r="O497" s="5" t="s">
        <v>24</v>
      </c>
      <c r="P497" s="3">
        <v>18</v>
      </c>
      <c r="Q497" s="3">
        <v>5</v>
      </c>
      <c r="R497" s="5" t="b">
        <v>1</v>
      </c>
      <c r="S497" s="5" t="str">
        <f>IF(R497=TRUE,"Returning Customer","New Customer")</f>
        <v>Returning Customer</v>
      </c>
      <c r="T497" s="3">
        <v>9</v>
      </c>
      <c r="U497" s="12" t="str">
        <f>IF(T497&lt;=3,"Fast",IF(T497&lt;=7,"Standard",IF(T497&lt;=14,"Slow","Very Slow")))</f>
        <v>Slow</v>
      </c>
      <c r="V497" s="10" t="str">
        <f>IF(D497&lt;=25,"18-25",IF(D497&lt;=35,"26-35",IF(D497&lt;=45,"36-45",IF(D497&lt;=55,"46-55",IF(D497&lt;=65,"56-65","66-75")))))</f>
        <v>36-45</v>
      </c>
      <c r="W497" s="3">
        <v>3</v>
      </c>
    </row>
    <row r="498" spans="1:23">
      <c r="A498" s="5" t="s">
        <v>249</v>
      </c>
      <c r="B498" s="5" t="s">
        <v>250</v>
      </c>
      <c r="C498" s="6">
        <v>45102</v>
      </c>
      <c r="D498" s="8">
        <v>22</v>
      </c>
      <c r="E498" s="5" t="s">
        <v>36</v>
      </c>
      <c r="F498" s="5" t="s">
        <v>27</v>
      </c>
      <c r="G498" s="5" t="s">
        <v>64</v>
      </c>
      <c r="H498" s="7">
        <v>2148.3200000000002</v>
      </c>
      <c r="I498" s="3">
        <v>2</v>
      </c>
      <c r="J498" s="33">
        <f>H498*I498</f>
        <v>4296.6400000000003</v>
      </c>
      <c r="K498" s="4">
        <v>0</v>
      </c>
      <c r="L498" s="9">
        <f>IF(J498=0,0,K498/J498)</f>
        <v>0</v>
      </c>
      <c r="M498" s="25">
        <v>4296.6400000000003</v>
      </c>
      <c r="N498" s="5" t="s">
        <v>23</v>
      </c>
      <c r="O498" s="5" t="s">
        <v>24</v>
      </c>
      <c r="P498" s="3">
        <v>28</v>
      </c>
      <c r="Q498" s="3">
        <v>8</v>
      </c>
      <c r="R498" s="5" t="b">
        <v>1</v>
      </c>
      <c r="S498" s="5" t="str">
        <f>IF(R498=TRUE,"Returning Customer","New Customer")</f>
        <v>Returning Customer</v>
      </c>
      <c r="T498" s="3">
        <v>6</v>
      </c>
      <c r="U498" s="12" t="str">
        <f>IF(T498&lt;=3,"Fast",IF(T498&lt;=7,"Standard",IF(T498&lt;=14,"Slow","Very Slow")))</f>
        <v>Standard</v>
      </c>
      <c r="V498" s="10" t="str">
        <f>IF(D498&lt;=25,"18-25",IF(D498&lt;=35,"26-35",IF(D498&lt;=45,"36-45",IF(D498&lt;=55,"46-55",IF(D498&lt;=65,"56-65","66-75")))))</f>
        <v>18-25</v>
      </c>
      <c r="W498" s="3">
        <v>5</v>
      </c>
    </row>
    <row r="499" spans="1:23">
      <c r="A499" s="5" t="s">
        <v>1395</v>
      </c>
      <c r="B499" s="5" t="s">
        <v>1396</v>
      </c>
      <c r="C499" s="6">
        <v>45031</v>
      </c>
      <c r="D499" s="8">
        <v>32</v>
      </c>
      <c r="E499" s="5" t="s">
        <v>36</v>
      </c>
      <c r="F499" s="5" t="s">
        <v>76</v>
      </c>
      <c r="G499" s="5" t="s">
        <v>22</v>
      </c>
      <c r="H499" s="7">
        <v>669.82</v>
      </c>
      <c r="I499" s="3">
        <v>1</v>
      </c>
      <c r="J499" s="33">
        <f>H499*I499</f>
        <v>669.82</v>
      </c>
      <c r="K499" s="4">
        <v>0</v>
      </c>
      <c r="L499" s="9">
        <f>IF(J499=0,0,K499/J499)</f>
        <v>0</v>
      </c>
      <c r="M499" s="25">
        <v>669.82</v>
      </c>
      <c r="N499" s="5" t="s">
        <v>1298</v>
      </c>
      <c r="O499" s="5" t="s">
        <v>24</v>
      </c>
      <c r="P499" s="3">
        <v>9</v>
      </c>
      <c r="Q499" s="3">
        <v>9</v>
      </c>
      <c r="R499" s="5" t="b">
        <v>1</v>
      </c>
      <c r="S499" s="5" t="str">
        <f>IF(R499=TRUE,"Returning Customer","New Customer")</f>
        <v>Returning Customer</v>
      </c>
      <c r="T499" s="3">
        <v>8</v>
      </c>
      <c r="U499" s="12" t="str">
        <f>IF(T499&lt;=3,"Fast",IF(T499&lt;=7,"Standard",IF(T499&lt;=14,"Slow","Very Slow")))</f>
        <v>Slow</v>
      </c>
      <c r="V499" s="10" t="str">
        <f>IF(D499&lt;=25,"18-25",IF(D499&lt;=35,"26-35",IF(D499&lt;=45,"36-45",IF(D499&lt;=55,"46-55",IF(D499&lt;=65,"56-65","66-75")))))</f>
        <v>26-35</v>
      </c>
      <c r="W499" s="3">
        <v>5</v>
      </c>
    </row>
    <row r="500" spans="1:23">
      <c r="A500" s="5" t="s">
        <v>1079</v>
      </c>
      <c r="B500" s="5" t="s">
        <v>1080</v>
      </c>
      <c r="C500" s="6">
        <v>45278</v>
      </c>
      <c r="D500" s="8">
        <v>24</v>
      </c>
      <c r="E500" s="5" t="s">
        <v>36</v>
      </c>
      <c r="F500" s="5" t="s">
        <v>73</v>
      </c>
      <c r="G500" s="5" t="s">
        <v>56</v>
      </c>
      <c r="H500" s="7">
        <v>524.52</v>
      </c>
      <c r="I500" s="3">
        <v>1</v>
      </c>
      <c r="J500" s="33">
        <f>H500*I500</f>
        <v>524.52</v>
      </c>
      <c r="K500" s="4">
        <v>0</v>
      </c>
      <c r="L500" s="9">
        <f>IF(J500=0,0,K500/J500)</f>
        <v>0</v>
      </c>
      <c r="M500" s="25">
        <v>524.52</v>
      </c>
      <c r="N500" s="5" t="s">
        <v>692</v>
      </c>
      <c r="O500" s="5" t="s">
        <v>24</v>
      </c>
      <c r="P500" s="3">
        <v>6</v>
      </c>
      <c r="Q500" s="3">
        <v>11</v>
      </c>
      <c r="R500" s="5" t="b">
        <v>1</v>
      </c>
      <c r="S500" s="5" t="str">
        <f>IF(R500=TRUE,"Returning Customer","New Customer")</f>
        <v>Returning Customer</v>
      </c>
      <c r="T500" s="3">
        <v>6</v>
      </c>
      <c r="U500" s="12" t="str">
        <f>IF(T500&lt;=3,"Fast",IF(T500&lt;=7,"Standard",IF(T500&lt;=14,"Slow","Very Slow")))</f>
        <v>Standard</v>
      </c>
      <c r="V500" s="10" t="str">
        <f>IF(D500&lt;=25,"18-25",IF(D500&lt;=35,"26-35",IF(D500&lt;=45,"36-45",IF(D500&lt;=55,"46-55",IF(D500&lt;=65,"56-65","66-75")))))</f>
        <v>18-25</v>
      </c>
      <c r="W500" s="3">
        <v>4</v>
      </c>
    </row>
    <row r="501" spans="1:23">
      <c r="A501" s="5" t="s">
        <v>578</v>
      </c>
      <c r="B501" s="5" t="s">
        <v>579</v>
      </c>
      <c r="C501" s="6">
        <v>45251</v>
      </c>
      <c r="D501" s="8">
        <v>18</v>
      </c>
      <c r="E501" s="5" t="s">
        <v>20</v>
      </c>
      <c r="F501" s="5" t="s">
        <v>32</v>
      </c>
      <c r="G501" s="5" t="s">
        <v>37</v>
      </c>
      <c r="H501" s="7">
        <v>48.17</v>
      </c>
      <c r="I501" s="3">
        <v>2</v>
      </c>
      <c r="J501" s="33">
        <f>H501*I501</f>
        <v>96.34</v>
      </c>
      <c r="K501" s="4">
        <v>0</v>
      </c>
      <c r="L501" s="9">
        <f>IF(J501=0,0,K501/J501)</f>
        <v>0</v>
      </c>
      <c r="M501" s="25">
        <v>96.34</v>
      </c>
      <c r="N501" s="5" t="s">
        <v>327</v>
      </c>
      <c r="O501" s="5" t="s">
        <v>29</v>
      </c>
      <c r="P501" s="3">
        <v>9</v>
      </c>
      <c r="Q501" s="3">
        <v>9</v>
      </c>
      <c r="R501" s="5" t="b">
        <v>0</v>
      </c>
      <c r="S501" s="5" t="str">
        <f>IF(R501=TRUE,"Returning Customer","New Customer")</f>
        <v>New Customer</v>
      </c>
      <c r="T501" s="3">
        <v>7</v>
      </c>
      <c r="U501" s="12" t="str">
        <f>IF(T501&lt;=3,"Fast",IF(T501&lt;=7,"Standard",IF(T501&lt;=14,"Slow","Very Slow")))</f>
        <v>Standard</v>
      </c>
      <c r="V501" s="10" t="str">
        <f>IF(D501&lt;=25,"18-25",IF(D501&lt;=35,"26-35",IF(D501&lt;=45,"36-45",IF(D501&lt;=55,"46-55",IF(D501&lt;=65,"56-65","66-75")))))</f>
        <v>18-25</v>
      </c>
      <c r="W501" s="3">
        <v>5</v>
      </c>
    </row>
    <row r="502" spans="1:23">
      <c r="A502" s="5" t="s">
        <v>1397</v>
      </c>
      <c r="B502" s="5" t="s">
        <v>1398</v>
      </c>
      <c r="C502" s="6">
        <v>45363</v>
      </c>
      <c r="D502" s="8">
        <v>46</v>
      </c>
      <c r="E502" s="5" t="s">
        <v>20</v>
      </c>
      <c r="F502" s="5" t="s">
        <v>73</v>
      </c>
      <c r="G502" s="5" t="s">
        <v>46</v>
      </c>
      <c r="H502" s="7">
        <v>725.33</v>
      </c>
      <c r="I502" s="3">
        <v>5</v>
      </c>
      <c r="J502" s="33">
        <f>H502*I502</f>
        <v>3626.65</v>
      </c>
      <c r="K502" s="4">
        <v>0</v>
      </c>
      <c r="L502" s="9">
        <f>IF(J502=0,0,K502/J502)</f>
        <v>0</v>
      </c>
      <c r="M502" s="25">
        <v>3626.65</v>
      </c>
      <c r="N502" s="5" t="s">
        <v>1298</v>
      </c>
      <c r="O502" s="5" t="s">
        <v>24</v>
      </c>
      <c r="P502" s="3">
        <v>12</v>
      </c>
      <c r="Q502" s="3">
        <v>7</v>
      </c>
      <c r="R502" s="5" t="b">
        <v>0</v>
      </c>
      <c r="S502" s="5" t="str">
        <f>IF(R502=TRUE,"Returning Customer","New Customer")</f>
        <v>New Customer</v>
      </c>
      <c r="T502" s="3">
        <v>4</v>
      </c>
      <c r="U502" s="12" t="str">
        <f>IF(T502&lt;=3,"Fast",IF(T502&lt;=7,"Standard",IF(T502&lt;=14,"Slow","Very Slow")))</f>
        <v>Standard</v>
      </c>
      <c r="V502" s="10" t="str">
        <f>IF(D502&lt;=25,"18-25",IF(D502&lt;=35,"26-35",IF(D502&lt;=45,"36-45",IF(D502&lt;=55,"46-55",IF(D502&lt;=65,"56-65","66-75")))))</f>
        <v>46-55</v>
      </c>
      <c r="W502" s="3">
        <v>5</v>
      </c>
    </row>
    <row r="503" spans="1:23">
      <c r="A503" s="5" t="s">
        <v>251</v>
      </c>
      <c r="B503" s="5" t="s">
        <v>252</v>
      </c>
      <c r="C503" s="6">
        <v>45062</v>
      </c>
      <c r="D503" s="8">
        <v>57</v>
      </c>
      <c r="E503" s="5" t="s">
        <v>36</v>
      </c>
      <c r="F503" s="5" t="s">
        <v>27</v>
      </c>
      <c r="G503" s="5" t="s">
        <v>56</v>
      </c>
      <c r="H503" s="7">
        <v>423.12</v>
      </c>
      <c r="I503" s="3">
        <v>2</v>
      </c>
      <c r="J503" s="33">
        <f>H503*I503</f>
        <v>846.24</v>
      </c>
      <c r="K503" s="4">
        <v>0</v>
      </c>
      <c r="L503" s="9">
        <f>IF(J503=0,0,K503/J503)</f>
        <v>0</v>
      </c>
      <c r="M503" s="25">
        <v>846.24</v>
      </c>
      <c r="N503" s="5" t="s">
        <v>23</v>
      </c>
      <c r="O503" s="5" t="s">
        <v>24</v>
      </c>
      <c r="P503" s="3">
        <v>17</v>
      </c>
      <c r="Q503" s="3">
        <v>12</v>
      </c>
      <c r="R503" s="5" t="b">
        <v>1</v>
      </c>
      <c r="S503" s="5" t="str">
        <f>IF(R503=TRUE,"Returning Customer","New Customer")</f>
        <v>Returning Customer</v>
      </c>
      <c r="T503" s="3">
        <v>7</v>
      </c>
      <c r="U503" s="12" t="str">
        <f>IF(T503&lt;=3,"Fast",IF(T503&lt;=7,"Standard",IF(T503&lt;=14,"Slow","Very Slow")))</f>
        <v>Standard</v>
      </c>
      <c r="V503" s="10" t="str">
        <f>IF(D503&lt;=25,"18-25",IF(D503&lt;=35,"26-35",IF(D503&lt;=45,"36-45",IF(D503&lt;=55,"46-55",IF(D503&lt;=65,"56-65","66-75")))))</f>
        <v>56-65</v>
      </c>
      <c r="W503" s="3">
        <v>5</v>
      </c>
    </row>
    <row r="504" spans="1:23">
      <c r="A504" s="5" t="s">
        <v>1081</v>
      </c>
      <c r="B504" s="5" t="s">
        <v>1082</v>
      </c>
      <c r="C504" s="6">
        <v>45185</v>
      </c>
      <c r="D504" s="8">
        <v>18</v>
      </c>
      <c r="E504" s="5" t="s">
        <v>20</v>
      </c>
      <c r="F504" s="5" t="s">
        <v>32</v>
      </c>
      <c r="G504" s="5" t="s">
        <v>64</v>
      </c>
      <c r="H504" s="7">
        <v>725.66</v>
      </c>
      <c r="I504" s="3">
        <v>2</v>
      </c>
      <c r="J504" s="33">
        <f>H504*I504</f>
        <v>1451.32</v>
      </c>
      <c r="K504" s="4">
        <v>0</v>
      </c>
      <c r="L504" s="9">
        <f>IF(J504=0,0,K504/J504)</f>
        <v>0</v>
      </c>
      <c r="M504" s="25">
        <v>1451.32</v>
      </c>
      <c r="N504" s="5" t="s">
        <v>692</v>
      </c>
      <c r="O504" s="5" t="s">
        <v>29</v>
      </c>
      <c r="P504" s="3">
        <v>25</v>
      </c>
      <c r="Q504" s="3">
        <v>10</v>
      </c>
      <c r="R504" s="5" t="b">
        <v>0</v>
      </c>
      <c r="S504" s="5" t="str">
        <f>IF(R504=TRUE,"Returning Customer","New Customer")</f>
        <v>New Customer</v>
      </c>
      <c r="T504" s="3">
        <v>9</v>
      </c>
      <c r="U504" s="12" t="str">
        <f>IF(T504&lt;=3,"Fast",IF(T504&lt;=7,"Standard",IF(T504&lt;=14,"Slow","Very Slow")))</f>
        <v>Slow</v>
      </c>
      <c r="V504" s="10" t="str">
        <f>IF(D504&lt;=25,"18-25",IF(D504&lt;=35,"26-35",IF(D504&lt;=45,"36-45",IF(D504&lt;=55,"46-55",IF(D504&lt;=65,"56-65","66-75")))))</f>
        <v>18-25</v>
      </c>
      <c r="W504" s="3">
        <v>3</v>
      </c>
    </row>
    <row r="505" spans="1:23">
      <c r="A505" s="5" t="s">
        <v>580</v>
      </c>
      <c r="B505" s="5" t="s">
        <v>581</v>
      </c>
      <c r="C505" s="6">
        <v>45177</v>
      </c>
      <c r="D505" s="8">
        <v>41</v>
      </c>
      <c r="E505" s="5" t="s">
        <v>36</v>
      </c>
      <c r="F505" s="5" t="s">
        <v>32</v>
      </c>
      <c r="G505" s="5" t="s">
        <v>28</v>
      </c>
      <c r="H505" s="7">
        <v>43.88</v>
      </c>
      <c r="I505" s="3">
        <v>1</v>
      </c>
      <c r="J505" s="33">
        <f>H505*I505</f>
        <v>43.88</v>
      </c>
      <c r="K505" s="4">
        <v>0</v>
      </c>
      <c r="L505" s="9">
        <f>IF(J505=0,0,K505/J505)</f>
        <v>0</v>
      </c>
      <c r="M505" s="25">
        <v>43.88</v>
      </c>
      <c r="N505" s="5" t="s">
        <v>327</v>
      </c>
      <c r="O505" s="5" t="s">
        <v>33</v>
      </c>
      <c r="P505" s="3">
        <v>18</v>
      </c>
      <c r="Q505" s="3">
        <v>10</v>
      </c>
      <c r="R505" s="5" t="b">
        <v>1</v>
      </c>
      <c r="S505" s="5" t="str">
        <f>IF(R505=TRUE,"Returning Customer","New Customer")</f>
        <v>Returning Customer</v>
      </c>
      <c r="T505" s="3">
        <v>3</v>
      </c>
      <c r="U505" s="12" t="str">
        <f>IF(T505&lt;=3,"Fast",IF(T505&lt;=7,"Standard",IF(T505&lt;=14,"Slow","Very Slow")))</f>
        <v>Fast</v>
      </c>
      <c r="V505" s="10" t="str">
        <f>IF(D505&lt;=25,"18-25",IF(D505&lt;=35,"26-35",IF(D505&lt;=45,"36-45",IF(D505&lt;=55,"46-55",IF(D505&lt;=65,"56-65","66-75")))))</f>
        <v>36-45</v>
      </c>
      <c r="W505" s="3">
        <v>4</v>
      </c>
    </row>
    <row r="506" spans="1:23">
      <c r="A506" s="5" t="s">
        <v>1399</v>
      </c>
      <c r="B506" s="5" t="s">
        <v>1400</v>
      </c>
      <c r="C506" s="6">
        <v>45055</v>
      </c>
      <c r="D506" s="8">
        <v>27</v>
      </c>
      <c r="E506" s="5" t="s">
        <v>36</v>
      </c>
      <c r="F506" s="5" t="s">
        <v>32</v>
      </c>
      <c r="G506" s="5" t="s">
        <v>37</v>
      </c>
      <c r="H506" s="7">
        <v>133</v>
      </c>
      <c r="I506" s="3">
        <v>2</v>
      </c>
      <c r="J506" s="33">
        <f>H506*I506</f>
        <v>266</v>
      </c>
      <c r="K506" s="4">
        <v>0</v>
      </c>
      <c r="L506" s="9">
        <f>IF(J506=0,0,K506/J506)</f>
        <v>0</v>
      </c>
      <c r="M506" s="25">
        <v>266</v>
      </c>
      <c r="N506" s="5" t="s">
        <v>1298</v>
      </c>
      <c r="O506" s="5" t="s">
        <v>24</v>
      </c>
      <c r="P506" s="3">
        <v>8</v>
      </c>
      <c r="Q506" s="3">
        <v>9</v>
      </c>
      <c r="R506" s="5" t="b">
        <v>1</v>
      </c>
      <c r="S506" s="5" t="str">
        <f>IF(R506=TRUE,"Returning Customer","New Customer")</f>
        <v>Returning Customer</v>
      </c>
      <c r="T506" s="3">
        <v>5</v>
      </c>
      <c r="U506" s="12" t="str">
        <f>IF(T506&lt;=3,"Fast",IF(T506&lt;=7,"Standard",IF(T506&lt;=14,"Slow","Very Slow")))</f>
        <v>Standard</v>
      </c>
      <c r="V506" s="10" t="str">
        <f>IF(D506&lt;=25,"18-25",IF(D506&lt;=35,"26-35",IF(D506&lt;=45,"36-45",IF(D506&lt;=55,"46-55",IF(D506&lt;=65,"56-65","66-75")))))</f>
        <v>26-35</v>
      </c>
      <c r="W506" s="3">
        <v>2</v>
      </c>
    </row>
    <row r="507" spans="1:23">
      <c r="A507" s="5" t="s">
        <v>582</v>
      </c>
      <c r="B507" s="5" t="s">
        <v>583</v>
      </c>
      <c r="C507" s="6">
        <v>45360</v>
      </c>
      <c r="D507" s="8">
        <v>29</v>
      </c>
      <c r="E507" s="5" t="s">
        <v>20</v>
      </c>
      <c r="F507" s="5" t="s">
        <v>73</v>
      </c>
      <c r="G507" s="5" t="s">
        <v>28</v>
      </c>
      <c r="H507" s="7">
        <v>314.54000000000002</v>
      </c>
      <c r="I507" s="3">
        <v>4</v>
      </c>
      <c r="J507" s="33">
        <f>H507*I507</f>
        <v>1258.1600000000001</v>
      </c>
      <c r="K507" s="4">
        <v>0</v>
      </c>
      <c r="L507" s="9">
        <f>IF(J507=0,0,K507/J507)</f>
        <v>0</v>
      </c>
      <c r="M507" s="25">
        <v>1258.1600000000001</v>
      </c>
      <c r="N507" s="5" t="s">
        <v>327</v>
      </c>
      <c r="O507" s="5" t="s">
        <v>24</v>
      </c>
      <c r="P507" s="3">
        <v>13</v>
      </c>
      <c r="Q507" s="3">
        <v>8</v>
      </c>
      <c r="R507" s="5" t="b">
        <v>1</v>
      </c>
      <c r="S507" s="5" t="str">
        <f>IF(R507=TRUE,"Returning Customer","New Customer")</f>
        <v>Returning Customer</v>
      </c>
      <c r="T507" s="3">
        <v>7</v>
      </c>
      <c r="U507" s="12" t="str">
        <f>IF(T507&lt;=3,"Fast",IF(T507&lt;=7,"Standard",IF(T507&lt;=14,"Slow","Very Slow")))</f>
        <v>Standard</v>
      </c>
      <c r="V507" s="10" t="str">
        <f>IF(D507&lt;=25,"18-25",IF(D507&lt;=35,"26-35",IF(D507&lt;=45,"36-45",IF(D507&lt;=55,"46-55",IF(D507&lt;=65,"56-65","66-75")))))</f>
        <v>26-35</v>
      </c>
      <c r="W507" s="3">
        <v>4</v>
      </c>
    </row>
    <row r="508" spans="1:23">
      <c r="A508" s="5" t="s">
        <v>253</v>
      </c>
      <c r="B508" s="5" t="s">
        <v>254</v>
      </c>
      <c r="C508" s="6">
        <v>44953</v>
      </c>
      <c r="D508" s="8">
        <v>27</v>
      </c>
      <c r="E508" s="5" t="s">
        <v>20</v>
      </c>
      <c r="F508" s="5" t="s">
        <v>88</v>
      </c>
      <c r="G508" s="5" t="s">
        <v>64</v>
      </c>
      <c r="H508" s="7">
        <v>503.88</v>
      </c>
      <c r="I508" s="3">
        <v>5</v>
      </c>
      <c r="J508" s="33">
        <f>H508*I508</f>
        <v>2519.4</v>
      </c>
      <c r="K508" s="4">
        <v>0</v>
      </c>
      <c r="L508" s="9">
        <f>IF(J508=0,0,K508/J508)</f>
        <v>0</v>
      </c>
      <c r="M508" s="25">
        <v>2519.4</v>
      </c>
      <c r="N508" s="5" t="s">
        <v>23</v>
      </c>
      <c r="O508" s="5" t="s">
        <v>24</v>
      </c>
      <c r="P508" s="3">
        <v>14</v>
      </c>
      <c r="Q508" s="3">
        <v>4</v>
      </c>
      <c r="R508" s="5" t="b">
        <v>1</v>
      </c>
      <c r="S508" s="5" t="str">
        <f>IF(R508=TRUE,"Returning Customer","New Customer")</f>
        <v>Returning Customer</v>
      </c>
      <c r="T508" s="3">
        <v>7</v>
      </c>
      <c r="U508" s="12" t="str">
        <f>IF(T508&lt;=3,"Fast",IF(T508&lt;=7,"Standard",IF(T508&lt;=14,"Slow","Very Slow")))</f>
        <v>Standard</v>
      </c>
      <c r="V508" s="10" t="str">
        <f>IF(D508&lt;=25,"18-25",IF(D508&lt;=35,"26-35",IF(D508&lt;=45,"36-45",IF(D508&lt;=55,"46-55",IF(D508&lt;=65,"56-65","66-75")))))</f>
        <v>26-35</v>
      </c>
      <c r="W508" s="3">
        <v>5</v>
      </c>
    </row>
    <row r="509" spans="1:23">
      <c r="A509" s="5" t="s">
        <v>584</v>
      </c>
      <c r="B509" s="5" t="s">
        <v>585</v>
      </c>
      <c r="C509" s="6">
        <v>44974</v>
      </c>
      <c r="D509" s="8">
        <v>24</v>
      </c>
      <c r="E509" s="5" t="s">
        <v>20</v>
      </c>
      <c r="F509" s="5" t="s">
        <v>49</v>
      </c>
      <c r="G509" s="5" t="s">
        <v>53</v>
      </c>
      <c r="H509" s="7">
        <v>40.43</v>
      </c>
      <c r="I509" s="3">
        <v>1</v>
      </c>
      <c r="J509" s="33">
        <f>H509*I509</f>
        <v>40.43</v>
      </c>
      <c r="K509" s="4">
        <v>0</v>
      </c>
      <c r="L509" s="9">
        <f>IF(J509=0,0,K509/J509)</f>
        <v>0</v>
      </c>
      <c r="M509" s="25">
        <v>40.43</v>
      </c>
      <c r="N509" s="5" t="s">
        <v>327</v>
      </c>
      <c r="O509" s="5" t="s">
        <v>33</v>
      </c>
      <c r="P509" s="3">
        <v>16</v>
      </c>
      <c r="Q509" s="3">
        <v>7</v>
      </c>
      <c r="R509" s="5" t="b">
        <v>1</v>
      </c>
      <c r="S509" s="5" t="str">
        <f>IF(R509=TRUE,"Returning Customer","New Customer")</f>
        <v>Returning Customer</v>
      </c>
      <c r="T509" s="3">
        <v>3</v>
      </c>
      <c r="U509" s="12" t="str">
        <f>IF(T509&lt;=3,"Fast",IF(T509&lt;=7,"Standard",IF(T509&lt;=14,"Slow","Very Slow")))</f>
        <v>Fast</v>
      </c>
      <c r="V509" s="10" t="str">
        <f>IF(D509&lt;=25,"18-25",IF(D509&lt;=35,"26-35",IF(D509&lt;=45,"36-45",IF(D509&lt;=55,"46-55",IF(D509&lt;=65,"56-65","66-75")))))</f>
        <v>18-25</v>
      </c>
      <c r="W509" s="3">
        <v>5</v>
      </c>
    </row>
    <row r="510" spans="1:23">
      <c r="A510" s="5" t="s">
        <v>1083</v>
      </c>
      <c r="B510" s="5" t="s">
        <v>1084</v>
      </c>
      <c r="C510" s="6">
        <v>45251</v>
      </c>
      <c r="D510" s="8">
        <v>35</v>
      </c>
      <c r="E510" s="5" t="s">
        <v>36</v>
      </c>
      <c r="F510" s="5" t="s">
        <v>83</v>
      </c>
      <c r="G510" s="5" t="s">
        <v>56</v>
      </c>
      <c r="H510" s="7">
        <v>490.05</v>
      </c>
      <c r="I510" s="3">
        <v>1</v>
      </c>
      <c r="J510" s="33">
        <f>H510*I510</f>
        <v>490.05</v>
      </c>
      <c r="K510" s="4">
        <v>0</v>
      </c>
      <c r="L510" s="9">
        <f>IF(J510=0,0,K510/J510)</f>
        <v>0</v>
      </c>
      <c r="M510" s="25">
        <v>490.05</v>
      </c>
      <c r="N510" s="5" t="s">
        <v>692</v>
      </c>
      <c r="O510" s="5" t="s">
        <v>33</v>
      </c>
      <c r="P510" s="3">
        <v>12</v>
      </c>
      <c r="Q510" s="3">
        <v>6</v>
      </c>
      <c r="R510" s="5" t="b">
        <v>1</v>
      </c>
      <c r="S510" s="5" t="str">
        <f>IF(R510=TRUE,"Returning Customer","New Customer")</f>
        <v>Returning Customer</v>
      </c>
      <c r="T510" s="3">
        <v>12</v>
      </c>
      <c r="U510" s="12" t="str">
        <f>IF(T510&lt;=3,"Fast",IF(T510&lt;=7,"Standard",IF(T510&lt;=14,"Slow","Very Slow")))</f>
        <v>Slow</v>
      </c>
      <c r="V510" s="10" t="str">
        <f>IF(D510&lt;=25,"18-25",IF(D510&lt;=35,"26-35",IF(D510&lt;=45,"36-45",IF(D510&lt;=55,"46-55",IF(D510&lt;=65,"56-65","66-75")))))</f>
        <v>26-35</v>
      </c>
      <c r="W510" s="3">
        <v>5</v>
      </c>
    </row>
    <row r="511" spans="1:23">
      <c r="A511" s="5" t="s">
        <v>1085</v>
      </c>
      <c r="B511" s="5" t="s">
        <v>1086</v>
      </c>
      <c r="C511" s="6">
        <v>45143</v>
      </c>
      <c r="D511" s="8">
        <v>25</v>
      </c>
      <c r="E511" s="5" t="s">
        <v>20</v>
      </c>
      <c r="F511" s="5" t="s">
        <v>32</v>
      </c>
      <c r="G511" s="5" t="s">
        <v>46</v>
      </c>
      <c r="H511" s="7">
        <v>239.25</v>
      </c>
      <c r="I511" s="3">
        <v>3</v>
      </c>
      <c r="J511" s="33">
        <f>H511*I511</f>
        <v>717.75</v>
      </c>
      <c r="K511" s="4">
        <v>0</v>
      </c>
      <c r="L511" s="9">
        <f>IF(J511=0,0,K511/J511)</f>
        <v>0</v>
      </c>
      <c r="M511" s="25">
        <v>717.75</v>
      </c>
      <c r="N511" s="5" t="s">
        <v>692</v>
      </c>
      <c r="O511" s="5" t="s">
        <v>33</v>
      </c>
      <c r="P511" s="3">
        <v>17</v>
      </c>
      <c r="Q511" s="3">
        <v>8</v>
      </c>
      <c r="R511" s="5" t="b">
        <v>1</v>
      </c>
      <c r="S511" s="5" t="str">
        <f>IF(R511=TRUE,"Returning Customer","New Customer")</f>
        <v>Returning Customer</v>
      </c>
      <c r="T511" s="3">
        <v>5</v>
      </c>
      <c r="U511" s="12" t="str">
        <f>IF(T511&lt;=3,"Fast",IF(T511&lt;=7,"Standard",IF(T511&lt;=14,"Slow","Very Slow")))</f>
        <v>Standard</v>
      </c>
      <c r="V511" s="10" t="str">
        <f>IF(D511&lt;=25,"18-25",IF(D511&lt;=35,"26-35",IF(D511&lt;=45,"36-45",IF(D511&lt;=55,"46-55",IF(D511&lt;=65,"56-65","66-75")))))</f>
        <v>18-25</v>
      </c>
      <c r="W511" s="3">
        <v>4</v>
      </c>
    </row>
    <row r="512" spans="1:23">
      <c r="A512" s="5" t="s">
        <v>1087</v>
      </c>
      <c r="B512" s="5" t="s">
        <v>1088</v>
      </c>
      <c r="C512" s="6">
        <v>45351</v>
      </c>
      <c r="D512" s="8">
        <v>38</v>
      </c>
      <c r="E512" s="5" t="s">
        <v>20</v>
      </c>
      <c r="F512" s="5" t="s">
        <v>88</v>
      </c>
      <c r="G512" s="5" t="s">
        <v>53</v>
      </c>
      <c r="H512" s="7">
        <v>112.45</v>
      </c>
      <c r="I512" s="3">
        <v>3</v>
      </c>
      <c r="J512" s="33">
        <f>H512*I512</f>
        <v>337.35</v>
      </c>
      <c r="K512" s="4">
        <v>0</v>
      </c>
      <c r="L512" s="9">
        <f>IF(J512=0,0,K512/J512)</f>
        <v>0</v>
      </c>
      <c r="M512" s="25">
        <v>337.35</v>
      </c>
      <c r="N512" s="5" t="s">
        <v>692</v>
      </c>
      <c r="O512" s="5" t="s">
        <v>24</v>
      </c>
      <c r="P512" s="3">
        <v>10</v>
      </c>
      <c r="Q512" s="3">
        <v>11</v>
      </c>
      <c r="R512" s="5" t="b">
        <v>1</v>
      </c>
      <c r="S512" s="5" t="str">
        <f>IF(R512=TRUE,"Returning Customer","New Customer")</f>
        <v>Returning Customer</v>
      </c>
      <c r="T512" s="3">
        <v>5</v>
      </c>
      <c r="U512" s="12" t="str">
        <f>IF(T512&lt;=3,"Fast",IF(T512&lt;=7,"Standard",IF(T512&lt;=14,"Slow","Very Slow")))</f>
        <v>Standard</v>
      </c>
      <c r="V512" s="10" t="str">
        <f>IF(D512&lt;=25,"18-25",IF(D512&lt;=35,"26-35",IF(D512&lt;=45,"36-45",IF(D512&lt;=55,"46-55",IF(D512&lt;=65,"56-65","66-75")))))</f>
        <v>36-45</v>
      </c>
      <c r="W512" s="3">
        <v>5</v>
      </c>
    </row>
    <row r="513" spans="1:23">
      <c r="A513" s="5" t="s">
        <v>1089</v>
      </c>
      <c r="B513" s="5" t="s">
        <v>1090</v>
      </c>
      <c r="C513" s="6">
        <v>45068</v>
      </c>
      <c r="D513" s="8">
        <v>34</v>
      </c>
      <c r="E513" s="5" t="s">
        <v>20</v>
      </c>
      <c r="F513" s="5" t="s">
        <v>59</v>
      </c>
      <c r="G513" s="5" t="s">
        <v>46</v>
      </c>
      <c r="H513" s="7">
        <v>122.1</v>
      </c>
      <c r="I513" s="3">
        <v>1</v>
      </c>
      <c r="J513" s="33">
        <f>H513*I513</f>
        <v>122.1</v>
      </c>
      <c r="K513" s="4">
        <v>0</v>
      </c>
      <c r="L513" s="9">
        <f>IF(J513=0,0,K513/J513)</f>
        <v>0</v>
      </c>
      <c r="M513" s="25">
        <v>122.1</v>
      </c>
      <c r="N513" s="5" t="s">
        <v>692</v>
      </c>
      <c r="O513" s="5" t="s">
        <v>33</v>
      </c>
      <c r="P513" s="3">
        <v>28</v>
      </c>
      <c r="Q513" s="3">
        <v>9</v>
      </c>
      <c r="R513" s="5" t="b">
        <v>0</v>
      </c>
      <c r="S513" s="5" t="str">
        <f>IF(R513=TRUE,"Returning Customer","New Customer")</f>
        <v>New Customer</v>
      </c>
      <c r="T513" s="3">
        <v>17</v>
      </c>
      <c r="U513" s="12" t="str">
        <f>IF(T513&lt;=3,"Fast",IF(T513&lt;=7,"Standard",IF(T513&lt;=14,"Slow","Very Slow")))</f>
        <v>Very Slow</v>
      </c>
      <c r="V513" s="10" t="str">
        <f>IF(D513&lt;=25,"18-25",IF(D513&lt;=35,"26-35",IF(D513&lt;=45,"36-45",IF(D513&lt;=55,"46-55",IF(D513&lt;=65,"56-65","66-75")))))</f>
        <v>26-35</v>
      </c>
      <c r="W513" s="3">
        <v>4</v>
      </c>
    </row>
    <row r="514" spans="1:23">
      <c r="A514" s="5" t="s">
        <v>1401</v>
      </c>
      <c r="B514" s="5" t="s">
        <v>1402</v>
      </c>
      <c r="C514" s="6">
        <v>44949</v>
      </c>
      <c r="D514" s="8">
        <v>32</v>
      </c>
      <c r="E514" s="5" t="s">
        <v>36</v>
      </c>
      <c r="F514" s="5" t="s">
        <v>52</v>
      </c>
      <c r="G514" s="5" t="s">
        <v>53</v>
      </c>
      <c r="H514" s="7">
        <v>63.89</v>
      </c>
      <c r="I514" s="3">
        <v>2</v>
      </c>
      <c r="J514" s="33">
        <f>H514*I514</f>
        <v>127.78</v>
      </c>
      <c r="K514" s="4">
        <v>11.91</v>
      </c>
      <c r="L514" s="9">
        <f>IF(J514=0,0,K514/J514)</f>
        <v>9.3207074659571135E-2</v>
      </c>
      <c r="M514" s="25">
        <v>115.87</v>
      </c>
      <c r="N514" s="5" t="s">
        <v>1298</v>
      </c>
      <c r="O514" s="5" t="s">
        <v>29</v>
      </c>
      <c r="P514" s="3">
        <v>21</v>
      </c>
      <c r="Q514" s="3">
        <v>13</v>
      </c>
      <c r="R514" s="5" t="b">
        <v>1</v>
      </c>
      <c r="S514" s="5" t="str">
        <f>IF(R514=TRUE,"Returning Customer","New Customer")</f>
        <v>Returning Customer</v>
      </c>
      <c r="T514" s="3">
        <v>7</v>
      </c>
      <c r="U514" s="12" t="str">
        <f>IF(T514&lt;=3,"Fast",IF(T514&lt;=7,"Standard",IF(T514&lt;=14,"Slow","Very Slow")))</f>
        <v>Standard</v>
      </c>
      <c r="V514" s="10" t="str">
        <f>IF(D514&lt;=25,"18-25",IF(D514&lt;=35,"26-35",IF(D514&lt;=45,"36-45",IF(D514&lt;=55,"46-55",IF(D514&lt;=65,"56-65","66-75")))))</f>
        <v>26-35</v>
      </c>
      <c r="W514" s="3">
        <v>1</v>
      </c>
    </row>
    <row r="515" spans="1:23">
      <c r="A515" s="5" t="s">
        <v>255</v>
      </c>
      <c r="B515" s="5" t="s">
        <v>256</v>
      </c>
      <c r="C515" s="6">
        <v>44928</v>
      </c>
      <c r="D515" s="8">
        <v>24</v>
      </c>
      <c r="E515" s="5" t="s">
        <v>20</v>
      </c>
      <c r="F515" s="5" t="s">
        <v>83</v>
      </c>
      <c r="G515" s="5" t="s">
        <v>56</v>
      </c>
      <c r="H515" s="7">
        <v>897.02</v>
      </c>
      <c r="I515" s="3">
        <v>5</v>
      </c>
      <c r="J515" s="33">
        <f>H515*I515</f>
        <v>4485.1000000000004</v>
      </c>
      <c r="K515" s="4">
        <v>0</v>
      </c>
      <c r="L515" s="9">
        <f>IF(J515=0,0,K515/J515)</f>
        <v>0</v>
      </c>
      <c r="M515" s="25">
        <v>4485.1000000000004</v>
      </c>
      <c r="N515" s="5" t="s">
        <v>23</v>
      </c>
      <c r="O515" s="5" t="s">
        <v>24</v>
      </c>
      <c r="P515" s="3">
        <v>17</v>
      </c>
      <c r="Q515" s="3">
        <v>7</v>
      </c>
      <c r="R515" s="5" t="b">
        <v>1</v>
      </c>
      <c r="S515" s="5" t="str">
        <f>IF(R515=TRUE,"Returning Customer","New Customer")</f>
        <v>Returning Customer</v>
      </c>
      <c r="T515" s="3">
        <v>8</v>
      </c>
      <c r="U515" s="12" t="str">
        <f>IF(T515&lt;=3,"Fast",IF(T515&lt;=7,"Standard",IF(T515&lt;=14,"Slow","Very Slow")))</f>
        <v>Slow</v>
      </c>
      <c r="V515" s="10" t="str">
        <f>IF(D515&lt;=25,"18-25",IF(D515&lt;=35,"26-35",IF(D515&lt;=45,"36-45",IF(D515&lt;=55,"46-55",IF(D515&lt;=65,"56-65","66-75")))))</f>
        <v>18-25</v>
      </c>
      <c r="W515" s="3">
        <v>4</v>
      </c>
    </row>
    <row r="516" spans="1:23">
      <c r="A516" s="5" t="s">
        <v>257</v>
      </c>
      <c r="B516" s="5" t="s">
        <v>258</v>
      </c>
      <c r="C516" s="6">
        <v>45097</v>
      </c>
      <c r="D516" s="8">
        <v>28</v>
      </c>
      <c r="E516" s="5" t="s">
        <v>20</v>
      </c>
      <c r="F516" s="5" t="s">
        <v>52</v>
      </c>
      <c r="G516" s="5" t="s">
        <v>64</v>
      </c>
      <c r="H516" s="7">
        <v>764.24</v>
      </c>
      <c r="I516" s="3">
        <v>2</v>
      </c>
      <c r="J516" s="33">
        <f>H516*I516</f>
        <v>1528.48</v>
      </c>
      <c r="K516" s="4">
        <v>0</v>
      </c>
      <c r="L516" s="9">
        <f>IF(J516=0,0,K516/J516)</f>
        <v>0</v>
      </c>
      <c r="M516" s="25">
        <v>1528.48</v>
      </c>
      <c r="N516" s="5" t="s">
        <v>23</v>
      </c>
      <c r="O516" s="5" t="s">
        <v>33</v>
      </c>
      <c r="P516" s="3">
        <v>11</v>
      </c>
      <c r="Q516" s="3">
        <v>2</v>
      </c>
      <c r="R516" s="5" t="b">
        <v>1</v>
      </c>
      <c r="S516" s="5" t="str">
        <f>IF(R516=TRUE,"Returning Customer","New Customer")</f>
        <v>Returning Customer</v>
      </c>
      <c r="T516" s="3">
        <v>6</v>
      </c>
      <c r="U516" s="12" t="str">
        <f>IF(T516&lt;=3,"Fast",IF(T516&lt;=7,"Standard",IF(T516&lt;=14,"Slow","Very Slow")))</f>
        <v>Standard</v>
      </c>
      <c r="V516" s="10" t="str">
        <f>IF(D516&lt;=25,"18-25",IF(D516&lt;=35,"26-35",IF(D516&lt;=45,"36-45",IF(D516&lt;=55,"46-55",IF(D516&lt;=65,"56-65","66-75")))))</f>
        <v>26-35</v>
      </c>
      <c r="W516" s="3">
        <v>4</v>
      </c>
    </row>
    <row r="517" spans="1:23">
      <c r="A517" s="5" t="s">
        <v>586</v>
      </c>
      <c r="B517" s="5" t="s">
        <v>587</v>
      </c>
      <c r="C517" s="6">
        <v>45321</v>
      </c>
      <c r="D517" s="8">
        <v>44</v>
      </c>
      <c r="E517" s="5" t="s">
        <v>36</v>
      </c>
      <c r="F517" s="5" t="s">
        <v>88</v>
      </c>
      <c r="G517" s="5" t="s">
        <v>46</v>
      </c>
      <c r="H517" s="7">
        <v>193.85</v>
      </c>
      <c r="I517" s="3">
        <v>4</v>
      </c>
      <c r="J517" s="33">
        <f>H517*I517</f>
        <v>775.4</v>
      </c>
      <c r="K517" s="4">
        <v>44.4</v>
      </c>
      <c r="L517" s="9">
        <f>IF(J517=0,0,K517/J517)</f>
        <v>5.7260768635542948E-2</v>
      </c>
      <c r="M517" s="25">
        <v>731</v>
      </c>
      <c r="N517" s="5" t="s">
        <v>327</v>
      </c>
      <c r="O517" s="5" t="s">
        <v>24</v>
      </c>
      <c r="P517" s="3">
        <v>14</v>
      </c>
      <c r="Q517" s="3">
        <v>11</v>
      </c>
      <c r="R517" s="5" t="b">
        <v>0</v>
      </c>
      <c r="S517" s="5" t="str">
        <f>IF(R517=TRUE,"Returning Customer","New Customer")</f>
        <v>New Customer</v>
      </c>
      <c r="T517" s="3">
        <v>6</v>
      </c>
      <c r="U517" s="12" t="str">
        <f>IF(T517&lt;=3,"Fast",IF(T517&lt;=7,"Standard",IF(T517&lt;=14,"Slow","Very Slow")))</f>
        <v>Standard</v>
      </c>
      <c r="V517" s="10" t="str">
        <f>IF(D517&lt;=25,"18-25",IF(D517&lt;=35,"26-35",IF(D517&lt;=45,"36-45",IF(D517&lt;=55,"46-55",IF(D517&lt;=65,"56-65","66-75")))))</f>
        <v>36-45</v>
      </c>
      <c r="W517" s="3">
        <v>3</v>
      </c>
    </row>
    <row r="518" spans="1:23">
      <c r="A518" s="5" t="s">
        <v>1091</v>
      </c>
      <c r="B518" s="5" t="s">
        <v>1092</v>
      </c>
      <c r="C518" s="6">
        <v>44993</v>
      </c>
      <c r="D518" s="8">
        <v>41</v>
      </c>
      <c r="E518" s="5" t="s">
        <v>36</v>
      </c>
      <c r="F518" s="5" t="s">
        <v>88</v>
      </c>
      <c r="G518" s="5" t="s">
        <v>115</v>
      </c>
      <c r="H518" s="7">
        <v>37.49</v>
      </c>
      <c r="I518" s="3">
        <v>5</v>
      </c>
      <c r="J518" s="33">
        <f>H518*I518</f>
        <v>187.45000000000002</v>
      </c>
      <c r="K518" s="4">
        <v>0</v>
      </c>
      <c r="L518" s="9">
        <f>IF(J518=0,0,K518/J518)</f>
        <v>0</v>
      </c>
      <c r="M518" s="25">
        <v>187.45</v>
      </c>
      <c r="N518" s="5" t="s">
        <v>692</v>
      </c>
      <c r="O518" s="5" t="s">
        <v>24</v>
      </c>
      <c r="P518" s="3">
        <v>9</v>
      </c>
      <c r="Q518" s="3">
        <v>10</v>
      </c>
      <c r="R518" s="5" t="b">
        <v>1</v>
      </c>
      <c r="S518" s="5" t="str">
        <f>IF(R518=TRUE,"Returning Customer","New Customer")</f>
        <v>Returning Customer</v>
      </c>
      <c r="T518" s="3">
        <v>8</v>
      </c>
      <c r="U518" s="12" t="str">
        <f>IF(T518&lt;=3,"Fast",IF(T518&lt;=7,"Standard",IF(T518&lt;=14,"Slow","Very Slow")))</f>
        <v>Slow</v>
      </c>
      <c r="V518" s="10" t="str">
        <f>IF(D518&lt;=25,"18-25",IF(D518&lt;=35,"26-35",IF(D518&lt;=45,"36-45",IF(D518&lt;=55,"46-55",IF(D518&lt;=65,"56-65","66-75")))))</f>
        <v>36-45</v>
      </c>
      <c r="W518" s="3">
        <v>3</v>
      </c>
    </row>
    <row r="519" spans="1:23">
      <c r="A519" s="5" t="s">
        <v>1093</v>
      </c>
      <c r="B519" s="5" t="s">
        <v>1094</v>
      </c>
      <c r="C519" s="6">
        <v>45253</v>
      </c>
      <c r="D519" s="8">
        <v>23</v>
      </c>
      <c r="E519" s="5" t="s">
        <v>36</v>
      </c>
      <c r="F519" s="5" t="s">
        <v>27</v>
      </c>
      <c r="G519" s="5" t="s">
        <v>56</v>
      </c>
      <c r="H519" s="7">
        <v>114.26</v>
      </c>
      <c r="I519" s="3">
        <v>1</v>
      </c>
      <c r="J519" s="33">
        <f>H519*I519</f>
        <v>114.26</v>
      </c>
      <c r="K519" s="4">
        <v>0</v>
      </c>
      <c r="L519" s="9">
        <f>IF(J519=0,0,K519/J519)</f>
        <v>0</v>
      </c>
      <c r="M519" s="25">
        <v>114.26</v>
      </c>
      <c r="N519" s="5" t="s">
        <v>692</v>
      </c>
      <c r="O519" s="5" t="s">
        <v>33</v>
      </c>
      <c r="P519" s="3">
        <v>23</v>
      </c>
      <c r="Q519" s="3">
        <v>6</v>
      </c>
      <c r="R519" s="5" t="b">
        <v>1</v>
      </c>
      <c r="S519" s="5" t="str">
        <f>IF(R519=TRUE,"Returning Customer","New Customer")</f>
        <v>Returning Customer</v>
      </c>
      <c r="T519" s="3">
        <v>3</v>
      </c>
      <c r="U519" s="12" t="str">
        <f>IF(T519&lt;=3,"Fast",IF(T519&lt;=7,"Standard",IF(T519&lt;=14,"Slow","Very Slow")))</f>
        <v>Fast</v>
      </c>
      <c r="V519" s="10" t="str">
        <f>IF(D519&lt;=25,"18-25",IF(D519&lt;=35,"26-35",IF(D519&lt;=45,"36-45",IF(D519&lt;=55,"46-55",IF(D519&lt;=65,"56-65","66-75")))))</f>
        <v>18-25</v>
      </c>
      <c r="W519" s="3">
        <v>3</v>
      </c>
    </row>
    <row r="520" spans="1:23">
      <c r="A520" s="5" t="s">
        <v>1403</v>
      </c>
      <c r="B520" s="5" t="s">
        <v>1404</v>
      </c>
      <c r="C520" s="6">
        <v>45061</v>
      </c>
      <c r="D520" s="8">
        <v>36</v>
      </c>
      <c r="E520" s="5" t="s">
        <v>20</v>
      </c>
      <c r="F520" s="5" t="s">
        <v>73</v>
      </c>
      <c r="G520" s="5" t="s">
        <v>46</v>
      </c>
      <c r="H520" s="7">
        <v>288.48</v>
      </c>
      <c r="I520" s="3">
        <v>1</v>
      </c>
      <c r="J520" s="33">
        <f>H520*I520</f>
        <v>288.48</v>
      </c>
      <c r="K520" s="4">
        <v>0</v>
      </c>
      <c r="L520" s="9">
        <f>IF(J520=0,0,K520/J520)</f>
        <v>0</v>
      </c>
      <c r="M520" s="25">
        <v>288.48</v>
      </c>
      <c r="N520" s="5" t="s">
        <v>1298</v>
      </c>
      <c r="O520" s="5" t="s">
        <v>33</v>
      </c>
      <c r="P520" s="3">
        <v>28</v>
      </c>
      <c r="Q520" s="3">
        <v>11</v>
      </c>
      <c r="R520" s="5" t="b">
        <v>1</v>
      </c>
      <c r="S520" s="5" t="str">
        <f>IF(R520=TRUE,"Returning Customer","New Customer")</f>
        <v>Returning Customer</v>
      </c>
      <c r="T520" s="3">
        <v>6</v>
      </c>
      <c r="U520" s="12" t="str">
        <f>IF(T520&lt;=3,"Fast",IF(T520&lt;=7,"Standard",IF(T520&lt;=14,"Slow","Very Slow")))</f>
        <v>Standard</v>
      </c>
      <c r="V520" s="10" t="str">
        <f>IF(D520&lt;=25,"18-25",IF(D520&lt;=35,"26-35",IF(D520&lt;=45,"36-45",IF(D520&lt;=55,"46-55",IF(D520&lt;=65,"56-65","66-75")))))</f>
        <v>36-45</v>
      </c>
      <c r="W520" s="3">
        <v>4</v>
      </c>
    </row>
    <row r="521" spans="1:23">
      <c r="A521" s="5" t="s">
        <v>588</v>
      </c>
      <c r="B521" s="5" t="s">
        <v>589</v>
      </c>
      <c r="C521" s="6">
        <v>45009</v>
      </c>
      <c r="D521" s="8">
        <v>44</v>
      </c>
      <c r="E521" s="5" t="s">
        <v>20</v>
      </c>
      <c r="F521" s="5" t="s">
        <v>32</v>
      </c>
      <c r="G521" s="5" t="s">
        <v>115</v>
      </c>
      <c r="H521" s="7">
        <v>43.96</v>
      </c>
      <c r="I521" s="3">
        <v>1</v>
      </c>
      <c r="J521" s="33">
        <f>H521*I521</f>
        <v>43.96</v>
      </c>
      <c r="K521" s="4">
        <v>0</v>
      </c>
      <c r="L521" s="9">
        <f>IF(J521=0,0,K521/J521)</f>
        <v>0</v>
      </c>
      <c r="M521" s="25">
        <v>43.96</v>
      </c>
      <c r="N521" s="5" t="s">
        <v>327</v>
      </c>
      <c r="O521" s="5" t="s">
        <v>33</v>
      </c>
      <c r="P521" s="3">
        <v>24</v>
      </c>
      <c r="Q521" s="3">
        <v>5</v>
      </c>
      <c r="R521" s="5" t="b">
        <v>1</v>
      </c>
      <c r="S521" s="5" t="str">
        <f>IF(R521=TRUE,"Returning Customer","New Customer")</f>
        <v>Returning Customer</v>
      </c>
      <c r="T521" s="3">
        <v>4</v>
      </c>
      <c r="U521" s="12" t="str">
        <f>IF(T521&lt;=3,"Fast",IF(T521&lt;=7,"Standard",IF(T521&lt;=14,"Slow","Very Slow")))</f>
        <v>Standard</v>
      </c>
      <c r="V521" s="10" t="str">
        <f>IF(D521&lt;=25,"18-25",IF(D521&lt;=35,"26-35",IF(D521&lt;=45,"36-45",IF(D521&lt;=55,"46-55",IF(D521&lt;=65,"56-65","66-75")))))</f>
        <v>36-45</v>
      </c>
      <c r="W521" s="3">
        <v>3</v>
      </c>
    </row>
    <row r="522" spans="1:23">
      <c r="A522" s="5" t="s">
        <v>590</v>
      </c>
      <c r="B522" s="5" t="s">
        <v>591</v>
      </c>
      <c r="C522" s="6">
        <v>45306</v>
      </c>
      <c r="D522" s="8">
        <v>18</v>
      </c>
      <c r="E522" s="5" t="s">
        <v>36</v>
      </c>
      <c r="F522" s="5" t="s">
        <v>73</v>
      </c>
      <c r="G522" s="5" t="s">
        <v>56</v>
      </c>
      <c r="H522" s="7">
        <v>1900.45</v>
      </c>
      <c r="I522" s="3">
        <v>2</v>
      </c>
      <c r="J522" s="33">
        <f>H522*I522</f>
        <v>3800.9</v>
      </c>
      <c r="K522" s="4">
        <v>0</v>
      </c>
      <c r="L522" s="9">
        <f>IF(J522=0,0,K522/J522)</f>
        <v>0</v>
      </c>
      <c r="M522" s="25">
        <v>3800.9</v>
      </c>
      <c r="N522" s="5" t="s">
        <v>327</v>
      </c>
      <c r="O522" s="5" t="s">
        <v>33</v>
      </c>
      <c r="P522" s="3">
        <v>5</v>
      </c>
      <c r="Q522" s="3">
        <v>9</v>
      </c>
      <c r="R522" s="5" t="b">
        <v>1</v>
      </c>
      <c r="S522" s="5" t="str">
        <f>IF(R522=TRUE,"Returning Customer","New Customer")</f>
        <v>Returning Customer</v>
      </c>
      <c r="T522" s="3">
        <v>4</v>
      </c>
      <c r="U522" s="12" t="str">
        <f>IF(T522&lt;=3,"Fast",IF(T522&lt;=7,"Standard",IF(T522&lt;=14,"Slow","Very Slow")))</f>
        <v>Standard</v>
      </c>
      <c r="V522" s="10" t="str">
        <f>IF(D522&lt;=25,"18-25",IF(D522&lt;=35,"26-35",IF(D522&lt;=45,"36-45",IF(D522&lt;=55,"46-55",IF(D522&lt;=65,"56-65","66-75")))))</f>
        <v>18-25</v>
      </c>
      <c r="W522" s="3">
        <v>5</v>
      </c>
    </row>
    <row r="523" spans="1:23">
      <c r="A523" s="5" t="s">
        <v>1278</v>
      </c>
      <c r="B523" s="5" t="s">
        <v>1279</v>
      </c>
      <c r="C523" s="6">
        <v>45153</v>
      </c>
      <c r="D523" s="8">
        <v>41</v>
      </c>
      <c r="E523" s="5" t="s">
        <v>20</v>
      </c>
      <c r="F523" s="5" t="s">
        <v>52</v>
      </c>
      <c r="G523" s="5" t="s">
        <v>53</v>
      </c>
      <c r="H523" s="7">
        <v>17.25</v>
      </c>
      <c r="I523" s="3">
        <v>3</v>
      </c>
      <c r="J523" s="33">
        <f>H523*I523</f>
        <v>51.75</v>
      </c>
      <c r="K523" s="4">
        <v>1.07</v>
      </c>
      <c r="L523" s="9">
        <f>IF(J523=0,0,K523/J523)</f>
        <v>2.0676328502415461E-2</v>
      </c>
      <c r="M523" s="25">
        <v>50.68</v>
      </c>
      <c r="N523" s="5" t="s">
        <v>1231</v>
      </c>
      <c r="O523" s="5" t="s">
        <v>24</v>
      </c>
      <c r="P523" s="3">
        <v>14</v>
      </c>
      <c r="Q523" s="3">
        <v>17</v>
      </c>
      <c r="R523" s="5" t="b">
        <v>0</v>
      </c>
      <c r="S523" s="5" t="str">
        <f>IF(R523=TRUE,"Returning Customer","New Customer")</f>
        <v>New Customer</v>
      </c>
      <c r="T523" s="3">
        <v>3</v>
      </c>
      <c r="U523" s="12" t="str">
        <f>IF(T523&lt;=3,"Fast",IF(T523&lt;=7,"Standard",IF(T523&lt;=14,"Slow","Very Slow")))</f>
        <v>Fast</v>
      </c>
      <c r="V523" s="10" t="str">
        <f>IF(D523&lt;=25,"18-25",IF(D523&lt;=35,"26-35",IF(D523&lt;=45,"36-45",IF(D523&lt;=55,"46-55",IF(D523&lt;=65,"56-65","66-75")))))</f>
        <v>36-45</v>
      </c>
      <c r="W523" s="3">
        <v>4</v>
      </c>
    </row>
    <row r="524" spans="1:23">
      <c r="A524" s="5" t="s">
        <v>1095</v>
      </c>
      <c r="B524" s="5" t="s">
        <v>1096</v>
      </c>
      <c r="C524" s="6">
        <v>45209</v>
      </c>
      <c r="D524" s="8">
        <v>27</v>
      </c>
      <c r="E524" s="5" t="s">
        <v>36</v>
      </c>
      <c r="F524" s="5" t="s">
        <v>59</v>
      </c>
      <c r="G524" s="5" t="s">
        <v>56</v>
      </c>
      <c r="H524" s="7">
        <v>521.12</v>
      </c>
      <c r="I524" s="3">
        <v>2</v>
      </c>
      <c r="J524" s="33">
        <f>H524*I524</f>
        <v>1042.24</v>
      </c>
      <c r="K524" s="4">
        <v>80.91</v>
      </c>
      <c r="L524" s="9">
        <f>IF(J524=0,0,K524/J524)</f>
        <v>7.7630871968068768E-2</v>
      </c>
      <c r="M524" s="25">
        <v>961.33</v>
      </c>
      <c r="N524" s="5" t="s">
        <v>692</v>
      </c>
      <c r="O524" s="5" t="s">
        <v>33</v>
      </c>
      <c r="P524" s="3">
        <v>4</v>
      </c>
      <c r="Q524" s="3">
        <v>9</v>
      </c>
      <c r="R524" s="5" t="b">
        <v>1</v>
      </c>
      <c r="S524" s="5" t="str">
        <f>IF(R524=TRUE,"Returning Customer","New Customer")</f>
        <v>Returning Customer</v>
      </c>
      <c r="T524" s="3">
        <v>4</v>
      </c>
      <c r="U524" s="12" t="str">
        <f>IF(T524&lt;=3,"Fast",IF(T524&lt;=7,"Standard",IF(T524&lt;=14,"Slow","Very Slow")))</f>
        <v>Standard</v>
      </c>
      <c r="V524" s="10" t="str">
        <f>IF(D524&lt;=25,"18-25",IF(D524&lt;=35,"26-35",IF(D524&lt;=45,"36-45",IF(D524&lt;=55,"46-55",IF(D524&lt;=65,"56-65","66-75")))))</f>
        <v>26-35</v>
      </c>
      <c r="W524" s="3">
        <v>4</v>
      </c>
    </row>
    <row r="525" spans="1:23">
      <c r="A525" s="5" t="s">
        <v>1405</v>
      </c>
      <c r="B525" s="5" t="s">
        <v>1406</v>
      </c>
      <c r="C525" s="6">
        <v>45288</v>
      </c>
      <c r="D525" s="8">
        <v>41</v>
      </c>
      <c r="E525" s="5" t="s">
        <v>36</v>
      </c>
      <c r="F525" s="5" t="s">
        <v>27</v>
      </c>
      <c r="G525" s="5" t="s">
        <v>53</v>
      </c>
      <c r="H525" s="7">
        <v>77.75</v>
      </c>
      <c r="I525" s="3">
        <v>1</v>
      </c>
      <c r="J525" s="33">
        <f>H525*I525</f>
        <v>77.75</v>
      </c>
      <c r="K525" s="4">
        <v>0</v>
      </c>
      <c r="L525" s="9">
        <f>IF(J525=0,0,K525/J525)</f>
        <v>0</v>
      </c>
      <c r="M525" s="25">
        <v>77.75</v>
      </c>
      <c r="N525" s="5" t="s">
        <v>1298</v>
      </c>
      <c r="O525" s="5" t="s">
        <v>33</v>
      </c>
      <c r="P525" s="3">
        <v>24</v>
      </c>
      <c r="Q525" s="3">
        <v>14</v>
      </c>
      <c r="R525" s="5" t="b">
        <v>0</v>
      </c>
      <c r="S525" s="5" t="str">
        <f>IF(R525=TRUE,"Returning Customer","New Customer")</f>
        <v>New Customer</v>
      </c>
      <c r="T525" s="3">
        <v>4</v>
      </c>
      <c r="U525" s="12" t="str">
        <f>IF(T525&lt;=3,"Fast",IF(T525&lt;=7,"Standard",IF(T525&lt;=14,"Slow","Very Slow")))</f>
        <v>Standard</v>
      </c>
      <c r="V525" s="10" t="str">
        <f>IF(D525&lt;=25,"18-25",IF(D525&lt;=35,"26-35",IF(D525&lt;=45,"36-45",IF(D525&lt;=55,"46-55",IF(D525&lt;=65,"56-65","66-75")))))</f>
        <v>36-45</v>
      </c>
      <c r="W525" s="3">
        <v>5</v>
      </c>
    </row>
    <row r="526" spans="1:23">
      <c r="A526" s="5" t="s">
        <v>1407</v>
      </c>
      <c r="B526" s="5" t="s">
        <v>1408</v>
      </c>
      <c r="C526" s="6">
        <v>45145</v>
      </c>
      <c r="D526" s="8">
        <v>25</v>
      </c>
      <c r="E526" s="5" t="s">
        <v>20</v>
      </c>
      <c r="F526" s="5" t="s">
        <v>76</v>
      </c>
      <c r="G526" s="5" t="s">
        <v>64</v>
      </c>
      <c r="H526" s="7">
        <v>4257.38</v>
      </c>
      <c r="I526" s="3">
        <v>5</v>
      </c>
      <c r="J526" s="33">
        <f>H526*I526</f>
        <v>21286.9</v>
      </c>
      <c r="K526" s="4">
        <v>1075.0899999999999</v>
      </c>
      <c r="L526" s="9">
        <f>IF(J526=0,0,K526/J526)</f>
        <v>5.0504770539627653E-2</v>
      </c>
      <c r="M526" s="25">
        <v>20211.810000000001</v>
      </c>
      <c r="N526" s="5" t="s">
        <v>1298</v>
      </c>
      <c r="O526" s="5" t="s">
        <v>24</v>
      </c>
      <c r="P526" s="3">
        <v>12</v>
      </c>
      <c r="Q526" s="3">
        <v>8</v>
      </c>
      <c r="R526" s="5" t="b">
        <v>0</v>
      </c>
      <c r="S526" s="5" t="str">
        <f>IF(R526=TRUE,"Returning Customer","New Customer")</f>
        <v>New Customer</v>
      </c>
      <c r="T526" s="3">
        <v>2</v>
      </c>
      <c r="U526" s="12" t="str">
        <f>IF(T526&lt;=3,"Fast",IF(T526&lt;=7,"Standard",IF(T526&lt;=14,"Slow","Very Slow")))</f>
        <v>Fast</v>
      </c>
      <c r="V526" s="10" t="str">
        <f>IF(D526&lt;=25,"18-25",IF(D526&lt;=35,"26-35",IF(D526&lt;=45,"36-45",IF(D526&lt;=55,"46-55",IF(D526&lt;=65,"56-65","66-75")))))</f>
        <v>18-25</v>
      </c>
      <c r="W526" s="3">
        <v>4</v>
      </c>
    </row>
    <row r="527" spans="1:23">
      <c r="A527" s="5" t="s">
        <v>1097</v>
      </c>
      <c r="B527" s="5" t="s">
        <v>1098</v>
      </c>
      <c r="C527" s="6">
        <v>45214</v>
      </c>
      <c r="D527" s="8">
        <v>18</v>
      </c>
      <c r="E527" s="5" t="s">
        <v>36</v>
      </c>
      <c r="F527" s="5" t="s">
        <v>32</v>
      </c>
      <c r="G527" s="5" t="s">
        <v>53</v>
      </c>
      <c r="H527" s="7">
        <v>18.3</v>
      </c>
      <c r="I527" s="3">
        <v>1</v>
      </c>
      <c r="J527" s="33">
        <f>H527*I527</f>
        <v>18.3</v>
      </c>
      <c r="K527" s="4">
        <v>0</v>
      </c>
      <c r="L527" s="9">
        <f>IF(J527=0,0,K527/J527)</f>
        <v>0</v>
      </c>
      <c r="M527" s="25">
        <v>18.3</v>
      </c>
      <c r="N527" s="5" t="s">
        <v>692</v>
      </c>
      <c r="O527" s="5" t="s">
        <v>29</v>
      </c>
      <c r="P527" s="3">
        <v>3</v>
      </c>
      <c r="Q527" s="3">
        <v>16</v>
      </c>
      <c r="R527" s="5" t="b">
        <v>0</v>
      </c>
      <c r="S527" s="5" t="str">
        <f>IF(R527=TRUE,"Returning Customer","New Customer")</f>
        <v>New Customer</v>
      </c>
      <c r="T527" s="3">
        <v>12</v>
      </c>
      <c r="U527" s="12" t="str">
        <f>IF(T527&lt;=3,"Fast",IF(T527&lt;=7,"Standard",IF(T527&lt;=14,"Slow","Very Slow")))</f>
        <v>Slow</v>
      </c>
      <c r="V527" s="10" t="str">
        <f>IF(D527&lt;=25,"18-25",IF(D527&lt;=35,"26-35",IF(D527&lt;=45,"36-45",IF(D527&lt;=55,"46-55",IF(D527&lt;=65,"56-65","66-75")))))</f>
        <v>18-25</v>
      </c>
      <c r="W527" s="3">
        <v>4</v>
      </c>
    </row>
    <row r="528" spans="1:23">
      <c r="A528" s="5" t="s">
        <v>1099</v>
      </c>
      <c r="B528" s="5" t="s">
        <v>1100</v>
      </c>
      <c r="C528" s="6">
        <v>44931</v>
      </c>
      <c r="D528" s="8">
        <v>18</v>
      </c>
      <c r="E528" s="5" t="s">
        <v>36</v>
      </c>
      <c r="F528" s="5" t="s">
        <v>59</v>
      </c>
      <c r="G528" s="5" t="s">
        <v>22</v>
      </c>
      <c r="H528" s="7">
        <v>746.9</v>
      </c>
      <c r="I528" s="3">
        <v>1</v>
      </c>
      <c r="J528" s="33">
        <f>H528*I528</f>
        <v>746.9</v>
      </c>
      <c r="K528" s="4">
        <v>0</v>
      </c>
      <c r="L528" s="9">
        <f>IF(J528=0,0,K528/J528)</f>
        <v>0</v>
      </c>
      <c r="M528" s="25">
        <v>746.9</v>
      </c>
      <c r="N528" s="5" t="s">
        <v>692</v>
      </c>
      <c r="O528" s="5" t="s">
        <v>33</v>
      </c>
      <c r="P528" s="3">
        <v>13</v>
      </c>
      <c r="Q528" s="3">
        <v>6</v>
      </c>
      <c r="R528" s="5" t="b">
        <v>1</v>
      </c>
      <c r="S528" s="5" t="str">
        <f>IF(R528=TRUE,"Returning Customer","New Customer")</f>
        <v>Returning Customer</v>
      </c>
      <c r="T528" s="3">
        <v>8</v>
      </c>
      <c r="U528" s="12" t="str">
        <f>IF(T528&lt;=3,"Fast",IF(T528&lt;=7,"Standard",IF(T528&lt;=14,"Slow","Very Slow")))</f>
        <v>Slow</v>
      </c>
      <c r="V528" s="10" t="str">
        <f>IF(D528&lt;=25,"18-25",IF(D528&lt;=35,"26-35",IF(D528&lt;=45,"36-45",IF(D528&lt;=55,"46-55",IF(D528&lt;=65,"56-65","66-75")))))</f>
        <v>18-25</v>
      </c>
      <c r="W528" s="3">
        <v>5</v>
      </c>
    </row>
    <row r="529" spans="1:23">
      <c r="A529" s="5" t="s">
        <v>1280</v>
      </c>
      <c r="B529" s="5" t="s">
        <v>1281</v>
      </c>
      <c r="C529" s="6">
        <v>44984</v>
      </c>
      <c r="D529" s="8">
        <v>35</v>
      </c>
      <c r="E529" s="5" t="s">
        <v>20</v>
      </c>
      <c r="F529" s="5" t="s">
        <v>76</v>
      </c>
      <c r="G529" s="5" t="s">
        <v>64</v>
      </c>
      <c r="H529" s="7">
        <v>1122.1199999999999</v>
      </c>
      <c r="I529" s="3">
        <v>2</v>
      </c>
      <c r="J529" s="33">
        <f>H529*I529</f>
        <v>2244.2399999999998</v>
      </c>
      <c r="K529" s="4">
        <v>0</v>
      </c>
      <c r="L529" s="9">
        <f>IF(J529=0,0,K529/J529)</f>
        <v>0</v>
      </c>
      <c r="M529" s="25">
        <v>2244.2399999999998</v>
      </c>
      <c r="N529" s="5" t="s">
        <v>1231</v>
      </c>
      <c r="O529" s="5" t="s">
        <v>29</v>
      </c>
      <c r="P529" s="3">
        <v>29</v>
      </c>
      <c r="Q529" s="3">
        <v>8</v>
      </c>
      <c r="R529" s="5" t="b">
        <v>0</v>
      </c>
      <c r="S529" s="5" t="str">
        <f>IF(R529=TRUE,"Returning Customer","New Customer")</f>
        <v>New Customer</v>
      </c>
      <c r="T529" s="3">
        <v>3</v>
      </c>
      <c r="U529" s="12" t="str">
        <f>IF(T529&lt;=3,"Fast",IF(T529&lt;=7,"Standard",IF(T529&lt;=14,"Slow","Very Slow")))</f>
        <v>Fast</v>
      </c>
      <c r="V529" s="10" t="str">
        <f>IF(D529&lt;=25,"18-25",IF(D529&lt;=35,"26-35",IF(D529&lt;=45,"36-45",IF(D529&lt;=55,"46-55",IF(D529&lt;=65,"56-65","66-75")))))</f>
        <v>26-35</v>
      </c>
      <c r="W529" s="3">
        <v>4</v>
      </c>
    </row>
    <row r="530" spans="1:23">
      <c r="A530" s="5" t="s">
        <v>592</v>
      </c>
      <c r="B530" s="5" t="s">
        <v>593</v>
      </c>
      <c r="C530" s="6">
        <v>44965</v>
      </c>
      <c r="D530" s="8">
        <v>38</v>
      </c>
      <c r="E530" s="5" t="s">
        <v>36</v>
      </c>
      <c r="F530" s="5" t="s">
        <v>59</v>
      </c>
      <c r="G530" s="5" t="s">
        <v>28</v>
      </c>
      <c r="H530" s="7">
        <v>116.84</v>
      </c>
      <c r="I530" s="3">
        <v>1</v>
      </c>
      <c r="J530" s="33">
        <f>H530*I530</f>
        <v>116.84</v>
      </c>
      <c r="K530" s="4">
        <v>0</v>
      </c>
      <c r="L530" s="9">
        <f>IF(J530=0,0,K530/J530)</f>
        <v>0</v>
      </c>
      <c r="M530" s="25">
        <v>116.84</v>
      </c>
      <c r="N530" s="5" t="s">
        <v>327</v>
      </c>
      <c r="O530" s="5" t="s">
        <v>29</v>
      </c>
      <c r="P530" s="3">
        <v>32</v>
      </c>
      <c r="Q530" s="3">
        <v>6</v>
      </c>
      <c r="R530" s="5" t="b">
        <v>1</v>
      </c>
      <c r="S530" s="5" t="str">
        <f>IF(R530=TRUE,"Returning Customer","New Customer")</f>
        <v>Returning Customer</v>
      </c>
      <c r="T530" s="3">
        <v>3</v>
      </c>
      <c r="U530" s="12" t="str">
        <f>IF(T530&lt;=3,"Fast",IF(T530&lt;=7,"Standard",IF(T530&lt;=14,"Slow","Very Slow")))</f>
        <v>Fast</v>
      </c>
      <c r="V530" s="10" t="str">
        <f>IF(D530&lt;=25,"18-25",IF(D530&lt;=35,"26-35",IF(D530&lt;=45,"36-45",IF(D530&lt;=55,"46-55",IF(D530&lt;=65,"56-65","66-75")))))</f>
        <v>36-45</v>
      </c>
      <c r="W530" s="3">
        <v>5</v>
      </c>
    </row>
    <row r="531" spans="1:23">
      <c r="A531" s="5" t="s">
        <v>1101</v>
      </c>
      <c r="B531" s="5" t="s">
        <v>1102</v>
      </c>
      <c r="C531" s="6">
        <v>45280</v>
      </c>
      <c r="D531" s="8">
        <v>24</v>
      </c>
      <c r="E531" s="5" t="s">
        <v>20</v>
      </c>
      <c r="F531" s="5" t="s">
        <v>32</v>
      </c>
      <c r="G531" s="5" t="s">
        <v>28</v>
      </c>
      <c r="H531" s="7">
        <v>55.84</v>
      </c>
      <c r="I531" s="3">
        <v>1</v>
      </c>
      <c r="J531" s="33">
        <f>H531*I531</f>
        <v>55.84</v>
      </c>
      <c r="K531" s="4">
        <v>0</v>
      </c>
      <c r="L531" s="9">
        <f>IF(J531=0,0,K531/J531)</f>
        <v>0</v>
      </c>
      <c r="M531" s="25">
        <v>55.84</v>
      </c>
      <c r="N531" s="5" t="s">
        <v>692</v>
      </c>
      <c r="O531" s="5" t="s">
        <v>24</v>
      </c>
      <c r="P531" s="3">
        <v>11</v>
      </c>
      <c r="Q531" s="3">
        <v>10</v>
      </c>
      <c r="R531" s="5" t="b">
        <v>0</v>
      </c>
      <c r="S531" s="5" t="str">
        <f>IF(R531=TRUE,"Returning Customer","New Customer")</f>
        <v>New Customer</v>
      </c>
      <c r="T531" s="3">
        <v>3</v>
      </c>
      <c r="U531" s="12" t="str">
        <f>IF(T531&lt;=3,"Fast",IF(T531&lt;=7,"Standard",IF(T531&lt;=14,"Slow","Very Slow")))</f>
        <v>Fast</v>
      </c>
      <c r="V531" s="10" t="str">
        <f>IF(D531&lt;=25,"18-25",IF(D531&lt;=35,"26-35",IF(D531&lt;=45,"36-45",IF(D531&lt;=55,"46-55",IF(D531&lt;=65,"56-65","66-75")))))</f>
        <v>18-25</v>
      </c>
      <c r="W531" s="3">
        <v>4</v>
      </c>
    </row>
    <row r="532" spans="1:23">
      <c r="A532" s="5" t="s">
        <v>594</v>
      </c>
      <c r="B532" s="5" t="s">
        <v>595</v>
      </c>
      <c r="C532" s="6">
        <v>45003</v>
      </c>
      <c r="D532" s="8">
        <v>42</v>
      </c>
      <c r="E532" s="5" t="s">
        <v>20</v>
      </c>
      <c r="F532" s="5" t="s">
        <v>32</v>
      </c>
      <c r="G532" s="5" t="s">
        <v>28</v>
      </c>
      <c r="H532" s="7">
        <v>153.72</v>
      </c>
      <c r="I532" s="3">
        <v>1</v>
      </c>
      <c r="J532" s="33">
        <f>H532*I532</f>
        <v>153.72</v>
      </c>
      <c r="K532" s="4">
        <v>45.44</v>
      </c>
      <c r="L532" s="9">
        <f>IF(J532=0,0,K532/J532)</f>
        <v>0.29560239396304971</v>
      </c>
      <c r="M532" s="25">
        <v>108.28</v>
      </c>
      <c r="N532" s="5" t="s">
        <v>327</v>
      </c>
      <c r="O532" s="5" t="s">
        <v>33</v>
      </c>
      <c r="P532" s="3">
        <v>17</v>
      </c>
      <c r="Q532" s="3">
        <v>8</v>
      </c>
      <c r="R532" s="5" t="b">
        <v>0</v>
      </c>
      <c r="S532" s="5" t="str">
        <f>IF(R532=TRUE,"Returning Customer","New Customer")</f>
        <v>New Customer</v>
      </c>
      <c r="T532" s="3">
        <v>5</v>
      </c>
      <c r="U532" s="12" t="str">
        <f>IF(T532&lt;=3,"Fast",IF(T532&lt;=7,"Standard",IF(T532&lt;=14,"Slow","Very Slow")))</f>
        <v>Standard</v>
      </c>
      <c r="V532" s="10" t="str">
        <f>IF(D532&lt;=25,"18-25",IF(D532&lt;=35,"26-35",IF(D532&lt;=45,"36-45",IF(D532&lt;=55,"46-55",IF(D532&lt;=65,"56-65","66-75")))))</f>
        <v>36-45</v>
      </c>
      <c r="W532" s="3">
        <v>3</v>
      </c>
    </row>
    <row r="533" spans="1:23">
      <c r="A533" s="5" t="s">
        <v>596</v>
      </c>
      <c r="B533" s="5" t="s">
        <v>597</v>
      </c>
      <c r="C533" s="6">
        <v>45206</v>
      </c>
      <c r="D533" s="8">
        <v>18</v>
      </c>
      <c r="E533" s="5" t="s">
        <v>20</v>
      </c>
      <c r="F533" s="5" t="s">
        <v>32</v>
      </c>
      <c r="G533" s="5" t="s">
        <v>37</v>
      </c>
      <c r="H533" s="7">
        <v>281.38</v>
      </c>
      <c r="I533" s="3">
        <v>3</v>
      </c>
      <c r="J533" s="33">
        <f>H533*I533</f>
        <v>844.14</v>
      </c>
      <c r="K533" s="4">
        <v>0</v>
      </c>
      <c r="L533" s="9">
        <f>IF(J533=0,0,K533/J533)</f>
        <v>0</v>
      </c>
      <c r="M533" s="25">
        <v>844.14</v>
      </c>
      <c r="N533" s="5" t="s">
        <v>327</v>
      </c>
      <c r="O533" s="5" t="s">
        <v>24</v>
      </c>
      <c r="P533" s="3">
        <v>12</v>
      </c>
      <c r="Q533" s="3">
        <v>6</v>
      </c>
      <c r="R533" s="5" t="b">
        <v>1</v>
      </c>
      <c r="S533" s="5" t="str">
        <f>IF(R533=TRUE,"Returning Customer","New Customer")</f>
        <v>Returning Customer</v>
      </c>
      <c r="T533" s="3">
        <v>4</v>
      </c>
      <c r="U533" s="12" t="str">
        <f>IF(T533&lt;=3,"Fast",IF(T533&lt;=7,"Standard",IF(T533&lt;=14,"Slow","Very Slow")))</f>
        <v>Standard</v>
      </c>
      <c r="V533" s="10" t="str">
        <f>IF(D533&lt;=25,"18-25",IF(D533&lt;=35,"26-35",IF(D533&lt;=45,"36-45",IF(D533&lt;=55,"46-55",IF(D533&lt;=65,"56-65","66-75")))))</f>
        <v>18-25</v>
      </c>
      <c r="W533" s="3">
        <v>4</v>
      </c>
    </row>
    <row r="534" spans="1:23">
      <c r="A534" s="5" t="s">
        <v>259</v>
      </c>
      <c r="B534" s="5" t="s">
        <v>260</v>
      </c>
      <c r="C534" s="6">
        <v>44945</v>
      </c>
      <c r="D534" s="8">
        <v>34</v>
      </c>
      <c r="E534" s="5" t="s">
        <v>36</v>
      </c>
      <c r="F534" s="5" t="s">
        <v>49</v>
      </c>
      <c r="G534" s="5" t="s">
        <v>115</v>
      </c>
      <c r="H534" s="7">
        <v>61.34</v>
      </c>
      <c r="I534" s="3">
        <v>1</v>
      </c>
      <c r="J534" s="33">
        <f>H534*I534</f>
        <v>61.34</v>
      </c>
      <c r="K534" s="4">
        <v>13.77</v>
      </c>
      <c r="L534" s="9">
        <f>IF(J534=0,0,K534/J534)</f>
        <v>0.22448646886208018</v>
      </c>
      <c r="M534" s="25">
        <v>47.57</v>
      </c>
      <c r="N534" s="5" t="s">
        <v>23</v>
      </c>
      <c r="O534" s="5" t="s">
        <v>24</v>
      </c>
      <c r="P534" s="3">
        <v>27</v>
      </c>
      <c r="Q534" s="3">
        <v>9</v>
      </c>
      <c r="R534" s="5" t="b">
        <v>0</v>
      </c>
      <c r="S534" s="5" t="str">
        <f>IF(R534=TRUE,"Returning Customer","New Customer")</f>
        <v>New Customer</v>
      </c>
      <c r="T534" s="3">
        <v>16</v>
      </c>
      <c r="U534" s="12" t="str">
        <f>IF(T534&lt;=3,"Fast",IF(T534&lt;=7,"Standard",IF(T534&lt;=14,"Slow","Very Slow")))</f>
        <v>Very Slow</v>
      </c>
      <c r="V534" s="10" t="str">
        <f>IF(D534&lt;=25,"18-25",IF(D534&lt;=35,"26-35",IF(D534&lt;=45,"36-45",IF(D534&lt;=55,"46-55",IF(D534&lt;=65,"56-65","66-75")))))</f>
        <v>26-35</v>
      </c>
      <c r="W534" s="3">
        <v>4</v>
      </c>
    </row>
    <row r="535" spans="1:23">
      <c r="A535" s="5" t="s">
        <v>1409</v>
      </c>
      <c r="B535" s="5" t="s">
        <v>1410</v>
      </c>
      <c r="C535" s="6">
        <v>45354</v>
      </c>
      <c r="D535" s="8">
        <v>20</v>
      </c>
      <c r="E535" s="5" t="s">
        <v>36</v>
      </c>
      <c r="F535" s="5" t="s">
        <v>49</v>
      </c>
      <c r="G535" s="5" t="s">
        <v>37</v>
      </c>
      <c r="H535" s="7">
        <v>52.53</v>
      </c>
      <c r="I535" s="3">
        <v>1</v>
      </c>
      <c r="J535" s="33">
        <f>H535*I535</f>
        <v>52.53</v>
      </c>
      <c r="K535" s="4">
        <v>6.69</v>
      </c>
      <c r="L535" s="9">
        <f>IF(J535=0,0,K535/J535)</f>
        <v>0.12735579668760708</v>
      </c>
      <c r="M535" s="25">
        <v>45.84</v>
      </c>
      <c r="N535" s="5" t="s">
        <v>1298</v>
      </c>
      <c r="O535" s="5" t="s">
        <v>24</v>
      </c>
      <c r="P535" s="3">
        <v>15</v>
      </c>
      <c r="Q535" s="3">
        <v>11</v>
      </c>
      <c r="R535" s="5" t="b">
        <v>1</v>
      </c>
      <c r="S535" s="5" t="str">
        <f>IF(R535=TRUE,"Returning Customer","New Customer")</f>
        <v>Returning Customer</v>
      </c>
      <c r="T535" s="3">
        <v>4</v>
      </c>
      <c r="U535" s="12" t="str">
        <f>IF(T535&lt;=3,"Fast",IF(T535&lt;=7,"Standard",IF(T535&lt;=14,"Slow","Very Slow")))</f>
        <v>Standard</v>
      </c>
      <c r="V535" s="10" t="str">
        <f>IF(D535&lt;=25,"18-25",IF(D535&lt;=35,"26-35",IF(D535&lt;=45,"36-45",IF(D535&lt;=55,"46-55",IF(D535&lt;=65,"56-65","66-75")))))</f>
        <v>18-25</v>
      </c>
      <c r="W535" s="3">
        <v>3</v>
      </c>
    </row>
    <row r="536" spans="1:23">
      <c r="A536" s="5" t="s">
        <v>1411</v>
      </c>
      <c r="B536" s="5" t="s">
        <v>1412</v>
      </c>
      <c r="C536" s="6">
        <v>45116</v>
      </c>
      <c r="D536" s="8">
        <v>27</v>
      </c>
      <c r="E536" s="5" t="s">
        <v>36</v>
      </c>
      <c r="F536" s="5" t="s">
        <v>83</v>
      </c>
      <c r="G536" s="5" t="s">
        <v>56</v>
      </c>
      <c r="H536" s="7">
        <v>339.98</v>
      </c>
      <c r="I536" s="3">
        <v>1</v>
      </c>
      <c r="J536" s="33">
        <f>H536*I536</f>
        <v>339.98</v>
      </c>
      <c r="K536" s="4">
        <v>0</v>
      </c>
      <c r="L536" s="9">
        <f>IF(J536=0,0,K536/J536)</f>
        <v>0</v>
      </c>
      <c r="M536" s="25">
        <v>339.98</v>
      </c>
      <c r="N536" s="5" t="s">
        <v>1298</v>
      </c>
      <c r="O536" s="5" t="s">
        <v>33</v>
      </c>
      <c r="P536" s="3">
        <v>9</v>
      </c>
      <c r="Q536" s="3">
        <v>8</v>
      </c>
      <c r="R536" s="5" t="b">
        <v>0</v>
      </c>
      <c r="S536" s="5" t="str">
        <f>IF(R536=TRUE,"Returning Customer","New Customer")</f>
        <v>New Customer</v>
      </c>
      <c r="T536" s="3">
        <v>7</v>
      </c>
      <c r="U536" s="12" t="str">
        <f>IF(T536&lt;=3,"Fast",IF(T536&lt;=7,"Standard",IF(T536&lt;=14,"Slow","Very Slow")))</f>
        <v>Standard</v>
      </c>
      <c r="V536" s="10" t="str">
        <f>IF(D536&lt;=25,"18-25",IF(D536&lt;=35,"26-35",IF(D536&lt;=45,"36-45",IF(D536&lt;=55,"46-55",IF(D536&lt;=65,"56-65","66-75")))))</f>
        <v>26-35</v>
      </c>
      <c r="W536" s="3">
        <v>2</v>
      </c>
    </row>
    <row r="537" spans="1:23">
      <c r="A537" s="5" t="s">
        <v>1413</v>
      </c>
      <c r="B537" s="5" t="s">
        <v>1414</v>
      </c>
      <c r="C537" s="6">
        <v>45225</v>
      </c>
      <c r="D537" s="8">
        <v>35</v>
      </c>
      <c r="E537" s="5" t="s">
        <v>20</v>
      </c>
      <c r="F537" s="5" t="s">
        <v>52</v>
      </c>
      <c r="G537" s="5" t="s">
        <v>56</v>
      </c>
      <c r="H537" s="7">
        <v>353.29</v>
      </c>
      <c r="I537" s="3">
        <v>4</v>
      </c>
      <c r="J537" s="33">
        <f>H537*I537</f>
        <v>1413.16</v>
      </c>
      <c r="K537" s="4">
        <v>0</v>
      </c>
      <c r="L537" s="9">
        <f>IF(J537=0,0,K537/J537)</f>
        <v>0</v>
      </c>
      <c r="M537" s="25">
        <v>1413.16</v>
      </c>
      <c r="N537" s="5" t="s">
        <v>1298</v>
      </c>
      <c r="O537" s="5" t="s">
        <v>24</v>
      </c>
      <c r="P537" s="3">
        <v>18</v>
      </c>
      <c r="Q537" s="3">
        <v>6</v>
      </c>
      <c r="R537" s="5" t="b">
        <v>0</v>
      </c>
      <c r="S537" s="5" t="str">
        <f>IF(R537=TRUE,"Returning Customer","New Customer")</f>
        <v>New Customer</v>
      </c>
      <c r="T537" s="3">
        <v>4</v>
      </c>
      <c r="U537" s="12" t="str">
        <f>IF(T537&lt;=3,"Fast",IF(T537&lt;=7,"Standard",IF(T537&lt;=14,"Slow","Very Slow")))</f>
        <v>Standard</v>
      </c>
      <c r="V537" s="10" t="str">
        <f>IF(D537&lt;=25,"18-25",IF(D537&lt;=35,"26-35",IF(D537&lt;=45,"36-45",IF(D537&lt;=55,"46-55",IF(D537&lt;=65,"56-65","66-75")))))</f>
        <v>26-35</v>
      </c>
      <c r="W537" s="3">
        <v>3</v>
      </c>
    </row>
    <row r="538" spans="1:23">
      <c r="A538" s="5" t="s">
        <v>1103</v>
      </c>
      <c r="B538" s="5" t="s">
        <v>1104</v>
      </c>
      <c r="C538" s="6">
        <v>45209</v>
      </c>
      <c r="D538" s="8">
        <v>24</v>
      </c>
      <c r="E538" s="5" t="s">
        <v>36</v>
      </c>
      <c r="F538" s="5" t="s">
        <v>52</v>
      </c>
      <c r="G538" s="5" t="s">
        <v>115</v>
      </c>
      <c r="H538" s="7">
        <v>155.32</v>
      </c>
      <c r="I538" s="3">
        <v>4</v>
      </c>
      <c r="J538" s="33">
        <f>H538*I538</f>
        <v>621.28</v>
      </c>
      <c r="K538" s="4">
        <v>18.670000000000002</v>
      </c>
      <c r="L538" s="9">
        <f>IF(J538=0,0,K538/J538)</f>
        <v>3.0050862734998716E-2</v>
      </c>
      <c r="M538" s="25">
        <v>602.61</v>
      </c>
      <c r="N538" s="5" t="s">
        <v>692</v>
      </c>
      <c r="O538" s="5" t="s">
        <v>24</v>
      </c>
      <c r="P538" s="3">
        <v>18</v>
      </c>
      <c r="Q538" s="3">
        <v>3</v>
      </c>
      <c r="R538" s="5" t="b">
        <v>1</v>
      </c>
      <c r="S538" s="5" t="str">
        <f>IF(R538=TRUE,"Returning Customer","New Customer")</f>
        <v>Returning Customer</v>
      </c>
      <c r="T538" s="3">
        <v>9</v>
      </c>
      <c r="U538" s="12" t="str">
        <f>IF(T538&lt;=3,"Fast",IF(T538&lt;=7,"Standard",IF(T538&lt;=14,"Slow","Very Slow")))</f>
        <v>Slow</v>
      </c>
      <c r="V538" s="10" t="str">
        <f>IF(D538&lt;=25,"18-25",IF(D538&lt;=35,"26-35",IF(D538&lt;=45,"36-45",IF(D538&lt;=55,"46-55",IF(D538&lt;=65,"56-65","66-75")))))</f>
        <v>18-25</v>
      </c>
      <c r="W538" s="3">
        <v>5</v>
      </c>
    </row>
    <row r="539" spans="1:23">
      <c r="A539" s="5" t="s">
        <v>261</v>
      </c>
      <c r="B539" s="5" t="s">
        <v>262</v>
      </c>
      <c r="C539" s="6">
        <v>45002</v>
      </c>
      <c r="D539" s="8">
        <v>30</v>
      </c>
      <c r="E539" s="5" t="s">
        <v>20</v>
      </c>
      <c r="F539" s="5" t="s">
        <v>49</v>
      </c>
      <c r="G539" s="5" t="s">
        <v>22</v>
      </c>
      <c r="H539" s="7">
        <v>712.9</v>
      </c>
      <c r="I539" s="3">
        <v>1</v>
      </c>
      <c r="J539" s="33">
        <f>H539*I539</f>
        <v>712.9</v>
      </c>
      <c r="K539" s="4">
        <v>0</v>
      </c>
      <c r="L539" s="9">
        <f>IF(J539=0,0,K539/J539)</f>
        <v>0</v>
      </c>
      <c r="M539" s="25">
        <v>712.9</v>
      </c>
      <c r="N539" s="5" t="s">
        <v>23</v>
      </c>
      <c r="O539" s="5" t="s">
        <v>24</v>
      </c>
      <c r="P539" s="3">
        <v>13</v>
      </c>
      <c r="Q539" s="3">
        <v>11</v>
      </c>
      <c r="R539" s="5" t="b">
        <v>0</v>
      </c>
      <c r="S539" s="5" t="str">
        <f>IF(R539=TRUE,"Returning Customer","New Customer")</f>
        <v>New Customer</v>
      </c>
      <c r="T539" s="3">
        <v>4</v>
      </c>
      <c r="U539" s="12" t="str">
        <f>IF(T539&lt;=3,"Fast",IF(T539&lt;=7,"Standard",IF(T539&lt;=14,"Slow","Very Slow")))</f>
        <v>Standard</v>
      </c>
      <c r="V539" s="10" t="str">
        <f>IF(D539&lt;=25,"18-25",IF(D539&lt;=35,"26-35",IF(D539&lt;=45,"36-45",IF(D539&lt;=55,"46-55",IF(D539&lt;=65,"56-65","66-75")))))</f>
        <v>26-35</v>
      </c>
      <c r="W539" s="3">
        <v>5</v>
      </c>
    </row>
    <row r="540" spans="1:23">
      <c r="A540" s="5" t="s">
        <v>1105</v>
      </c>
      <c r="B540" s="5" t="s">
        <v>1106</v>
      </c>
      <c r="C540" s="6">
        <v>45147</v>
      </c>
      <c r="D540" s="8">
        <v>47</v>
      </c>
      <c r="E540" s="5" t="s">
        <v>36</v>
      </c>
      <c r="F540" s="5" t="s">
        <v>59</v>
      </c>
      <c r="G540" s="5" t="s">
        <v>56</v>
      </c>
      <c r="H540" s="7">
        <v>159.22</v>
      </c>
      <c r="I540" s="3">
        <v>2</v>
      </c>
      <c r="J540" s="33">
        <f>H540*I540</f>
        <v>318.44</v>
      </c>
      <c r="K540" s="4">
        <v>31.31</v>
      </c>
      <c r="L540" s="9">
        <f>IF(J540=0,0,K540/J540)</f>
        <v>9.8323074990579074E-2</v>
      </c>
      <c r="M540" s="25">
        <v>287.13</v>
      </c>
      <c r="N540" s="5" t="s">
        <v>692</v>
      </c>
      <c r="O540" s="5" t="s">
        <v>33</v>
      </c>
      <c r="P540" s="3">
        <v>12</v>
      </c>
      <c r="Q540" s="3">
        <v>7</v>
      </c>
      <c r="R540" s="5" t="b">
        <v>0</v>
      </c>
      <c r="S540" s="5" t="str">
        <f>IF(R540=TRUE,"Returning Customer","New Customer")</f>
        <v>New Customer</v>
      </c>
      <c r="T540" s="3">
        <v>3</v>
      </c>
      <c r="U540" s="12" t="str">
        <f>IF(T540&lt;=3,"Fast",IF(T540&lt;=7,"Standard",IF(T540&lt;=14,"Slow","Very Slow")))</f>
        <v>Fast</v>
      </c>
      <c r="V540" s="10" t="str">
        <f>IF(D540&lt;=25,"18-25",IF(D540&lt;=35,"26-35",IF(D540&lt;=45,"36-45",IF(D540&lt;=55,"46-55",IF(D540&lt;=65,"56-65","66-75")))))</f>
        <v>46-55</v>
      </c>
      <c r="W540" s="3">
        <v>5</v>
      </c>
    </row>
    <row r="541" spans="1:23">
      <c r="A541" s="5" t="s">
        <v>1107</v>
      </c>
      <c r="B541" s="5" t="s">
        <v>1108</v>
      </c>
      <c r="C541" s="6">
        <v>44992</v>
      </c>
      <c r="D541" s="8">
        <v>28</v>
      </c>
      <c r="E541" s="5" t="s">
        <v>20</v>
      </c>
      <c r="F541" s="5" t="s">
        <v>76</v>
      </c>
      <c r="G541" s="5" t="s">
        <v>64</v>
      </c>
      <c r="H541" s="7">
        <v>549.32000000000005</v>
      </c>
      <c r="I541" s="3">
        <v>3</v>
      </c>
      <c r="J541" s="33">
        <f>H541*I541</f>
        <v>1647.96</v>
      </c>
      <c r="K541" s="4">
        <v>155.63999999999999</v>
      </c>
      <c r="L541" s="9">
        <f>IF(J541=0,0,K541/J541)</f>
        <v>9.4444039903881158E-2</v>
      </c>
      <c r="M541" s="25">
        <v>1492.32</v>
      </c>
      <c r="N541" s="5" t="s">
        <v>692</v>
      </c>
      <c r="O541" s="5" t="s">
        <v>24</v>
      </c>
      <c r="P541" s="3">
        <v>27</v>
      </c>
      <c r="Q541" s="3">
        <v>9</v>
      </c>
      <c r="R541" s="5" t="b">
        <v>1</v>
      </c>
      <c r="S541" s="5" t="str">
        <f>IF(R541=TRUE,"Returning Customer","New Customer")</f>
        <v>Returning Customer</v>
      </c>
      <c r="T541" s="3">
        <v>4</v>
      </c>
      <c r="U541" s="12" t="str">
        <f>IF(T541&lt;=3,"Fast",IF(T541&lt;=7,"Standard",IF(T541&lt;=14,"Slow","Very Slow")))</f>
        <v>Standard</v>
      </c>
      <c r="V541" s="10" t="str">
        <f>IF(D541&lt;=25,"18-25",IF(D541&lt;=35,"26-35",IF(D541&lt;=45,"36-45",IF(D541&lt;=55,"46-55",IF(D541&lt;=65,"56-65","66-75")))))</f>
        <v>26-35</v>
      </c>
      <c r="W541" s="3">
        <v>3</v>
      </c>
    </row>
    <row r="542" spans="1:23">
      <c r="A542" s="5" t="s">
        <v>263</v>
      </c>
      <c r="B542" s="5" t="s">
        <v>264</v>
      </c>
      <c r="C542" s="6">
        <v>44948</v>
      </c>
      <c r="D542" s="8">
        <v>45</v>
      </c>
      <c r="E542" s="5" t="s">
        <v>20</v>
      </c>
      <c r="F542" s="5" t="s">
        <v>59</v>
      </c>
      <c r="G542" s="5" t="s">
        <v>64</v>
      </c>
      <c r="H542" s="7">
        <v>609.04</v>
      </c>
      <c r="I542" s="3">
        <v>1</v>
      </c>
      <c r="J542" s="33">
        <f>H542*I542</f>
        <v>609.04</v>
      </c>
      <c r="K542" s="4">
        <v>0</v>
      </c>
      <c r="L542" s="9">
        <f>IF(J542=0,0,K542/J542)</f>
        <v>0</v>
      </c>
      <c r="M542" s="25">
        <v>609.04</v>
      </c>
      <c r="N542" s="5" t="s">
        <v>23</v>
      </c>
      <c r="O542" s="5" t="s">
        <v>33</v>
      </c>
      <c r="P542" s="3">
        <v>15</v>
      </c>
      <c r="Q542" s="3">
        <v>14</v>
      </c>
      <c r="R542" s="5" t="b">
        <v>1</v>
      </c>
      <c r="S542" s="5" t="str">
        <f>IF(R542=TRUE,"Returning Customer","New Customer")</f>
        <v>Returning Customer</v>
      </c>
      <c r="T542" s="3">
        <v>4</v>
      </c>
      <c r="U542" s="12" t="str">
        <f>IF(T542&lt;=3,"Fast",IF(T542&lt;=7,"Standard",IF(T542&lt;=14,"Slow","Very Slow")))</f>
        <v>Standard</v>
      </c>
      <c r="V542" s="10" t="str">
        <f>IF(D542&lt;=25,"18-25",IF(D542&lt;=35,"26-35",IF(D542&lt;=45,"36-45",IF(D542&lt;=55,"46-55",IF(D542&lt;=65,"56-65","66-75")))))</f>
        <v>36-45</v>
      </c>
      <c r="W542" s="3">
        <v>5</v>
      </c>
    </row>
    <row r="543" spans="1:23">
      <c r="A543" s="5" t="s">
        <v>598</v>
      </c>
      <c r="B543" s="5" t="s">
        <v>599</v>
      </c>
      <c r="C543" s="6">
        <v>45084</v>
      </c>
      <c r="D543" s="8">
        <v>21</v>
      </c>
      <c r="E543" s="5" t="s">
        <v>20</v>
      </c>
      <c r="F543" s="5" t="s">
        <v>21</v>
      </c>
      <c r="G543" s="5" t="s">
        <v>28</v>
      </c>
      <c r="H543" s="7">
        <v>94.67</v>
      </c>
      <c r="I543" s="3">
        <v>3</v>
      </c>
      <c r="J543" s="33">
        <f>H543*I543</f>
        <v>284.01</v>
      </c>
      <c r="K543" s="4">
        <v>0</v>
      </c>
      <c r="L543" s="9">
        <f>IF(J543=0,0,K543/J543)</f>
        <v>0</v>
      </c>
      <c r="M543" s="25">
        <v>284.01</v>
      </c>
      <c r="N543" s="5" t="s">
        <v>327</v>
      </c>
      <c r="O543" s="5" t="s">
        <v>24</v>
      </c>
      <c r="P543" s="3">
        <v>5</v>
      </c>
      <c r="Q543" s="3">
        <v>9</v>
      </c>
      <c r="R543" s="5" t="b">
        <v>1</v>
      </c>
      <c r="S543" s="5" t="str">
        <f>IF(R543=TRUE,"Returning Customer","New Customer")</f>
        <v>Returning Customer</v>
      </c>
      <c r="T543" s="3">
        <v>7</v>
      </c>
      <c r="U543" s="12" t="str">
        <f>IF(T543&lt;=3,"Fast",IF(T543&lt;=7,"Standard",IF(T543&lt;=14,"Slow","Very Slow")))</f>
        <v>Standard</v>
      </c>
      <c r="V543" s="10" t="str">
        <f>IF(D543&lt;=25,"18-25",IF(D543&lt;=35,"26-35",IF(D543&lt;=45,"36-45",IF(D543&lt;=55,"46-55",IF(D543&lt;=65,"56-65","66-75")))))</f>
        <v>18-25</v>
      </c>
      <c r="W543" s="3">
        <v>3</v>
      </c>
    </row>
    <row r="544" spans="1:23">
      <c r="A544" s="5" t="s">
        <v>1415</v>
      </c>
      <c r="B544" s="5" t="s">
        <v>1416</v>
      </c>
      <c r="C544" s="6">
        <v>45113</v>
      </c>
      <c r="D544" s="8">
        <v>41</v>
      </c>
      <c r="E544" s="5" t="s">
        <v>36</v>
      </c>
      <c r="F544" s="5" t="s">
        <v>49</v>
      </c>
      <c r="G544" s="5" t="s">
        <v>53</v>
      </c>
      <c r="H544" s="7">
        <v>150.69</v>
      </c>
      <c r="I544" s="3">
        <v>4</v>
      </c>
      <c r="J544" s="33">
        <f>H544*I544</f>
        <v>602.76</v>
      </c>
      <c r="K544" s="4">
        <v>0</v>
      </c>
      <c r="L544" s="9">
        <f>IF(J544=0,0,K544/J544)</f>
        <v>0</v>
      </c>
      <c r="M544" s="25">
        <v>602.76</v>
      </c>
      <c r="N544" s="5" t="s">
        <v>1298</v>
      </c>
      <c r="O544" s="5" t="s">
        <v>24</v>
      </c>
      <c r="P544" s="3">
        <v>7</v>
      </c>
      <c r="Q544" s="3">
        <v>9</v>
      </c>
      <c r="R544" s="5" t="b">
        <v>1</v>
      </c>
      <c r="S544" s="5" t="str">
        <f>IF(R544=TRUE,"Returning Customer","New Customer")</f>
        <v>Returning Customer</v>
      </c>
      <c r="T544" s="3">
        <v>6</v>
      </c>
      <c r="U544" s="12" t="str">
        <f>IF(T544&lt;=3,"Fast",IF(T544&lt;=7,"Standard",IF(T544&lt;=14,"Slow","Very Slow")))</f>
        <v>Standard</v>
      </c>
      <c r="V544" s="10" t="str">
        <f>IF(D544&lt;=25,"18-25",IF(D544&lt;=35,"26-35",IF(D544&lt;=45,"36-45",IF(D544&lt;=55,"46-55",IF(D544&lt;=65,"56-65","66-75")))))</f>
        <v>36-45</v>
      </c>
      <c r="W544" s="3">
        <v>4</v>
      </c>
    </row>
    <row r="545" spans="1:23">
      <c r="A545" s="5" t="s">
        <v>1109</v>
      </c>
      <c r="B545" s="5" t="s">
        <v>1110</v>
      </c>
      <c r="C545" s="6">
        <v>45334</v>
      </c>
      <c r="D545" s="8">
        <v>52</v>
      </c>
      <c r="E545" s="5" t="s">
        <v>20</v>
      </c>
      <c r="F545" s="5" t="s">
        <v>88</v>
      </c>
      <c r="G545" s="5" t="s">
        <v>46</v>
      </c>
      <c r="H545" s="7">
        <v>1385.22</v>
      </c>
      <c r="I545" s="3">
        <v>5</v>
      </c>
      <c r="J545" s="33">
        <f>H545*I545</f>
        <v>6926.1</v>
      </c>
      <c r="K545" s="4">
        <v>148.16999999999999</v>
      </c>
      <c r="L545" s="9">
        <f>IF(J545=0,0,K545/J545)</f>
        <v>2.1392991726945896E-2</v>
      </c>
      <c r="M545" s="25">
        <v>6777.93</v>
      </c>
      <c r="N545" s="5" t="s">
        <v>692</v>
      </c>
      <c r="O545" s="5" t="s">
        <v>33</v>
      </c>
      <c r="P545" s="3">
        <v>15</v>
      </c>
      <c r="Q545" s="3">
        <v>8</v>
      </c>
      <c r="R545" s="5" t="b">
        <v>1</v>
      </c>
      <c r="S545" s="5" t="str">
        <f>IF(R545=TRUE,"Returning Customer","New Customer")</f>
        <v>Returning Customer</v>
      </c>
      <c r="T545" s="3">
        <v>7</v>
      </c>
      <c r="U545" s="12" t="str">
        <f>IF(T545&lt;=3,"Fast",IF(T545&lt;=7,"Standard",IF(T545&lt;=14,"Slow","Very Slow")))</f>
        <v>Standard</v>
      </c>
      <c r="V545" s="10" t="str">
        <f>IF(D545&lt;=25,"18-25",IF(D545&lt;=35,"26-35",IF(D545&lt;=45,"36-45",IF(D545&lt;=55,"46-55",IF(D545&lt;=65,"56-65","66-75")))))</f>
        <v>46-55</v>
      </c>
      <c r="W545" s="3">
        <v>5</v>
      </c>
    </row>
    <row r="546" spans="1:23">
      <c r="A546" s="5" t="s">
        <v>265</v>
      </c>
      <c r="B546" s="5" t="s">
        <v>266</v>
      </c>
      <c r="C546" s="6">
        <v>45367</v>
      </c>
      <c r="D546" s="8">
        <v>18</v>
      </c>
      <c r="E546" s="5" t="s">
        <v>36</v>
      </c>
      <c r="F546" s="5" t="s">
        <v>21</v>
      </c>
      <c r="G546" s="5" t="s">
        <v>56</v>
      </c>
      <c r="H546" s="7">
        <v>574.49</v>
      </c>
      <c r="I546" s="3">
        <v>4</v>
      </c>
      <c r="J546" s="33">
        <f>H546*I546</f>
        <v>2297.96</v>
      </c>
      <c r="K546" s="4">
        <v>0</v>
      </c>
      <c r="L546" s="9">
        <f>IF(J546=0,0,K546/J546)</f>
        <v>0</v>
      </c>
      <c r="M546" s="25">
        <v>2297.96</v>
      </c>
      <c r="N546" s="5" t="s">
        <v>23</v>
      </c>
      <c r="O546" s="5" t="s">
        <v>24</v>
      </c>
      <c r="P546" s="3">
        <v>13</v>
      </c>
      <c r="Q546" s="3">
        <v>8</v>
      </c>
      <c r="R546" s="5" t="b">
        <v>1</v>
      </c>
      <c r="S546" s="5" t="str">
        <f>IF(R546=TRUE,"Returning Customer","New Customer")</f>
        <v>Returning Customer</v>
      </c>
      <c r="T546" s="3">
        <v>9</v>
      </c>
      <c r="U546" s="12" t="str">
        <f>IF(T546&lt;=3,"Fast",IF(T546&lt;=7,"Standard",IF(T546&lt;=14,"Slow","Very Slow")))</f>
        <v>Slow</v>
      </c>
      <c r="V546" s="10" t="str">
        <f>IF(D546&lt;=25,"18-25",IF(D546&lt;=35,"26-35",IF(D546&lt;=45,"36-45",IF(D546&lt;=55,"46-55",IF(D546&lt;=65,"56-65","66-75")))))</f>
        <v>18-25</v>
      </c>
      <c r="W546" s="3">
        <v>1</v>
      </c>
    </row>
    <row r="547" spans="1:23">
      <c r="A547" s="5" t="s">
        <v>1111</v>
      </c>
      <c r="B547" s="5" t="s">
        <v>1112</v>
      </c>
      <c r="C547" s="6">
        <v>44947</v>
      </c>
      <c r="D547" s="8">
        <v>25</v>
      </c>
      <c r="E547" s="5" t="s">
        <v>20</v>
      </c>
      <c r="F547" s="5" t="s">
        <v>32</v>
      </c>
      <c r="G547" s="5" t="s">
        <v>22</v>
      </c>
      <c r="H547" s="7">
        <v>169.49</v>
      </c>
      <c r="I547" s="3">
        <v>1</v>
      </c>
      <c r="J547" s="33">
        <f>H547*I547</f>
        <v>169.49</v>
      </c>
      <c r="K547" s="4">
        <v>0</v>
      </c>
      <c r="L547" s="9">
        <f>IF(J547=0,0,K547/J547)</f>
        <v>0</v>
      </c>
      <c r="M547" s="25">
        <v>169.49</v>
      </c>
      <c r="N547" s="5" t="s">
        <v>692</v>
      </c>
      <c r="O547" s="5" t="s">
        <v>24</v>
      </c>
      <c r="P547" s="3">
        <v>12</v>
      </c>
      <c r="Q547" s="3">
        <v>9</v>
      </c>
      <c r="R547" s="5" t="b">
        <v>1</v>
      </c>
      <c r="S547" s="5" t="str">
        <f>IF(R547=TRUE,"Returning Customer","New Customer")</f>
        <v>Returning Customer</v>
      </c>
      <c r="T547" s="3">
        <v>2</v>
      </c>
      <c r="U547" s="12" t="str">
        <f>IF(T547&lt;=3,"Fast",IF(T547&lt;=7,"Standard",IF(T547&lt;=14,"Slow","Very Slow")))</f>
        <v>Fast</v>
      </c>
      <c r="V547" s="10" t="str">
        <f>IF(D547&lt;=25,"18-25",IF(D547&lt;=35,"26-35",IF(D547&lt;=45,"36-45",IF(D547&lt;=55,"46-55",IF(D547&lt;=65,"56-65","66-75")))))</f>
        <v>18-25</v>
      </c>
      <c r="W547" s="3">
        <v>5</v>
      </c>
    </row>
    <row r="548" spans="1:23">
      <c r="A548" s="5" t="s">
        <v>1113</v>
      </c>
      <c r="B548" s="5" t="s">
        <v>1114</v>
      </c>
      <c r="C548" s="6">
        <v>45110</v>
      </c>
      <c r="D548" s="8">
        <v>41</v>
      </c>
      <c r="E548" s="5" t="s">
        <v>20</v>
      </c>
      <c r="F548" s="5" t="s">
        <v>32</v>
      </c>
      <c r="G548" s="5" t="s">
        <v>28</v>
      </c>
      <c r="H548" s="7">
        <v>25.17</v>
      </c>
      <c r="I548" s="3">
        <v>4</v>
      </c>
      <c r="J548" s="33">
        <f>H548*I548</f>
        <v>100.68</v>
      </c>
      <c r="K548" s="4">
        <v>0</v>
      </c>
      <c r="L548" s="9">
        <f>IF(J548=0,0,K548/J548)</f>
        <v>0</v>
      </c>
      <c r="M548" s="25">
        <v>100.68</v>
      </c>
      <c r="N548" s="5" t="s">
        <v>692</v>
      </c>
      <c r="O548" s="5" t="s">
        <v>33</v>
      </c>
      <c r="P548" s="3">
        <v>6</v>
      </c>
      <c r="Q548" s="3">
        <v>11</v>
      </c>
      <c r="R548" s="5" t="b">
        <v>1</v>
      </c>
      <c r="S548" s="5" t="str">
        <f>IF(R548=TRUE,"Returning Customer","New Customer")</f>
        <v>Returning Customer</v>
      </c>
      <c r="T548" s="3">
        <v>5</v>
      </c>
      <c r="U548" s="12" t="str">
        <f>IF(T548&lt;=3,"Fast",IF(T548&lt;=7,"Standard",IF(T548&lt;=14,"Slow","Very Slow")))</f>
        <v>Standard</v>
      </c>
      <c r="V548" s="10" t="str">
        <f>IF(D548&lt;=25,"18-25",IF(D548&lt;=35,"26-35",IF(D548&lt;=45,"36-45",IF(D548&lt;=55,"46-55",IF(D548&lt;=65,"56-65","66-75")))))</f>
        <v>36-45</v>
      </c>
      <c r="W548" s="3">
        <v>5</v>
      </c>
    </row>
    <row r="549" spans="1:23">
      <c r="A549" s="5" t="s">
        <v>600</v>
      </c>
      <c r="B549" s="5" t="s">
        <v>601</v>
      </c>
      <c r="C549" s="6">
        <v>45034</v>
      </c>
      <c r="D549" s="8">
        <v>32</v>
      </c>
      <c r="E549" s="5" t="s">
        <v>20</v>
      </c>
      <c r="F549" s="5" t="s">
        <v>32</v>
      </c>
      <c r="G549" s="5" t="s">
        <v>115</v>
      </c>
      <c r="H549" s="7">
        <v>68.3</v>
      </c>
      <c r="I549" s="3">
        <v>1</v>
      </c>
      <c r="J549" s="33">
        <f>H549*I549</f>
        <v>68.3</v>
      </c>
      <c r="K549" s="4">
        <v>0</v>
      </c>
      <c r="L549" s="9">
        <f>IF(J549=0,0,K549/J549)</f>
        <v>0</v>
      </c>
      <c r="M549" s="25">
        <v>68.3</v>
      </c>
      <c r="N549" s="5" t="s">
        <v>327</v>
      </c>
      <c r="O549" s="5" t="s">
        <v>33</v>
      </c>
      <c r="P549" s="3">
        <v>19</v>
      </c>
      <c r="Q549" s="3">
        <v>11</v>
      </c>
      <c r="R549" s="5" t="b">
        <v>1</v>
      </c>
      <c r="S549" s="5" t="str">
        <f>IF(R549=TRUE,"Returning Customer","New Customer")</f>
        <v>Returning Customer</v>
      </c>
      <c r="T549" s="3">
        <v>4</v>
      </c>
      <c r="U549" s="12" t="str">
        <f>IF(T549&lt;=3,"Fast",IF(T549&lt;=7,"Standard",IF(T549&lt;=14,"Slow","Very Slow")))</f>
        <v>Standard</v>
      </c>
      <c r="V549" s="10" t="str">
        <f>IF(D549&lt;=25,"18-25",IF(D549&lt;=35,"26-35",IF(D549&lt;=45,"36-45",IF(D549&lt;=55,"46-55",IF(D549&lt;=65,"56-65","66-75")))))</f>
        <v>26-35</v>
      </c>
      <c r="W549" s="3">
        <v>5</v>
      </c>
    </row>
    <row r="550" spans="1:23">
      <c r="A550" s="5" t="s">
        <v>1115</v>
      </c>
      <c r="B550" s="5" t="s">
        <v>1116</v>
      </c>
      <c r="C550" s="6">
        <v>45276</v>
      </c>
      <c r="D550" s="8">
        <v>39</v>
      </c>
      <c r="E550" s="5" t="s">
        <v>36</v>
      </c>
      <c r="F550" s="5" t="s">
        <v>27</v>
      </c>
      <c r="G550" s="5" t="s">
        <v>37</v>
      </c>
      <c r="H550" s="7">
        <v>99.77</v>
      </c>
      <c r="I550" s="3">
        <v>2</v>
      </c>
      <c r="J550" s="33">
        <f>H550*I550</f>
        <v>199.54</v>
      </c>
      <c r="K550" s="4">
        <v>0</v>
      </c>
      <c r="L550" s="9">
        <f>IF(J550=0,0,K550/J550)</f>
        <v>0</v>
      </c>
      <c r="M550" s="25">
        <v>199.54</v>
      </c>
      <c r="N550" s="5" t="s">
        <v>692</v>
      </c>
      <c r="O550" s="5" t="s">
        <v>33</v>
      </c>
      <c r="P550" s="3">
        <v>16</v>
      </c>
      <c r="Q550" s="3">
        <v>9</v>
      </c>
      <c r="R550" s="5" t="b">
        <v>1</v>
      </c>
      <c r="S550" s="5" t="str">
        <f>IF(R550=TRUE,"Returning Customer","New Customer")</f>
        <v>Returning Customer</v>
      </c>
      <c r="T550" s="3">
        <v>7</v>
      </c>
      <c r="U550" s="12" t="str">
        <f>IF(T550&lt;=3,"Fast",IF(T550&lt;=7,"Standard",IF(T550&lt;=14,"Slow","Very Slow")))</f>
        <v>Standard</v>
      </c>
      <c r="V550" s="10" t="str">
        <f>IF(D550&lt;=25,"18-25",IF(D550&lt;=35,"26-35",IF(D550&lt;=45,"36-45",IF(D550&lt;=55,"46-55",IF(D550&lt;=65,"56-65","66-75")))))</f>
        <v>36-45</v>
      </c>
      <c r="W550" s="3">
        <v>5</v>
      </c>
    </row>
    <row r="551" spans="1:23">
      <c r="A551" s="5" t="s">
        <v>602</v>
      </c>
      <c r="B551" s="5" t="s">
        <v>603</v>
      </c>
      <c r="C551" s="6">
        <v>45054</v>
      </c>
      <c r="D551" s="8">
        <v>27</v>
      </c>
      <c r="E551" s="5" t="s">
        <v>36</v>
      </c>
      <c r="F551" s="5" t="s">
        <v>32</v>
      </c>
      <c r="G551" s="5" t="s">
        <v>115</v>
      </c>
      <c r="H551" s="7">
        <v>22.56</v>
      </c>
      <c r="I551" s="3">
        <v>1</v>
      </c>
      <c r="J551" s="33">
        <f>H551*I551</f>
        <v>22.56</v>
      </c>
      <c r="K551" s="4">
        <v>0</v>
      </c>
      <c r="L551" s="9">
        <f>IF(J551=0,0,K551/J551)</f>
        <v>0</v>
      </c>
      <c r="M551" s="25">
        <v>22.56</v>
      </c>
      <c r="N551" s="5" t="s">
        <v>327</v>
      </c>
      <c r="O551" s="5" t="s">
        <v>33</v>
      </c>
      <c r="P551" s="3">
        <v>14</v>
      </c>
      <c r="Q551" s="3">
        <v>5</v>
      </c>
      <c r="R551" s="5" t="b">
        <v>0</v>
      </c>
      <c r="S551" s="5" t="str">
        <f>IF(R551=TRUE,"Returning Customer","New Customer")</f>
        <v>New Customer</v>
      </c>
      <c r="T551" s="3">
        <v>7</v>
      </c>
      <c r="U551" s="12" t="str">
        <f>IF(T551&lt;=3,"Fast",IF(T551&lt;=7,"Standard",IF(T551&lt;=14,"Slow","Very Slow")))</f>
        <v>Standard</v>
      </c>
      <c r="V551" s="10" t="str">
        <f>IF(D551&lt;=25,"18-25",IF(D551&lt;=35,"26-35",IF(D551&lt;=45,"36-45",IF(D551&lt;=55,"46-55",IF(D551&lt;=65,"56-65","66-75")))))</f>
        <v>26-35</v>
      </c>
      <c r="W551" s="3">
        <v>5</v>
      </c>
    </row>
    <row r="552" spans="1:23">
      <c r="A552" s="5" t="s">
        <v>1417</v>
      </c>
      <c r="B552" s="5" t="s">
        <v>1418</v>
      </c>
      <c r="C552" s="6">
        <v>45268</v>
      </c>
      <c r="D552" s="8">
        <v>36</v>
      </c>
      <c r="E552" s="5" t="s">
        <v>20</v>
      </c>
      <c r="F552" s="5" t="s">
        <v>32</v>
      </c>
      <c r="G552" s="5" t="s">
        <v>64</v>
      </c>
      <c r="H552" s="7">
        <v>1911.31</v>
      </c>
      <c r="I552" s="3">
        <v>3</v>
      </c>
      <c r="J552" s="33">
        <f>H552*I552</f>
        <v>5733.93</v>
      </c>
      <c r="K552" s="4">
        <v>0</v>
      </c>
      <c r="L552" s="9">
        <f>IF(J552=0,0,K552/J552)</f>
        <v>0</v>
      </c>
      <c r="M552" s="25">
        <v>5733.93</v>
      </c>
      <c r="N552" s="5" t="s">
        <v>1298</v>
      </c>
      <c r="O552" s="5" t="s">
        <v>33</v>
      </c>
      <c r="P552" s="3">
        <v>5</v>
      </c>
      <c r="Q552" s="3">
        <v>8</v>
      </c>
      <c r="R552" s="5" t="b">
        <v>0</v>
      </c>
      <c r="S552" s="5" t="str">
        <f>IF(R552=TRUE,"Returning Customer","New Customer")</f>
        <v>New Customer</v>
      </c>
      <c r="T552" s="3">
        <v>2</v>
      </c>
      <c r="U552" s="12" t="str">
        <f>IF(T552&lt;=3,"Fast",IF(T552&lt;=7,"Standard",IF(T552&lt;=14,"Slow","Very Slow")))</f>
        <v>Fast</v>
      </c>
      <c r="V552" s="10" t="str">
        <f>IF(D552&lt;=25,"18-25",IF(D552&lt;=35,"26-35",IF(D552&lt;=45,"36-45",IF(D552&lt;=55,"46-55",IF(D552&lt;=65,"56-65","66-75")))))</f>
        <v>36-45</v>
      </c>
      <c r="W552" s="3">
        <v>5</v>
      </c>
    </row>
    <row r="553" spans="1:23">
      <c r="A553" s="5" t="s">
        <v>267</v>
      </c>
      <c r="B553" s="5" t="s">
        <v>268</v>
      </c>
      <c r="C553" s="6">
        <v>44979</v>
      </c>
      <c r="D553" s="8">
        <v>33</v>
      </c>
      <c r="E553" s="5" t="s">
        <v>20</v>
      </c>
      <c r="F553" s="5" t="s">
        <v>52</v>
      </c>
      <c r="G553" s="5" t="s">
        <v>64</v>
      </c>
      <c r="H553" s="7">
        <v>2717.55</v>
      </c>
      <c r="I553" s="3">
        <v>4</v>
      </c>
      <c r="J553" s="33">
        <f>H553*I553</f>
        <v>10870.2</v>
      </c>
      <c r="K553" s="4">
        <v>0</v>
      </c>
      <c r="L553" s="9">
        <f>IF(J553=0,0,K553/J553)</f>
        <v>0</v>
      </c>
      <c r="M553" s="25">
        <v>10870.2</v>
      </c>
      <c r="N553" s="5" t="s">
        <v>23</v>
      </c>
      <c r="O553" s="5" t="s">
        <v>33</v>
      </c>
      <c r="P553" s="3">
        <v>8</v>
      </c>
      <c r="Q553" s="3">
        <v>7</v>
      </c>
      <c r="R553" s="5" t="b">
        <v>1</v>
      </c>
      <c r="S553" s="5" t="str">
        <f>IF(R553=TRUE,"Returning Customer","New Customer")</f>
        <v>Returning Customer</v>
      </c>
      <c r="T553" s="3">
        <v>7</v>
      </c>
      <c r="U553" s="12" t="str">
        <f>IF(T553&lt;=3,"Fast",IF(T553&lt;=7,"Standard",IF(T553&lt;=14,"Slow","Very Slow")))</f>
        <v>Standard</v>
      </c>
      <c r="V553" s="10" t="str">
        <f>IF(D553&lt;=25,"18-25",IF(D553&lt;=35,"26-35",IF(D553&lt;=45,"36-45",IF(D553&lt;=55,"46-55",IF(D553&lt;=65,"56-65","66-75")))))</f>
        <v>26-35</v>
      </c>
      <c r="W553" s="3">
        <v>5</v>
      </c>
    </row>
    <row r="554" spans="1:23">
      <c r="A554" s="5" t="s">
        <v>1117</v>
      </c>
      <c r="B554" s="5" t="s">
        <v>1118</v>
      </c>
      <c r="C554" s="6">
        <v>45108</v>
      </c>
      <c r="D554" s="8">
        <v>49</v>
      </c>
      <c r="E554" s="5" t="s">
        <v>20</v>
      </c>
      <c r="F554" s="5" t="s">
        <v>73</v>
      </c>
      <c r="G554" s="5" t="s">
        <v>64</v>
      </c>
      <c r="H554" s="7">
        <v>489.75</v>
      </c>
      <c r="I554" s="3">
        <v>2</v>
      </c>
      <c r="J554" s="33">
        <f>H554*I554</f>
        <v>979.5</v>
      </c>
      <c r="K554" s="4">
        <v>0</v>
      </c>
      <c r="L554" s="9">
        <f>IF(J554=0,0,K554/J554)</f>
        <v>0</v>
      </c>
      <c r="M554" s="25">
        <v>979.5</v>
      </c>
      <c r="N554" s="5" t="s">
        <v>692</v>
      </c>
      <c r="O554" s="5" t="s">
        <v>24</v>
      </c>
      <c r="P554" s="3">
        <v>5</v>
      </c>
      <c r="Q554" s="3">
        <v>11</v>
      </c>
      <c r="R554" s="5" t="b">
        <v>0</v>
      </c>
      <c r="S554" s="5" t="str">
        <f>IF(R554=TRUE,"Returning Customer","New Customer")</f>
        <v>New Customer</v>
      </c>
      <c r="T554" s="3">
        <v>4</v>
      </c>
      <c r="U554" s="12" t="str">
        <f>IF(T554&lt;=3,"Fast",IF(T554&lt;=7,"Standard",IF(T554&lt;=14,"Slow","Very Slow")))</f>
        <v>Standard</v>
      </c>
      <c r="V554" s="10" t="str">
        <f>IF(D554&lt;=25,"18-25",IF(D554&lt;=35,"26-35",IF(D554&lt;=45,"36-45",IF(D554&lt;=55,"46-55",IF(D554&lt;=65,"56-65","66-75")))))</f>
        <v>46-55</v>
      </c>
      <c r="W554" s="3">
        <v>4</v>
      </c>
    </row>
    <row r="555" spans="1:23">
      <c r="A555" s="5" t="s">
        <v>1119</v>
      </c>
      <c r="B555" s="5" t="s">
        <v>1120</v>
      </c>
      <c r="C555" s="6">
        <v>45326</v>
      </c>
      <c r="D555" s="8">
        <v>38</v>
      </c>
      <c r="E555" s="5" t="s">
        <v>36</v>
      </c>
      <c r="F555" s="5" t="s">
        <v>52</v>
      </c>
      <c r="G555" s="5" t="s">
        <v>46</v>
      </c>
      <c r="H555" s="7">
        <v>292.22000000000003</v>
      </c>
      <c r="I555" s="3">
        <v>1</v>
      </c>
      <c r="J555" s="33">
        <f>H555*I555</f>
        <v>292.22000000000003</v>
      </c>
      <c r="K555" s="4">
        <v>0</v>
      </c>
      <c r="L555" s="9">
        <f>IF(J555=0,0,K555/J555)</f>
        <v>0</v>
      </c>
      <c r="M555" s="25">
        <v>292.22000000000003</v>
      </c>
      <c r="N555" s="5" t="s">
        <v>692</v>
      </c>
      <c r="O555" s="5" t="s">
        <v>24</v>
      </c>
      <c r="P555" s="3">
        <v>6</v>
      </c>
      <c r="Q555" s="3">
        <v>10</v>
      </c>
      <c r="R555" s="5" t="b">
        <v>1</v>
      </c>
      <c r="S555" s="5" t="str">
        <f>IF(R555=TRUE,"Returning Customer","New Customer")</f>
        <v>Returning Customer</v>
      </c>
      <c r="T555" s="3">
        <v>11</v>
      </c>
      <c r="U555" s="12" t="str">
        <f>IF(T555&lt;=3,"Fast",IF(T555&lt;=7,"Standard",IF(T555&lt;=14,"Slow","Very Slow")))</f>
        <v>Slow</v>
      </c>
      <c r="V555" s="10" t="str">
        <f>IF(D555&lt;=25,"18-25",IF(D555&lt;=35,"26-35",IF(D555&lt;=45,"36-45",IF(D555&lt;=55,"46-55",IF(D555&lt;=65,"56-65","66-75")))))</f>
        <v>36-45</v>
      </c>
      <c r="W555" s="3">
        <v>4</v>
      </c>
    </row>
    <row r="556" spans="1:23">
      <c r="A556" s="5" t="s">
        <v>604</v>
      </c>
      <c r="B556" s="5" t="s">
        <v>605</v>
      </c>
      <c r="C556" s="6">
        <v>45213</v>
      </c>
      <c r="D556" s="8">
        <v>39</v>
      </c>
      <c r="E556" s="5" t="s">
        <v>20</v>
      </c>
      <c r="F556" s="5" t="s">
        <v>49</v>
      </c>
      <c r="G556" s="5" t="s">
        <v>46</v>
      </c>
      <c r="H556" s="7">
        <v>791.79</v>
      </c>
      <c r="I556" s="3">
        <v>4</v>
      </c>
      <c r="J556" s="33">
        <f>H556*I556</f>
        <v>3167.16</v>
      </c>
      <c r="K556" s="4">
        <v>0</v>
      </c>
      <c r="L556" s="9">
        <f>IF(J556=0,0,K556/J556)</f>
        <v>0</v>
      </c>
      <c r="M556" s="25">
        <v>3167.16</v>
      </c>
      <c r="N556" s="5" t="s">
        <v>327</v>
      </c>
      <c r="O556" s="5" t="s">
        <v>24</v>
      </c>
      <c r="P556" s="3">
        <v>7</v>
      </c>
      <c r="Q556" s="3">
        <v>7</v>
      </c>
      <c r="R556" s="5" t="b">
        <v>1</v>
      </c>
      <c r="S556" s="5" t="str">
        <f>IF(R556=TRUE,"Returning Customer","New Customer")</f>
        <v>Returning Customer</v>
      </c>
      <c r="T556" s="3">
        <v>5</v>
      </c>
      <c r="U556" s="12" t="str">
        <f>IF(T556&lt;=3,"Fast",IF(T556&lt;=7,"Standard",IF(T556&lt;=14,"Slow","Very Slow")))</f>
        <v>Standard</v>
      </c>
      <c r="V556" s="10" t="str">
        <f>IF(D556&lt;=25,"18-25",IF(D556&lt;=35,"26-35",IF(D556&lt;=45,"36-45",IF(D556&lt;=55,"46-55",IF(D556&lt;=65,"56-65","66-75")))))</f>
        <v>36-45</v>
      </c>
      <c r="W556" s="3">
        <v>4</v>
      </c>
    </row>
    <row r="557" spans="1:23">
      <c r="A557" s="5" t="s">
        <v>606</v>
      </c>
      <c r="B557" s="5" t="s">
        <v>607</v>
      </c>
      <c r="C557" s="6">
        <v>45374</v>
      </c>
      <c r="D557" s="8">
        <v>30</v>
      </c>
      <c r="E557" s="5" t="s">
        <v>36</v>
      </c>
      <c r="F557" s="5" t="s">
        <v>32</v>
      </c>
      <c r="G557" s="5" t="s">
        <v>56</v>
      </c>
      <c r="H557" s="7">
        <v>325.14</v>
      </c>
      <c r="I557" s="3">
        <v>3</v>
      </c>
      <c r="J557" s="33">
        <f>H557*I557</f>
        <v>975.42</v>
      </c>
      <c r="K557" s="4">
        <v>0</v>
      </c>
      <c r="L557" s="9">
        <f>IF(J557=0,0,K557/J557)</f>
        <v>0</v>
      </c>
      <c r="M557" s="25">
        <v>975.42</v>
      </c>
      <c r="N557" s="5" t="s">
        <v>327</v>
      </c>
      <c r="O557" s="5" t="s">
        <v>33</v>
      </c>
      <c r="P557" s="3">
        <v>6</v>
      </c>
      <c r="Q557" s="3">
        <v>7</v>
      </c>
      <c r="R557" s="5" t="b">
        <v>0</v>
      </c>
      <c r="S557" s="5" t="str">
        <f>IF(R557=TRUE,"Returning Customer","New Customer")</f>
        <v>New Customer</v>
      </c>
      <c r="T557" s="3">
        <v>4</v>
      </c>
      <c r="U557" s="12" t="str">
        <f>IF(T557&lt;=3,"Fast",IF(T557&lt;=7,"Standard",IF(T557&lt;=14,"Slow","Very Slow")))</f>
        <v>Standard</v>
      </c>
      <c r="V557" s="10" t="str">
        <f>IF(D557&lt;=25,"18-25",IF(D557&lt;=35,"26-35",IF(D557&lt;=45,"36-45",IF(D557&lt;=55,"46-55",IF(D557&lt;=65,"56-65","66-75")))))</f>
        <v>26-35</v>
      </c>
      <c r="W557" s="3">
        <v>5</v>
      </c>
    </row>
    <row r="558" spans="1:23">
      <c r="A558" s="5" t="s">
        <v>608</v>
      </c>
      <c r="B558" s="5" t="s">
        <v>609</v>
      </c>
      <c r="C558" s="6">
        <v>45135</v>
      </c>
      <c r="D558" s="8">
        <v>29</v>
      </c>
      <c r="E558" s="5" t="s">
        <v>36</v>
      </c>
      <c r="F558" s="5" t="s">
        <v>32</v>
      </c>
      <c r="G558" s="5" t="s">
        <v>37</v>
      </c>
      <c r="H558" s="7">
        <v>64.760000000000005</v>
      </c>
      <c r="I558" s="3">
        <v>4</v>
      </c>
      <c r="J558" s="33">
        <f>H558*I558</f>
        <v>259.04000000000002</v>
      </c>
      <c r="K558" s="4">
        <v>0</v>
      </c>
      <c r="L558" s="9">
        <f>IF(J558=0,0,K558/J558)</f>
        <v>0</v>
      </c>
      <c r="M558" s="25">
        <v>259.04000000000002</v>
      </c>
      <c r="N558" s="5" t="s">
        <v>327</v>
      </c>
      <c r="O558" s="5" t="s">
        <v>33</v>
      </c>
      <c r="P558" s="3">
        <v>8</v>
      </c>
      <c r="Q558" s="3">
        <v>3</v>
      </c>
      <c r="R558" s="5" t="b">
        <v>0</v>
      </c>
      <c r="S558" s="5" t="str">
        <f>IF(R558=TRUE,"Returning Customer","New Customer")</f>
        <v>New Customer</v>
      </c>
      <c r="T558" s="3">
        <v>11</v>
      </c>
      <c r="U558" s="12" t="str">
        <f>IF(T558&lt;=3,"Fast",IF(T558&lt;=7,"Standard",IF(T558&lt;=14,"Slow","Very Slow")))</f>
        <v>Slow</v>
      </c>
      <c r="V558" s="10" t="str">
        <f>IF(D558&lt;=25,"18-25",IF(D558&lt;=35,"26-35",IF(D558&lt;=45,"36-45",IF(D558&lt;=55,"46-55",IF(D558&lt;=65,"56-65","66-75")))))</f>
        <v>26-35</v>
      </c>
      <c r="W558" s="3">
        <v>5</v>
      </c>
    </row>
    <row r="559" spans="1:23">
      <c r="A559" s="5" t="s">
        <v>1121</v>
      </c>
      <c r="B559" s="5" t="s">
        <v>1122</v>
      </c>
      <c r="C559" s="6">
        <v>45244</v>
      </c>
      <c r="D559" s="8">
        <v>29</v>
      </c>
      <c r="E559" s="5" t="s">
        <v>20</v>
      </c>
      <c r="F559" s="5" t="s">
        <v>21</v>
      </c>
      <c r="G559" s="5" t="s">
        <v>22</v>
      </c>
      <c r="H559" s="7">
        <v>164.08</v>
      </c>
      <c r="I559" s="3">
        <v>3</v>
      </c>
      <c r="J559" s="33">
        <f>H559*I559</f>
        <v>492.24</v>
      </c>
      <c r="K559" s="4">
        <v>0</v>
      </c>
      <c r="L559" s="9">
        <f>IF(J559=0,0,K559/J559)</f>
        <v>0</v>
      </c>
      <c r="M559" s="25">
        <v>492.24</v>
      </c>
      <c r="N559" s="5" t="s">
        <v>692</v>
      </c>
      <c r="O559" s="5" t="s">
        <v>33</v>
      </c>
      <c r="P559" s="3">
        <v>34</v>
      </c>
      <c r="Q559" s="3">
        <v>9</v>
      </c>
      <c r="R559" s="5" t="b">
        <v>0</v>
      </c>
      <c r="S559" s="5" t="str">
        <f>IF(R559=TRUE,"Returning Customer","New Customer")</f>
        <v>New Customer</v>
      </c>
      <c r="T559" s="3">
        <v>3</v>
      </c>
      <c r="U559" s="12" t="str">
        <f>IF(T559&lt;=3,"Fast",IF(T559&lt;=7,"Standard",IF(T559&lt;=14,"Slow","Very Slow")))</f>
        <v>Fast</v>
      </c>
      <c r="V559" s="10" t="str">
        <f>IF(D559&lt;=25,"18-25",IF(D559&lt;=35,"26-35",IF(D559&lt;=45,"36-45",IF(D559&lt;=55,"46-55",IF(D559&lt;=65,"56-65","66-75")))))</f>
        <v>26-35</v>
      </c>
      <c r="W559" s="3">
        <v>4</v>
      </c>
    </row>
    <row r="560" spans="1:23">
      <c r="A560" s="5" t="s">
        <v>269</v>
      </c>
      <c r="B560" s="5" t="s">
        <v>270</v>
      </c>
      <c r="C560" s="6">
        <v>45310</v>
      </c>
      <c r="D560" s="8">
        <v>39</v>
      </c>
      <c r="E560" s="5" t="s">
        <v>36</v>
      </c>
      <c r="F560" s="5" t="s">
        <v>52</v>
      </c>
      <c r="G560" s="5" t="s">
        <v>46</v>
      </c>
      <c r="H560" s="7">
        <v>598.76</v>
      </c>
      <c r="I560" s="3">
        <v>1</v>
      </c>
      <c r="J560" s="33">
        <f>H560*I560</f>
        <v>598.76</v>
      </c>
      <c r="K560" s="4">
        <v>0</v>
      </c>
      <c r="L560" s="9">
        <f>IF(J560=0,0,K560/J560)</f>
        <v>0</v>
      </c>
      <c r="M560" s="25">
        <v>598.76</v>
      </c>
      <c r="N560" s="5" t="s">
        <v>23</v>
      </c>
      <c r="O560" s="5" t="s">
        <v>33</v>
      </c>
      <c r="P560" s="3">
        <v>14</v>
      </c>
      <c r="Q560" s="3">
        <v>7</v>
      </c>
      <c r="R560" s="5" t="b">
        <v>0</v>
      </c>
      <c r="S560" s="5" t="str">
        <f>IF(R560=TRUE,"Returning Customer","New Customer")</f>
        <v>New Customer</v>
      </c>
      <c r="T560" s="3">
        <v>9</v>
      </c>
      <c r="U560" s="12" t="str">
        <f>IF(T560&lt;=3,"Fast",IF(T560&lt;=7,"Standard",IF(T560&lt;=14,"Slow","Very Slow")))</f>
        <v>Slow</v>
      </c>
      <c r="V560" s="10" t="str">
        <f>IF(D560&lt;=25,"18-25",IF(D560&lt;=35,"26-35",IF(D560&lt;=45,"36-45",IF(D560&lt;=55,"46-55",IF(D560&lt;=65,"56-65","66-75")))))</f>
        <v>36-45</v>
      </c>
      <c r="W560" s="3">
        <v>5</v>
      </c>
    </row>
    <row r="561" spans="1:23">
      <c r="A561" s="5" t="s">
        <v>1123</v>
      </c>
      <c r="B561" s="5" t="s">
        <v>1124</v>
      </c>
      <c r="C561" s="6">
        <v>45006</v>
      </c>
      <c r="D561" s="8">
        <v>29</v>
      </c>
      <c r="E561" s="5" t="s">
        <v>36</v>
      </c>
      <c r="F561" s="5" t="s">
        <v>52</v>
      </c>
      <c r="G561" s="5" t="s">
        <v>115</v>
      </c>
      <c r="H561" s="7">
        <v>120.51</v>
      </c>
      <c r="I561" s="3">
        <v>1</v>
      </c>
      <c r="J561" s="33">
        <f>H561*I561</f>
        <v>120.51</v>
      </c>
      <c r="K561" s="4">
        <v>0</v>
      </c>
      <c r="L561" s="9">
        <f>IF(J561=0,0,K561/J561)</f>
        <v>0</v>
      </c>
      <c r="M561" s="25">
        <v>120.51</v>
      </c>
      <c r="N561" s="5" t="s">
        <v>692</v>
      </c>
      <c r="O561" s="5" t="s">
        <v>24</v>
      </c>
      <c r="P561" s="3">
        <v>11</v>
      </c>
      <c r="Q561" s="3">
        <v>13</v>
      </c>
      <c r="R561" s="5" t="b">
        <v>0</v>
      </c>
      <c r="S561" s="5" t="str">
        <f>IF(R561=TRUE,"Returning Customer","New Customer")</f>
        <v>New Customer</v>
      </c>
      <c r="T561" s="3">
        <v>8</v>
      </c>
      <c r="U561" s="12" t="str">
        <f>IF(T561&lt;=3,"Fast",IF(T561&lt;=7,"Standard",IF(T561&lt;=14,"Slow","Very Slow")))</f>
        <v>Slow</v>
      </c>
      <c r="V561" s="10" t="str">
        <f>IF(D561&lt;=25,"18-25",IF(D561&lt;=35,"26-35",IF(D561&lt;=45,"36-45",IF(D561&lt;=55,"46-55",IF(D561&lt;=65,"56-65","66-75")))))</f>
        <v>26-35</v>
      </c>
      <c r="W561" s="3">
        <v>5</v>
      </c>
    </row>
    <row r="562" spans="1:23">
      <c r="A562" s="5" t="s">
        <v>610</v>
      </c>
      <c r="B562" s="5" t="s">
        <v>611</v>
      </c>
      <c r="C562" s="6">
        <v>45048</v>
      </c>
      <c r="D562" s="8">
        <v>38</v>
      </c>
      <c r="E562" s="5" t="s">
        <v>36</v>
      </c>
      <c r="F562" s="5" t="s">
        <v>32</v>
      </c>
      <c r="G562" s="5" t="s">
        <v>53</v>
      </c>
      <c r="H562" s="7">
        <v>124.09</v>
      </c>
      <c r="I562" s="3">
        <v>5</v>
      </c>
      <c r="J562" s="33">
        <f>H562*I562</f>
        <v>620.45000000000005</v>
      </c>
      <c r="K562" s="4">
        <v>13.36</v>
      </c>
      <c r="L562" s="9">
        <f>IF(J562=0,0,K562/J562)</f>
        <v>2.1532758481747117E-2</v>
      </c>
      <c r="M562" s="25">
        <v>607.09</v>
      </c>
      <c r="N562" s="5" t="s">
        <v>327</v>
      </c>
      <c r="O562" s="5" t="s">
        <v>33</v>
      </c>
      <c r="P562" s="3">
        <v>18</v>
      </c>
      <c r="Q562" s="3">
        <v>7</v>
      </c>
      <c r="R562" s="5" t="b">
        <v>0</v>
      </c>
      <c r="S562" s="5" t="str">
        <f>IF(R562=TRUE,"Returning Customer","New Customer")</f>
        <v>New Customer</v>
      </c>
      <c r="T562" s="3">
        <v>11</v>
      </c>
      <c r="U562" s="12" t="str">
        <f>IF(T562&lt;=3,"Fast",IF(T562&lt;=7,"Standard",IF(T562&lt;=14,"Slow","Very Slow")))</f>
        <v>Slow</v>
      </c>
      <c r="V562" s="10" t="str">
        <f>IF(D562&lt;=25,"18-25",IF(D562&lt;=35,"26-35",IF(D562&lt;=45,"36-45",IF(D562&lt;=55,"46-55",IF(D562&lt;=65,"56-65","66-75")))))</f>
        <v>36-45</v>
      </c>
      <c r="W562" s="3">
        <v>3</v>
      </c>
    </row>
    <row r="563" spans="1:23">
      <c r="A563" s="5" t="s">
        <v>612</v>
      </c>
      <c r="B563" s="5" t="s">
        <v>613</v>
      </c>
      <c r="C563" s="6">
        <v>45369</v>
      </c>
      <c r="D563" s="8">
        <v>59</v>
      </c>
      <c r="E563" s="5" t="s">
        <v>20</v>
      </c>
      <c r="F563" s="5" t="s">
        <v>88</v>
      </c>
      <c r="G563" s="5" t="s">
        <v>46</v>
      </c>
      <c r="H563" s="7">
        <v>854.83</v>
      </c>
      <c r="I563" s="3">
        <v>3</v>
      </c>
      <c r="J563" s="33">
        <f>H563*I563</f>
        <v>2564.4900000000002</v>
      </c>
      <c r="K563" s="4">
        <v>0</v>
      </c>
      <c r="L563" s="9">
        <f>IF(J563=0,0,K563/J563)</f>
        <v>0</v>
      </c>
      <c r="M563" s="25">
        <v>2564.4899999999998</v>
      </c>
      <c r="N563" s="5" t="s">
        <v>327</v>
      </c>
      <c r="O563" s="5" t="s">
        <v>33</v>
      </c>
      <c r="P563" s="3">
        <v>3</v>
      </c>
      <c r="Q563" s="3">
        <v>8</v>
      </c>
      <c r="R563" s="5" t="b">
        <v>1</v>
      </c>
      <c r="S563" s="5" t="str">
        <f>IF(R563=TRUE,"Returning Customer","New Customer")</f>
        <v>Returning Customer</v>
      </c>
      <c r="T563" s="3">
        <v>8</v>
      </c>
      <c r="U563" s="12" t="str">
        <f>IF(T563&lt;=3,"Fast",IF(T563&lt;=7,"Standard",IF(T563&lt;=14,"Slow","Very Slow")))</f>
        <v>Slow</v>
      </c>
      <c r="V563" s="10" t="str">
        <f>IF(D563&lt;=25,"18-25",IF(D563&lt;=35,"26-35",IF(D563&lt;=45,"36-45",IF(D563&lt;=55,"46-55",IF(D563&lt;=65,"56-65","66-75")))))</f>
        <v>56-65</v>
      </c>
      <c r="W563" s="3">
        <v>4</v>
      </c>
    </row>
    <row r="564" spans="1:23">
      <c r="A564" s="5" t="s">
        <v>1125</v>
      </c>
      <c r="B564" s="5" t="s">
        <v>1126</v>
      </c>
      <c r="C564" s="6">
        <v>45010</v>
      </c>
      <c r="D564" s="8">
        <v>45</v>
      </c>
      <c r="E564" s="5" t="s">
        <v>20</v>
      </c>
      <c r="F564" s="5" t="s">
        <v>49</v>
      </c>
      <c r="G564" s="5" t="s">
        <v>64</v>
      </c>
      <c r="H564" s="7">
        <v>1407.18</v>
      </c>
      <c r="I564" s="3">
        <v>1</v>
      </c>
      <c r="J564" s="33">
        <f>H564*I564</f>
        <v>1407.18</v>
      </c>
      <c r="K564" s="4">
        <v>0</v>
      </c>
      <c r="L564" s="9">
        <f>IF(J564=0,0,K564/J564)</f>
        <v>0</v>
      </c>
      <c r="M564" s="25">
        <v>1407.18</v>
      </c>
      <c r="N564" s="5" t="s">
        <v>692</v>
      </c>
      <c r="O564" s="5" t="s">
        <v>33</v>
      </c>
      <c r="P564" s="3">
        <v>13</v>
      </c>
      <c r="Q564" s="3">
        <v>7</v>
      </c>
      <c r="R564" s="5" t="b">
        <v>1</v>
      </c>
      <c r="S564" s="5" t="str">
        <f>IF(R564=TRUE,"Returning Customer","New Customer")</f>
        <v>Returning Customer</v>
      </c>
      <c r="T564" s="3">
        <v>10</v>
      </c>
      <c r="U564" s="12" t="str">
        <f>IF(T564&lt;=3,"Fast",IF(T564&lt;=7,"Standard",IF(T564&lt;=14,"Slow","Very Slow")))</f>
        <v>Slow</v>
      </c>
      <c r="V564" s="10" t="str">
        <f>IF(D564&lt;=25,"18-25",IF(D564&lt;=35,"26-35",IF(D564&lt;=45,"36-45",IF(D564&lt;=55,"46-55",IF(D564&lt;=65,"56-65","66-75")))))</f>
        <v>36-45</v>
      </c>
      <c r="W564" s="3">
        <v>4</v>
      </c>
    </row>
    <row r="565" spans="1:23">
      <c r="A565" s="5" t="s">
        <v>271</v>
      </c>
      <c r="B565" s="5" t="s">
        <v>272</v>
      </c>
      <c r="C565" s="6">
        <v>45336</v>
      </c>
      <c r="D565" s="8">
        <v>31</v>
      </c>
      <c r="E565" s="5" t="s">
        <v>20</v>
      </c>
      <c r="F565" s="5" t="s">
        <v>32</v>
      </c>
      <c r="G565" s="5" t="s">
        <v>115</v>
      </c>
      <c r="H565" s="7">
        <v>90.82</v>
      </c>
      <c r="I565" s="3">
        <v>1</v>
      </c>
      <c r="J565" s="33">
        <f>H565*I565</f>
        <v>90.82</v>
      </c>
      <c r="K565" s="4">
        <v>0</v>
      </c>
      <c r="L565" s="9">
        <f>IF(J565=0,0,K565/J565)</f>
        <v>0</v>
      </c>
      <c r="M565" s="25">
        <v>90.82</v>
      </c>
      <c r="N565" s="5" t="s">
        <v>23</v>
      </c>
      <c r="O565" s="5" t="s">
        <v>33</v>
      </c>
      <c r="P565" s="3">
        <v>19</v>
      </c>
      <c r="Q565" s="3">
        <v>8</v>
      </c>
      <c r="R565" s="5" t="b">
        <v>1</v>
      </c>
      <c r="S565" s="5" t="str">
        <f>IF(R565=TRUE,"Returning Customer","New Customer")</f>
        <v>Returning Customer</v>
      </c>
      <c r="T565" s="3">
        <v>6</v>
      </c>
      <c r="U565" s="12" t="str">
        <f>IF(T565&lt;=3,"Fast",IF(T565&lt;=7,"Standard",IF(T565&lt;=14,"Slow","Very Slow")))</f>
        <v>Standard</v>
      </c>
      <c r="V565" s="10" t="str">
        <f>IF(D565&lt;=25,"18-25",IF(D565&lt;=35,"26-35",IF(D565&lt;=45,"36-45",IF(D565&lt;=55,"46-55",IF(D565&lt;=65,"56-65","66-75")))))</f>
        <v>26-35</v>
      </c>
      <c r="W565" s="3">
        <v>5</v>
      </c>
    </row>
    <row r="566" spans="1:23">
      <c r="A566" s="5" t="s">
        <v>614</v>
      </c>
      <c r="B566" s="5" t="s">
        <v>615</v>
      </c>
      <c r="C566" s="6">
        <v>45342</v>
      </c>
      <c r="D566" s="8">
        <v>49</v>
      </c>
      <c r="E566" s="5" t="s">
        <v>20</v>
      </c>
      <c r="F566" s="5" t="s">
        <v>32</v>
      </c>
      <c r="G566" s="5" t="s">
        <v>22</v>
      </c>
      <c r="H566" s="7">
        <v>84.47</v>
      </c>
      <c r="I566" s="3">
        <v>1</v>
      </c>
      <c r="J566" s="33">
        <f>H566*I566</f>
        <v>84.47</v>
      </c>
      <c r="K566" s="4">
        <v>15.05</v>
      </c>
      <c r="L566" s="9">
        <f>IF(J566=0,0,K566/J566)</f>
        <v>0.17816976441340121</v>
      </c>
      <c r="M566" s="25">
        <v>69.42</v>
      </c>
      <c r="N566" s="5" t="s">
        <v>327</v>
      </c>
      <c r="O566" s="5" t="s">
        <v>33</v>
      </c>
      <c r="P566" s="3">
        <v>32</v>
      </c>
      <c r="Q566" s="3">
        <v>7</v>
      </c>
      <c r="R566" s="5" t="b">
        <v>0</v>
      </c>
      <c r="S566" s="5" t="str">
        <f>IF(R566=TRUE,"Returning Customer","New Customer")</f>
        <v>New Customer</v>
      </c>
      <c r="T566" s="3">
        <v>13</v>
      </c>
      <c r="U566" s="12" t="str">
        <f>IF(T566&lt;=3,"Fast",IF(T566&lt;=7,"Standard",IF(T566&lt;=14,"Slow","Very Slow")))</f>
        <v>Slow</v>
      </c>
      <c r="V566" s="10" t="str">
        <f>IF(D566&lt;=25,"18-25",IF(D566&lt;=35,"26-35",IF(D566&lt;=45,"36-45",IF(D566&lt;=55,"46-55",IF(D566&lt;=65,"56-65","66-75")))))</f>
        <v>46-55</v>
      </c>
      <c r="W566" s="3">
        <v>4</v>
      </c>
    </row>
    <row r="567" spans="1:23">
      <c r="A567" s="5" t="s">
        <v>616</v>
      </c>
      <c r="B567" s="5" t="s">
        <v>617</v>
      </c>
      <c r="C567" s="6">
        <v>45017</v>
      </c>
      <c r="D567" s="8">
        <v>30</v>
      </c>
      <c r="E567" s="5" t="s">
        <v>20</v>
      </c>
      <c r="F567" s="5" t="s">
        <v>83</v>
      </c>
      <c r="G567" s="5" t="s">
        <v>56</v>
      </c>
      <c r="H567" s="7">
        <v>2182.37</v>
      </c>
      <c r="I567" s="3">
        <v>2</v>
      </c>
      <c r="J567" s="33">
        <f>H567*I567</f>
        <v>4364.74</v>
      </c>
      <c r="K567" s="4">
        <v>0</v>
      </c>
      <c r="L567" s="9">
        <f>IF(J567=0,0,K567/J567)</f>
        <v>0</v>
      </c>
      <c r="M567" s="25">
        <v>4364.74</v>
      </c>
      <c r="N567" s="5" t="s">
        <v>327</v>
      </c>
      <c r="O567" s="5" t="s">
        <v>29</v>
      </c>
      <c r="P567" s="3">
        <v>13</v>
      </c>
      <c r="Q567" s="3">
        <v>9</v>
      </c>
      <c r="R567" s="5" t="b">
        <v>1</v>
      </c>
      <c r="S567" s="5" t="str">
        <f>IF(R567=TRUE,"Returning Customer","New Customer")</f>
        <v>Returning Customer</v>
      </c>
      <c r="T567" s="3">
        <v>5</v>
      </c>
      <c r="U567" s="12" t="str">
        <f>IF(T567&lt;=3,"Fast",IF(T567&lt;=7,"Standard",IF(T567&lt;=14,"Slow","Very Slow")))</f>
        <v>Standard</v>
      </c>
      <c r="V567" s="10" t="str">
        <f>IF(D567&lt;=25,"18-25",IF(D567&lt;=35,"26-35",IF(D567&lt;=45,"36-45",IF(D567&lt;=55,"46-55",IF(D567&lt;=65,"56-65","66-75")))))</f>
        <v>26-35</v>
      </c>
      <c r="W567" s="3">
        <v>5</v>
      </c>
    </row>
    <row r="568" spans="1:23">
      <c r="A568" s="5" t="s">
        <v>618</v>
      </c>
      <c r="B568" s="5" t="s">
        <v>619</v>
      </c>
      <c r="C568" s="6">
        <v>45138</v>
      </c>
      <c r="D568" s="8">
        <v>18</v>
      </c>
      <c r="E568" s="5" t="s">
        <v>20</v>
      </c>
      <c r="F568" s="5" t="s">
        <v>49</v>
      </c>
      <c r="G568" s="5" t="s">
        <v>46</v>
      </c>
      <c r="H568" s="7">
        <v>227.16</v>
      </c>
      <c r="I568" s="3">
        <v>1</v>
      </c>
      <c r="J568" s="33">
        <f>H568*I568</f>
        <v>227.16</v>
      </c>
      <c r="K568" s="4">
        <v>0</v>
      </c>
      <c r="L568" s="9">
        <f>IF(J568=0,0,K568/J568)</f>
        <v>0</v>
      </c>
      <c r="M568" s="25">
        <v>227.16</v>
      </c>
      <c r="N568" s="5" t="s">
        <v>327</v>
      </c>
      <c r="O568" s="5" t="s">
        <v>33</v>
      </c>
      <c r="P568" s="3">
        <v>9</v>
      </c>
      <c r="Q568" s="3">
        <v>6</v>
      </c>
      <c r="R568" s="5" t="b">
        <v>0</v>
      </c>
      <c r="S568" s="5" t="str">
        <f>IF(R568=TRUE,"Returning Customer","New Customer")</f>
        <v>New Customer</v>
      </c>
      <c r="T568" s="3">
        <v>3</v>
      </c>
      <c r="U568" s="12" t="str">
        <f>IF(T568&lt;=3,"Fast",IF(T568&lt;=7,"Standard",IF(T568&lt;=14,"Slow","Very Slow")))</f>
        <v>Fast</v>
      </c>
      <c r="V568" s="10" t="str">
        <f>IF(D568&lt;=25,"18-25",IF(D568&lt;=35,"26-35",IF(D568&lt;=45,"36-45",IF(D568&lt;=55,"46-55",IF(D568&lt;=65,"56-65","66-75")))))</f>
        <v>18-25</v>
      </c>
      <c r="W568" s="3">
        <v>4</v>
      </c>
    </row>
    <row r="569" spans="1:23">
      <c r="A569" s="5" t="s">
        <v>1419</v>
      </c>
      <c r="B569" s="5" t="s">
        <v>1420</v>
      </c>
      <c r="C569" s="6">
        <v>44939</v>
      </c>
      <c r="D569" s="8">
        <v>22</v>
      </c>
      <c r="E569" s="5" t="s">
        <v>36</v>
      </c>
      <c r="F569" s="5" t="s">
        <v>21</v>
      </c>
      <c r="G569" s="5" t="s">
        <v>64</v>
      </c>
      <c r="H569" s="7">
        <v>2111.5700000000002</v>
      </c>
      <c r="I569" s="3">
        <v>3</v>
      </c>
      <c r="J569" s="33">
        <f>H569*I569</f>
        <v>6334.7100000000009</v>
      </c>
      <c r="K569" s="4">
        <v>0</v>
      </c>
      <c r="L569" s="9">
        <f>IF(J569=0,0,K569/J569)</f>
        <v>0</v>
      </c>
      <c r="M569" s="25">
        <v>6334.71</v>
      </c>
      <c r="N569" s="5" t="s">
        <v>1298</v>
      </c>
      <c r="O569" s="5" t="s">
        <v>29</v>
      </c>
      <c r="P569" s="3">
        <v>6</v>
      </c>
      <c r="Q569" s="3">
        <v>7</v>
      </c>
      <c r="R569" s="5" t="b">
        <v>0</v>
      </c>
      <c r="S569" s="5" t="str">
        <f>IF(R569=TRUE,"Returning Customer","New Customer")</f>
        <v>New Customer</v>
      </c>
      <c r="T569" s="3">
        <v>3</v>
      </c>
      <c r="U569" s="12" t="str">
        <f>IF(T569&lt;=3,"Fast",IF(T569&lt;=7,"Standard",IF(T569&lt;=14,"Slow","Very Slow")))</f>
        <v>Fast</v>
      </c>
      <c r="V569" s="10" t="str">
        <f>IF(D569&lt;=25,"18-25",IF(D569&lt;=35,"26-35",IF(D569&lt;=45,"36-45",IF(D569&lt;=55,"46-55",IF(D569&lt;=65,"56-65","66-75")))))</f>
        <v>18-25</v>
      </c>
      <c r="W569" s="3">
        <v>2</v>
      </c>
    </row>
    <row r="570" spans="1:23">
      <c r="A570" s="5" t="s">
        <v>273</v>
      </c>
      <c r="B570" s="5" t="s">
        <v>274</v>
      </c>
      <c r="C570" s="6">
        <v>45018</v>
      </c>
      <c r="D570" s="8">
        <v>18</v>
      </c>
      <c r="E570" s="5" t="s">
        <v>20</v>
      </c>
      <c r="F570" s="5" t="s">
        <v>27</v>
      </c>
      <c r="G570" s="5" t="s">
        <v>28</v>
      </c>
      <c r="H570" s="7">
        <v>161.71</v>
      </c>
      <c r="I570" s="3">
        <v>4</v>
      </c>
      <c r="J570" s="33">
        <f>H570*I570</f>
        <v>646.84</v>
      </c>
      <c r="K570" s="4">
        <v>0</v>
      </c>
      <c r="L570" s="9">
        <f>IF(J570=0,0,K570/J570)</f>
        <v>0</v>
      </c>
      <c r="M570" s="25">
        <v>646.84</v>
      </c>
      <c r="N570" s="5" t="s">
        <v>23</v>
      </c>
      <c r="O570" s="5" t="s">
        <v>33</v>
      </c>
      <c r="P570" s="3">
        <v>13</v>
      </c>
      <c r="Q570" s="3">
        <v>8</v>
      </c>
      <c r="R570" s="5" t="b">
        <v>0</v>
      </c>
      <c r="S570" s="5" t="str">
        <f>IF(R570=TRUE,"Returning Customer","New Customer")</f>
        <v>New Customer</v>
      </c>
      <c r="T570" s="3">
        <v>2</v>
      </c>
      <c r="U570" s="12" t="str">
        <f>IF(T570&lt;=3,"Fast",IF(T570&lt;=7,"Standard",IF(T570&lt;=14,"Slow","Very Slow")))</f>
        <v>Fast</v>
      </c>
      <c r="V570" s="10" t="str">
        <f>IF(D570&lt;=25,"18-25",IF(D570&lt;=35,"26-35",IF(D570&lt;=45,"36-45",IF(D570&lt;=55,"46-55",IF(D570&lt;=65,"56-65","66-75")))))</f>
        <v>18-25</v>
      </c>
      <c r="W570" s="3">
        <v>2</v>
      </c>
    </row>
    <row r="571" spans="1:23">
      <c r="A571" s="5" t="s">
        <v>1127</v>
      </c>
      <c r="B571" s="5" t="s">
        <v>1128</v>
      </c>
      <c r="C571" s="6">
        <v>45304</v>
      </c>
      <c r="D571" s="8">
        <v>30</v>
      </c>
      <c r="E571" s="5" t="s">
        <v>20</v>
      </c>
      <c r="F571" s="5" t="s">
        <v>27</v>
      </c>
      <c r="G571" s="5" t="s">
        <v>53</v>
      </c>
      <c r="H571" s="7">
        <v>20.37</v>
      </c>
      <c r="I571" s="3">
        <v>2</v>
      </c>
      <c r="J571" s="33">
        <f>H571*I571</f>
        <v>40.74</v>
      </c>
      <c r="K571" s="4">
        <v>3.95</v>
      </c>
      <c r="L571" s="9">
        <f>IF(J571=0,0,K571/J571)</f>
        <v>9.6956308296514485E-2</v>
      </c>
      <c r="M571" s="25">
        <v>36.79</v>
      </c>
      <c r="N571" s="5" t="s">
        <v>692</v>
      </c>
      <c r="O571" s="5" t="s">
        <v>24</v>
      </c>
      <c r="P571" s="3">
        <v>9</v>
      </c>
      <c r="Q571" s="3">
        <v>10</v>
      </c>
      <c r="R571" s="5" t="b">
        <v>1</v>
      </c>
      <c r="S571" s="5" t="str">
        <f>IF(R571=TRUE,"Returning Customer","New Customer")</f>
        <v>Returning Customer</v>
      </c>
      <c r="T571" s="3">
        <v>14</v>
      </c>
      <c r="U571" s="12" t="str">
        <f>IF(T571&lt;=3,"Fast",IF(T571&lt;=7,"Standard",IF(T571&lt;=14,"Slow","Very Slow")))</f>
        <v>Slow</v>
      </c>
      <c r="V571" s="10" t="str">
        <f>IF(D571&lt;=25,"18-25",IF(D571&lt;=35,"26-35",IF(D571&lt;=45,"36-45",IF(D571&lt;=55,"46-55",IF(D571&lt;=65,"56-65","66-75")))))</f>
        <v>26-35</v>
      </c>
      <c r="W571" s="3">
        <v>2</v>
      </c>
    </row>
    <row r="572" spans="1:23">
      <c r="A572" s="5" t="s">
        <v>1129</v>
      </c>
      <c r="B572" s="5" t="s">
        <v>1130</v>
      </c>
      <c r="C572" s="6">
        <v>45097</v>
      </c>
      <c r="D572" s="8">
        <v>35</v>
      </c>
      <c r="E572" s="5" t="s">
        <v>20</v>
      </c>
      <c r="F572" s="5" t="s">
        <v>27</v>
      </c>
      <c r="G572" s="5" t="s">
        <v>53</v>
      </c>
      <c r="H572" s="7">
        <v>29.29</v>
      </c>
      <c r="I572" s="3">
        <v>2</v>
      </c>
      <c r="J572" s="33">
        <f>H572*I572</f>
        <v>58.58</v>
      </c>
      <c r="K572" s="4">
        <v>0</v>
      </c>
      <c r="L572" s="9">
        <f>IF(J572=0,0,K572/J572)</f>
        <v>0</v>
      </c>
      <c r="M572" s="25">
        <v>58.58</v>
      </c>
      <c r="N572" s="5" t="s">
        <v>692</v>
      </c>
      <c r="O572" s="5" t="s">
        <v>33</v>
      </c>
      <c r="P572" s="3">
        <v>10</v>
      </c>
      <c r="Q572" s="3">
        <v>10</v>
      </c>
      <c r="R572" s="5" t="b">
        <v>0</v>
      </c>
      <c r="S572" s="5" t="str">
        <f>IF(R572=TRUE,"Returning Customer","New Customer")</f>
        <v>New Customer</v>
      </c>
      <c r="T572" s="3">
        <v>6</v>
      </c>
      <c r="U572" s="12" t="str">
        <f>IF(T572&lt;=3,"Fast",IF(T572&lt;=7,"Standard",IF(T572&lt;=14,"Slow","Very Slow")))</f>
        <v>Standard</v>
      </c>
      <c r="V572" s="10" t="str">
        <f>IF(D572&lt;=25,"18-25",IF(D572&lt;=35,"26-35",IF(D572&lt;=45,"36-45",IF(D572&lt;=55,"46-55",IF(D572&lt;=65,"56-65","66-75")))))</f>
        <v>26-35</v>
      </c>
      <c r="W572" s="3">
        <v>1</v>
      </c>
    </row>
    <row r="573" spans="1:23">
      <c r="A573" s="5" t="s">
        <v>1131</v>
      </c>
      <c r="B573" s="5" t="s">
        <v>1132</v>
      </c>
      <c r="C573" s="6">
        <v>45327</v>
      </c>
      <c r="D573" s="8">
        <v>55</v>
      </c>
      <c r="E573" s="5" t="s">
        <v>36</v>
      </c>
      <c r="F573" s="5" t="s">
        <v>21</v>
      </c>
      <c r="G573" s="5" t="s">
        <v>28</v>
      </c>
      <c r="H573" s="7">
        <v>313.64</v>
      </c>
      <c r="I573" s="3">
        <v>1</v>
      </c>
      <c r="J573" s="33">
        <f>H573*I573</f>
        <v>313.64</v>
      </c>
      <c r="K573" s="4">
        <v>89.14</v>
      </c>
      <c r="L573" s="9">
        <f>IF(J573=0,0,K573/J573)</f>
        <v>0.28421119755133273</v>
      </c>
      <c r="M573" s="25">
        <v>224.5</v>
      </c>
      <c r="N573" s="5" t="s">
        <v>692</v>
      </c>
      <c r="O573" s="5" t="s">
        <v>33</v>
      </c>
      <c r="P573" s="3">
        <v>14</v>
      </c>
      <c r="Q573" s="3">
        <v>10</v>
      </c>
      <c r="R573" s="5" t="b">
        <v>1</v>
      </c>
      <c r="S573" s="5" t="str">
        <f>IF(R573=TRUE,"Returning Customer","New Customer")</f>
        <v>Returning Customer</v>
      </c>
      <c r="T573" s="3">
        <v>2</v>
      </c>
      <c r="U573" s="12" t="str">
        <f>IF(T573&lt;=3,"Fast",IF(T573&lt;=7,"Standard",IF(T573&lt;=14,"Slow","Very Slow")))</f>
        <v>Fast</v>
      </c>
      <c r="V573" s="10" t="str">
        <f>IF(D573&lt;=25,"18-25",IF(D573&lt;=35,"26-35",IF(D573&lt;=45,"36-45",IF(D573&lt;=55,"46-55",IF(D573&lt;=65,"56-65","66-75")))))</f>
        <v>46-55</v>
      </c>
      <c r="W573" s="3">
        <v>4</v>
      </c>
    </row>
    <row r="574" spans="1:23">
      <c r="A574" s="5" t="s">
        <v>1133</v>
      </c>
      <c r="B574" s="5" t="s">
        <v>1134</v>
      </c>
      <c r="C574" s="6">
        <v>45137</v>
      </c>
      <c r="D574" s="8">
        <v>38</v>
      </c>
      <c r="E574" s="5" t="s">
        <v>36</v>
      </c>
      <c r="F574" s="5" t="s">
        <v>21</v>
      </c>
      <c r="G574" s="5" t="s">
        <v>56</v>
      </c>
      <c r="H574" s="7">
        <v>516.20000000000005</v>
      </c>
      <c r="I574" s="3">
        <v>5</v>
      </c>
      <c r="J574" s="33">
        <f>H574*I574</f>
        <v>2581</v>
      </c>
      <c r="K574" s="4">
        <v>0</v>
      </c>
      <c r="L574" s="9">
        <f>IF(J574=0,0,K574/J574)</f>
        <v>0</v>
      </c>
      <c r="M574" s="25">
        <v>2581</v>
      </c>
      <c r="N574" s="5" t="s">
        <v>692</v>
      </c>
      <c r="O574" s="5" t="s">
        <v>33</v>
      </c>
      <c r="P574" s="3">
        <v>9</v>
      </c>
      <c r="Q574" s="3">
        <v>9</v>
      </c>
      <c r="R574" s="5" t="b">
        <v>1</v>
      </c>
      <c r="S574" s="5" t="str">
        <f>IF(R574=TRUE,"Returning Customer","New Customer")</f>
        <v>Returning Customer</v>
      </c>
      <c r="T574" s="3">
        <v>8</v>
      </c>
      <c r="U574" s="12" t="str">
        <f>IF(T574&lt;=3,"Fast",IF(T574&lt;=7,"Standard",IF(T574&lt;=14,"Slow","Very Slow")))</f>
        <v>Slow</v>
      </c>
      <c r="V574" s="10" t="str">
        <f>IF(D574&lt;=25,"18-25",IF(D574&lt;=35,"26-35",IF(D574&lt;=45,"36-45",IF(D574&lt;=55,"46-55",IF(D574&lt;=65,"56-65","66-75")))))</f>
        <v>36-45</v>
      </c>
      <c r="W574" s="3">
        <v>5</v>
      </c>
    </row>
    <row r="575" spans="1:23">
      <c r="A575" s="5" t="s">
        <v>1282</v>
      </c>
      <c r="B575" s="5" t="s">
        <v>1283</v>
      </c>
      <c r="C575" s="6">
        <v>45337</v>
      </c>
      <c r="D575" s="8">
        <v>32</v>
      </c>
      <c r="E575" s="5" t="s">
        <v>36</v>
      </c>
      <c r="F575" s="5" t="s">
        <v>32</v>
      </c>
      <c r="G575" s="5" t="s">
        <v>56</v>
      </c>
      <c r="H575" s="7">
        <v>261</v>
      </c>
      <c r="I575" s="3">
        <v>4</v>
      </c>
      <c r="J575" s="33">
        <f>H575*I575</f>
        <v>1044</v>
      </c>
      <c r="K575" s="4">
        <v>0</v>
      </c>
      <c r="L575" s="9">
        <f>IF(J575=0,0,K575/J575)</f>
        <v>0</v>
      </c>
      <c r="M575" s="25">
        <v>1044</v>
      </c>
      <c r="N575" s="5" t="s">
        <v>1231</v>
      </c>
      <c r="O575" s="5" t="s">
        <v>33</v>
      </c>
      <c r="P575" s="3">
        <v>5</v>
      </c>
      <c r="Q575" s="3">
        <v>9</v>
      </c>
      <c r="R575" s="5" t="b">
        <v>0</v>
      </c>
      <c r="S575" s="5" t="str">
        <f>IF(R575=TRUE,"Returning Customer","New Customer")</f>
        <v>New Customer</v>
      </c>
      <c r="T575" s="3">
        <v>5</v>
      </c>
      <c r="U575" s="12" t="str">
        <f>IF(T575&lt;=3,"Fast",IF(T575&lt;=7,"Standard",IF(T575&lt;=14,"Slow","Very Slow")))</f>
        <v>Standard</v>
      </c>
      <c r="V575" s="10" t="str">
        <f>IF(D575&lt;=25,"18-25",IF(D575&lt;=35,"26-35",IF(D575&lt;=45,"36-45",IF(D575&lt;=55,"46-55",IF(D575&lt;=65,"56-65","66-75")))))</f>
        <v>26-35</v>
      </c>
      <c r="W575" s="3">
        <v>2</v>
      </c>
    </row>
    <row r="576" spans="1:23">
      <c r="A576" s="5" t="s">
        <v>620</v>
      </c>
      <c r="B576" s="5" t="s">
        <v>621</v>
      </c>
      <c r="C576" s="6">
        <v>45269</v>
      </c>
      <c r="D576" s="8">
        <v>44</v>
      </c>
      <c r="E576" s="5" t="s">
        <v>20</v>
      </c>
      <c r="F576" s="5" t="s">
        <v>76</v>
      </c>
      <c r="G576" s="5" t="s">
        <v>46</v>
      </c>
      <c r="H576" s="7">
        <v>345.82</v>
      </c>
      <c r="I576" s="3">
        <v>2</v>
      </c>
      <c r="J576" s="33">
        <f>H576*I576</f>
        <v>691.64</v>
      </c>
      <c r="K576" s="4">
        <v>0</v>
      </c>
      <c r="L576" s="9">
        <f>IF(J576=0,0,K576/J576)</f>
        <v>0</v>
      </c>
      <c r="M576" s="25">
        <v>691.64</v>
      </c>
      <c r="N576" s="5" t="s">
        <v>327</v>
      </c>
      <c r="O576" s="5" t="s">
        <v>33</v>
      </c>
      <c r="P576" s="3">
        <v>15</v>
      </c>
      <c r="Q576" s="3">
        <v>5</v>
      </c>
      <c r="R576" s="5" t="b">
        <v>1</v>
      </c>
      <c r="S576" s="5" t="str">
        <f>IF(R576=TRUE,"Returning Customer","New Customer")</f>
        <v>Returning Customer</v>
      </c>
      <c r="T576" s="3">
        <v>11</v>
      </c>
      <c r="U576" s="12" t="str">
        <f>IF(T576&lt;=3,"Fast",IF(T576&lt;=7,"Standard",IF(T576&lt;=14,"Slow","Very Slow")))</f>
        <v>Slow</v>
      </c>
      <c r="V576" s="10" t="str">
        <f>IF(D576&lt;=25,"18-25",IF(D576&lt;=35,"26-35",IF(D576&lt;=45,"36-45",IF(D576&lt;=55,"46-55",IF(D576&lt;=65,"56-65","66-75")))))</f>
        <v>36-45</v>
      </c>
      <c r="W576" s="3">
        <v>4</v>
      </c>
    </row>
    <row r="577" spans="1:23">
      <c r="A577" s="5" t="s">
        <v>1421</v>
      </c>
      <c r="B577" s="5" t="s">
        <v>1422</v>
      </c>
      <c r="C577" s="6">
        <v>45369</v>
      </c>
      <c r="D577" s="8">
        <v>18</v>
      </c>
      <c r="E577" s="5" t="s">
        <v>36</v>
      </c>
      <c r="F577" s="5" t="s">
        <v>73</v>
      </c>
      <c r="G577" s="5" t="s">
        <v>56</v>
      </c>
      <c r="H577" s="7">
        <v>260.91000000000003</v>
      </c>
      <c r="I577" s="3">
        <v>1</v>
      </c>
      <c r="J577" s="33">
        <f>H577*I577</f>
        <v>260.91000000000003</v>
      </c>
      <c r="K577" s="4">
        <v>0</v>
      </c>
      <c r="L577" s="9">
        <f>IF(J577=0,0,K577/J577)</f>
        <v>0</v>
      </c>
      <c r="M577" s="25">
        <v>260.91000000000003</v>
      </c>
      <c r="N577" s="5" t="s">
        <v>1298</v>
      </c>
      <c r="O577" s="5" t="s">
        <v>24</v>
      </c>
      <c r="P577" s="3">
        <v>8</v>
      </c>
      <c r="Q577" s="3">
        <v>12</v>
      </c>
      <c r="R577" s="5" t="b">
        <v>1</v>
      </c>
      <c r="S577" s="5" t="str">
        <f>IF(R577=TRUE,"Returning Customer","New Customer")</f>
        <v>Returning Customer</v>
      </c>
      <c r="T577" s="3">
        <v>8</v>
      </c>
      <c r="U577" s="12" t="str">
        <f>IF(T577&lt;=3,"Fast",IF(T577&lt;=7,"Standard",IF(T577&lt;=14,"Slow","Very Slow")))</f>
        <v>Slow</v>
      </c>
      <c r="V577" s="10" t="str">
        <f>IF(D577&lt;=25,"18-25",IF(D577&lt;=35,"26-35",IF(D577&lt;=45,"36-45",IF(D577&lt;=55,"46-55",IF(D577&lt;=65,"56-65","66-75")))))</f>
        <v>18-25</v>
      </c>
      <c r="W577" s="3">
        <v>4</v>
      </c>
    </row>
    <row r="578" spans="1:23">
      <c r="A578" s="5" t="s">
        <v>1135</v>
      </c>
      <c r="B578" s="5" t="s">
        <v>1136</v>
      </c>
      <c r="C578" s="6">
        <v>45303</v>
      </c>
      <c r="D578" s="8">
        <v>37</v>
      </c>
      <c r="E578" s="5" t="s">
        <v>20</v>
      </c>
      <c r="F578" s="5" t="s">
        <v>32</v>
      </c>
      <c r="G578" s="5" t="s">
        <v>115</v>
      </c>
      <c r="H578" s="7">
        <v>38.729999999999997</v>
      </c>
      <c r="I578" s="3">
        <v>4</v>
      </c>
      <c r="J578" s="33">
        <f>H578*I578</f>
        <v>154.91999999999999</v>
      </c>
      <c r="K578" s="4">
        <v>0</v>
      </c>
      <c r="L578" s="9">
        <f>IF(J578=0,0,K578/J578)</f>
        <v>0</v>
      </c>
      <c r="M578" s="25">
        <v>154.91999999999999</v>
      </c>
      <c r="N578" s="5" t="s">
        <v>692</v>
      </c>
      <c r="O578" s="5" t="s">
        <v>33</v>
      </c>
      <c r="P578" s="3">
        <v>20</v>
      </c>
      <c r="Q578" s="3">
        <v>11</v>
      </c>
      <c r="R578" s="5" t="b">
        <v>0</v>
      </c>
      <c r="S578" s="5" t="str">
        <f>IF(R578=TRUE,"Returning Customer","New Customer")</f>
        <v>New Customer</v>
      </c>
      <c r="T578" s="3">
        <v>7</v>
      </c>
      <c r="U578" s="12" t="str">
        <f>IF(T578&lt;=3,"Fast",IF(T578&lt;=7,"Standard",IF(T578&lt;=14,"Slow","Very Slow")))</f>
        <v>Standard</v>
      </c>
      <c r="V578" s="10" t="str">
        <f>IF(D578&lt;=25,"18-25",IF(D578&lt;=35,"26-35",IF(D578&lt;=45,"36-45",IF(D578&lt;=55,"46-55",IF(D578&lt;=65,"56-65","66-75")))))</f>
        <v>36-45</v>
      </c>
      <c r="W578" s="3">
        <v>3</v>
      </c>
    </row>
    <row r="579" spans="1:23">
      <c r="A579" s="5" t="s">
        <v>622</v>
      </c>
      <c r="B579" s="5" t="s">
        <v>623</v>
      </c>
      <c r="C579" s="6">
        <v>45342</v>
      </c>
      <c r="D579" s="8">
        <v>44</v>
      </c>
      <c r="E579" s="5" t="s">
        <v>20</v>
      </c>
      <c r="F579" s="5" t="s">
        <v>76</v>
      </c>
      <c r="G579" s="5" t="s">
        <v>37</v>
      </c>
      <c r="H579" s="7">
        <v>31.21</v>
      </c>
      <c r="I579" s="3">
        <v>4</v>
      </c>
      <c r="J579" s="33">
        <f>H579*I579</f>
        <v>124.84</v>
      </c>
      <c r="K579" s="4">
        <v>0</v>
      </c>
      <c r="L579" s="9">
        <f>IF(J579=0,0,K579/J579)</f>
        <v>0</v>
      </c>
      <c r="M579" s="25">
        <v>124.84</v>
      </c>
      <c r="N579" s="5" t="s">
        <v>327</v>
      </c>
      <c r="O579" s="5" t="s">
        <v>33</v>
      </c>
      <c r="P579" s="3">
        <v>7</v>
      </c>
      <c r="Q579" s="3">
        <v>13</v>
      </c>
      <c r="R579" s="5" t="b">
        <v>1</v>
      </c>
      <c r="S579" s="5" t="str">
        <f>IF(R579=TRUE,"Returning Customer","New Customer")</f>
        <v>Returning Customer</v>
      </c>
      <c r="T579" s="3">
        <v>4</v>
      </c>
      <c r="U579" s="12" t="str">
        <f>IF(T579&lt;=3,"Fast",IF(T579&lt;=7,"Standard",IF(T579&lt;=14,"Slow","Very Slow")))</f>
        <v>Standard</v>
      </c>
      <c r="V579" s="10" t="str">
        <f>IF(D579&lt;=25,"18-25",IF(D579&lt;=35,"26-35",IF(D579&lt;=45,"36-45",IF(D579&lt;=55,"46-55",IF(D579&lt;=65,"56-65","66-75")))))</f>
        <v>36-45</v>
      </c>
      <c r="W579" s="3">
        <v>4</v>
      </c>
    </row>
    <row r="580" spans="1:23">
      <c r="A580" s="5" t="s">
        <v>1284</v>
      </c>
      <c r="B580" s="5" t="s">
        <v>1285</v>
      </c>
      <c r="C580" s="6">
        <v>45054</v>
      </c>
      <c r="D580" s="8">
        <v>18</v>
      </c>
      <c r="E580" s="5" t="s">
        <v>20</v>
      </c>
      <c r="F580" s="5" t="s">
        <v>76</v>
      </c>
      <c r="G580" s="5" t="s">
        <v>37</v>
      </c>
      <c r="H580" s="7">
        <v>93.11</v>
      </c>
      <c r="I580" s="3">
        <v>3</v>
      </c>
      <c r="J580" s="33">
        <f>H580*I580</f>
        <v>279.33</v>
      </c>
      <c r="K580" s="4">
        <v>12.18</v>
      </c>
      <c r="L580" s="9">
        <f>IF(J580=0,0,K580/J580)</f>
        <v>4.3604338953925466E-2</v>
      </c>
      <c r="M580" s="25">
        <v>267.14999999999998</v>
      </c>
      <c r="N580" s="5" t="s">
        <v>1231</v>
      </c>
      <c r="O580" s="5" t="s">
        <v>24</v>
      </c>
      <c r="P580" s="3">
        <v>24</v>
      </c>
      <c r="Q580" s="3">
        <v>7</v>
      </c>
      <c r="R580" s="5" t="b">
        <v>0</v>
      </c>
      <c r="S580" s="5" t="str">
        <f>IF(R580=TRUE,"Returning Customer","New Customer")</f>
        <v>New Customer</v>
      </c>
      <c r="T580" s="3">
        <v>15</v>
      </c>
      <c r="U580" s="12" t="str">
        <f>IF(T580&lt;=3,"Fast",IF(T580&lt;=7,"Standard",IF(T580&lt;=14,"Slow","Very Slow")))</f>
        <v>Very Slow</v>
      </c>
      <c r="V580" s="10" t="str">
        <f>IF(D580&lt;=25,"18-25",IF(D580&lt;=35,"26-35",IF(D580&lt;=45,"36-45",IF(D580&lt;=55,"46-55",IF(D580&lt;=65,"56-65","66-75")))))</f>
        <v>18-25</v>
      </c>
      <c r="W580" s="3">
        <v>5</v>
      </c>
    </row>
    <row r="581" spans="1:23">
      <c r="A581" s="5" t="s">
        <v>1137</v>
      </c>
      <c r="B581" s="5" t="s">
        <v>1138</v>
      </c>
      <c r="C581" s="6">
        <v>45063</v>
      </c>
      <c r="D581" s="8">
        <v>48</v>
      </c>
      <c r="E581" s="5" t="s">
        <v>20</v>
      </c>
      <c r="F581" s="5" t="s">
        <v>83</v>
      </c>
      <c r="G581" s="5" t="s">
        <v>64</v>
      </c>
      <c r="H581" s="7">
        <v>1571.22</v>
      </c>
      <c r="I581" s="3">
        <v>3</v>
      </c>
      <c r="J581" s="33">
        <f>H581*I581</f>
        <v>4713.66</v>
      </c>
      <c r="K581" s="4">
        <v>0</v>
      </c>
      <c r="L581" s="9">
        <f>IF(J581=0,0,K581/J581)</f>
        <v>0</v>
      </c>
      <c r="M581" s="25">
        <v>4713.66</v>
      </c>
      <c r="N581" s="5" t="s">
        <v>692</v>
      </c>
      <c r="O581" s="5" t="s">
        <v>33</v>
      </c>
      <c r="P581" s="3">
        <v>9</v>
      </c>
      <c r="Q581" s="3">
        <v>14</v>
      </c>
      <c r="R581" s="5" t="b">
        <v>0</v>
      </c>
      <c r="S581" s="5" t="str">
        <f>IF(R581=TRUE,"Returning Customer","New Customer")</f>
        <v>New Customer</v>
      </c>
      <c r="T581" s="3">
        <v>6</v>
      </c>
      <c r="U581" s="12" t="str">
        <f>IF(T581&lt;=3,"Fast",IF(T581&lt;=7,"Standard",IF(T581&lt;=14,"Slow","Very Slow")))</f>
        <v>Standard</v>
      </c>
      <c r="V581" s="10" t="str">
        <f>IF(D581&lt;=25,"18-25",IF(D581&lt;=35,"26-35",IF(D581&lt;=45,"36-45",IF(D581&lt;=55,"46-55",IF(D581&lt;=65,"56-65","66-75")))))</f>
        <v>46-55</v>
      </c>
      <c r="W581" s="3">
        <v>1</v>
      </c>
    </row>
    <row r="582" spans="1:23">
      <c r="A582" s="5" t="s">
        <v>624</v>
      </c>
      <c r="B582" s="5" t="s">
        <v>625</v>
      </c>
      <c r="C582" s="6">
        <v>45008</v>
      </c>
      <c r="D582" s="8">
        <v>39</v>
      </c>
      <c r="E582" s="5" t="s">
        <v>20</v>
      </c>
      <c r="F582" s="5" t="s">
        <v>88</v>
      </c>
      <c r="G582" s="5" t="s">
        <v>64</v>
      </c>
      <c r="H582" s="7">
        <v>918.11</v>
      </c>
      <c r="I582" s="3">
        <v>4</v>
      </c>
      <c r="J582" s="33">
        <f>H582*I582</f>
        <v>3672.44</v>
      </c>
      <c r="K582" s="4">
        <v>144.07</v>
      </c>
      <c r="L582" s="9">
        <f>IF(J582=0,0,K582/J582)</f>
        <v>3.9230048686976507E-2</v>
      </c>
      <c r="M582" s="25">
        <v>3528.37</v>
      </c>
      <c r="N582" s="5" t="s">
        <v>327</v>
      </c>
      <c r="O582" s="5" t="s">
        <v>33</v>
      </c>
      <c r="P582" s="3">
        <v>30</v>
      </c>
      <c r="Q582" s="3">
        <v>9</v>
      </c>
      <c r="R582" s="5" t="b">
        <v>1</v>
      </c>
      <c r="S582" s="5" t="str">
        <f>IF(R582=TRUE,"Returning Customer","New Customer")</f>
        <v>Returning Customer</v>
      </c>
      <c r="T582" s="3">
        <v>8</v>
      </c>
      <c r="U582" s="12" t="str">
        <f>IF(T582&lt;=3,"Fast",IF(T582&lt;=7,"Standard",IF(T582&lt;=14,"Slow","Very Slow")))</f>
        <v>Slow</v>
      </c>
      <c r="V582" s="10" t="str">
        <f>IF(D582&lt;=25,"18-25",IF(D582&lt;=35,"26-35",IF(D582&lt;=45,"36-45",IF(D582&lt;=55,"46-55",IF(D582&lt;=65,"56-65","66-75")))))</f>
        <v>36-45</v>
      </c>
      <c r="W582" s="3">
        <v>3</v>
      </c>
    </row>
    <row r="583" spans="1:23">
      <c r="A583" s="5" t="s">
        <v>1423</v>
      </c>
      <c r="B583" s="5" t="s">
        <v>1424</v>
      </c>
      <c r="C583" s="6">
        <v>45330</v>
      </c>
      <c r="D583" s="8">
        <v>30</v>
      </c>
      <c r="E583" s="5" t="s">
        <v>36</v>
      </c>
      <c r="F583" s="5" t="s">
        <v>83</v>
      </c>
      <c r="G583" s="5" t="s">
        <v>115</v>
      </c>
      <c r="H583" s="7">
        <v>125.42</v>
      </c>
      <c r="I583" s="3">
        <v>1</v>
      </c>
      <c r="J583" s="33">
        <f>H583*I583</f>
        <v>125.42</v>
      </c>
      <c r="K583" s="4">
        <v>17.46</v>
      </c>
      <c r="L583" s="9">
        <f>IF(J583=0,0,K583/J583)</f>
        <v>0.13921224685058206</v>
      </c>
      <c r="M583" s="25">
        <v>107.96</v>
      </c>
      <c r="N583" s="5" t="s">
        <v>1298</v>
      </c>
      <c r="O583" s="5" t="s">
        <v>33</v>
      </c>
      <c r="P583" s="3">
        <v>5</v>
      </c>
      <c r="Q583" s="3">
        <v>5</v>
      </c>
      <c r="R583" s="5" t="b">
        <v>1</v>
      </c>
      <c r="S583" s="5" t="str">
        <f>IF(R583=TRUE,"Returning Customer","New Customer")</f>
        <v>Returning Customer</v>
      </c>
      <c r="T583" s="3">
        <v>4</v>
      </c>
      <c r="U583" s="12" t="str">
        <f>IF(T583&lt;=3,"Fast",IF(T583&lt;=7,"Standard",IF(T583&lt;=14,"Slow","Very Slow")))</f>
        <v>Standard</v>
      </c>
      <c r="V583" s="10" t="str">
        <f>IF(D583&lt;=25,"18-25",IF(D583&lt;=35,"26-35",IF(D583&lt;=45,"36-45",IF(D583&lt;=55,"46-55",IF(D583&lt;=65,"56-65","66-75")))))</f>
        <v>26-35</v>
      </c>
      <c r="W583" s="3">
        <v>5</v>
      </c>
    </row>
    <row r="584" spans="1:23">
      <c r="A584" s="5" t="s">
        <v>1425</v>
      </c>
      <c r="B584" s="5" t="s">
        <v>1426</v>
      </c>
      <c r="C584" s="6">
        <v>45286</v>
      </c>
      <c r="D584" s="8">
        <v>42</v>
      </c>
      <c r="E584" s="5" t="s">
        <v>36</v>
      </c>
      <c r="F584" s="5" t="s">
        <v>32</v>
      </c>
      <c r="G584" s="5" t="s">
        <v>64</v>
      </c>
      <c r="H584" s="7">
        <v>962.37</v>
      </c>
      <c r="I584" s="3">
        <v>1</v>
      </c>
      <c r="J584" s="33">
        <f>H584*I584</f>
        <v>962.37</v>
      </c>
      <c r="K584" s="4">
        <v>0</v>
      </c>
      <c r="L584" s="9">
        <f>IF(J584=0,0,K584/J584)</f>
        <v>0</v>
      </c>
      <c r="M584" s="25">
        <v>962.37</v>
      </c>
      <c r="N584" s="5" t="s">
        <v>1298</v>
      </c>
      <c r="O584" s="5" t="s">
        <v>33</v>
      </c>
      <c r="P584" s="3">
        <v>23</v>
      </c>
      <c r="Q584" s="3">
        <v>5</v>
      </c>
      <c r="R584" s="5" t="b">
        <v>0</v>
      </c>
      <c r="S584" s="5" t="str">
        <f>IF(R584=TRUE,"Returning Customer","New Customer")</f>
        <v>New Customer</v>
      </c>
      <c r="T584" s="3">
        <v>5</v>
      </c>
      <c r="U584" s="12" t="str">
        <f>IF(T584&lt;=3,"Fast",IF(T584&lt;=7,"Standard",IF(T584&lt;=14,"Slow","Very Slow")))</f>
        <v>Standard</v>
      </c>
      <c r="V584" s="10" t="str">
        <f>IF(D584&lt;=25,"18-25",IF(D584&lt;=35,"26-35",IF(D584&lt;=45,"36-45",IF(D584&lt;=55,"46-55",IF(D584&lt;=65,"56-65","66-75")))))</f>
        <v>36-45</v>
      </c>
      <c r="W584" s="3">
        <v>5</v>
      </c>
    </row>
    <row r="585" spans="1:23">
      <c r="A585" s="5" t="s">
        <v>275</v>
      </c>
      <c r="B585" s="5" t="s">
        <v>276</v>
      </c>
      <c r="C585" s="6">
        <v>44982</v>
      </c>
      <c r="D585" s="8">
        <v>62</v>
      </c>
      <c r="E585" s="5" t="s">
        <v>20</v>
      </c>
      <c r="F585" s="5" t="s">
        <v>59</v>
      </c>
      <c r="G585" s="5" t="s">
        <v>37</v>
      </c>
      <c r="H585" s="7">
        <v>85.3</v>
      </c>
      <c r="I585" s="3">
        <v>1</v>
      </c>
      <c r="J585" s="33">
        <f>H585*I585</f>
        <v>85.3</v>
      </c>
      <c r="K585" s="4">
        <v>0</v>
      </c>
      <c r="L585" s="9">
        <f>IF(J585=0,0,K585/J585)</f>
        <v>0</v>
      </c>
      <c r="M585" s="25">
        <v>85.3</v>
      </c>
      <c r="N585" s="5" t="s">
        <v>23</v>
      </c>
      <c r="O585" s="5" t="s">
        <v>33</v>
      </c>
      <c r="P585" s="3">
        <v>8</v>
      </c>
      <c r="Q585" s="3">
        <v>9</v>
      </c>
      <c r="R585" s="5" t="b">
        <v>0</v>
      </c>
      <c r="S585" s="5" t="str">
        <f>IF(R585=TRUE,"Returning Customer","New Customer")</f>
        <v>New Customer</v>
      </c>
      <c r="T585" s="3">
        <v>2</v>
      </c>
      <c r="U585" s="12" t="str">
        <f>IF(T585&lt;=3,"Fast",IF(T585&lt;=7,"Standard",IF(T585&lt;=14,"Slow","Very Slow")))</f>
        <v>Fast</v>
      </c>
      <c r="V585" s="10" t="str">
        <f>IF(D585&lt;=25,"18-25",IF(D585&lt;=35,"26-35",IF(D585&lt;=45,"36-45",IF(D585&lt;=55,"46-55",IF(D585&lt;=65,"56-65","66-75")))))</f>
        <v>56-65</v>
      </c>
      <c r="W585" s="3">
        <v>4</v>
      </c>
    </row>
    <row r="586" spans="1:23">
      <c r="A586" s="5" t="s">
        <v>1427</v>
      </c>
      <c r="B586" s="5" t="s">
        <v>1428</v>
      </c>
      <c r="C586" s="6">
        <v>45122</v>
      </c>
      <c r="D586" s="8">
        <v>37</v>
      </c>
      <c r="E586" s="5" t="s">
        <v>36</v>
      </c>
      <c r="F586" s="5" t="s">
        <v>59</v>
      </c>
      <c r="G586" s="5" t="s">
        <v>46</v>
      </c>
      <c r="H586" s="7">
        <v>270.27999999999997</v>
      </c>
      <c r="I586" s="3">
        <v>2</v>
      </c>
      <c r="J586" s="33">
        <f>H586*I586</f>
        <v>540.55999999999995</v>
      </c>
      <c r="K586" s="4">
        <v>0</v>
      </c>
      <c r="L586" s="9">
        <f>IF(J586=0,0,K586/J586)</f>
        <v>0</v>
      </c>
      <c r="M586" s="25">
        <v>540.55999999999995</v>
      </c>
      <c r="N586" s="5" t="s">
        <v>1298</v>
      </c>
      <c r="O586" s="5" t="s">
        <v>33</v>
      </c>
      <c r="P586" s="3">
        <v>4</v>
      </c>
      <c r="Q586" s="3">
        <v>9</v>
      </c>
      <c r="R586" s="5" t="b">
        <v>1</v>
      </c>
      <c r="S586" s="5" t="str">
        <f>IF(R586=TRUE,"Returning Customer","New Customer")</f>
        <v>Returning Customer</v>
      </c>
      <c r="T586" s="3">
        <v>5</v>
      </c>
      <c r="U586" s="12" t="str">
        <f>IF(T586&lt;=3,"Fast",IF(T586&lt;=7,"Standard",IF(T586&lt;=14,"Slow","Very Slow")))</f>
        <v>Standard</v>
      </c>
      <c r="V586" s="10" t="str">
        <f>IF(D586&lt;=25,"18-25",IF(D586&lt;=35,"26-35",IF(D586&lt;=45,"36-45",IF(D586&lt;=55,"46-55",IF(D586&lt;=65,"56-65","66-75")))))</f>
        <v>36-45</v>
      </c>
      <c r="W586" s="3">
        <v>4</v>
      </c>
    </row>
    <row r="587" spans="1:23">
      <c r="A587" s="5" t="s">
        <v>277</v>
      </c>
      <c r="B587" s="5" t="s">
        <v>278</v>
      </c>
      <c r="C587" s="6">
        <v>45373</v>
      </c>
      <c r="D587" s="8">
        <v>37</v>
      </c>
      <c r="E587" s="5" t="s">
        <v>20</v>
      </c>
      <c r="F587" s="5" t="s">
        <v>32</v>
      </c>
      <c r="G587" s="5" t="s">
        <v>46</v>
      </c>
      <c r="H587" s="7">
        <v>319.39999999999998</v>
      </c>
      <c r="I587" s="3">
        <v>5</v>
      </c>
      <c r="J587" s="33">
        <f>H587*I587</f>
        <v>1597</v>
      </c>
      <c r="K587" s="4">
        <v>0</v>
      </c>
      <c r="L587" s="9">
        <f>IF(J587=0,0,K587/J587)</f>
        <v>0</v>
      </c>
      <c r="M587" s="25">
        <v>1597</v>
      </c>
      <c r="N587" s="5" t="s">
        <v>23</v>
      </c>
      <c r="O587" s="5" t="s">
        <v>33</v>
      </c>
      <c r="P587" s="3">
        <v>7</v>
      </c>
      <c r="Q587" s="3">
        <v>12</v>
      </c>
      <c r="R587" s="5" t="b">
        <v>1</v>
      </c>
      <c r="S587" s="5" t="str">
        <f>IF(R587=TRUE,"Returning Customer","New Customer")</f>
        <v>Returning Customer</v>
      </c>
      <c r="T587" s="3">
        <v>7</v>
      </c>
      <c r="U587" s="12" t="str">
        <f>IF(T587&lt;=3,"Fast",IF(T587&lt;=7,"Standard",IF(T587&lt;=14,"Slow","Very Slow")))</f>
        <v>Standard</v>
      </c>
      <c r="V587" s="10" t="str">
        <f>IF(D587&lt;=25,"18-25",IF(D587&lt;=35,"26-35",IF(D587&lt;=45,"36-45",IF(D587&lt;=55,"46-55",IF(D587&lt;=65,"56-65","66-75")))))</f>
        <v>36-45</v>
      </c>
      <c r="W587" s="3">
        <v>5</v>
      </c>
    </row>
    <row r="588" spans="1:23">
      <c r="A588" s="5" t="s">
        <v>1139</v>
      </c>
      <c r="B588" s="5" t="s">
        <v>1140</v>
      </c>
      <c r="C588" s="6">
        <v>44946</v>
      </c>
      <c r="D588" s="8">
        <v>29</v>
      </c>
      <c r="E588" s="5" t="s">
        <v>20</v>
      </c>
      <c r="F588" s="5" t="s">
        <v>32</v>
      </c>
      <c r="G588" s="5" t="s">
        <v>56</v>
      </c>
      <c r="H588" s="7">
        <v>923.93</v>
      </c>
      <c r="I588" s="3">
        <v>1</v>
      </c>
      <c r="J588" s="33">
        <f>H588*I588</f>
        <v>923.93</v>
      </c>
      <c r="K588" s="4">
        <v>0</v>
      </c>
      <c r="L588" s="9">
        <f>IF(J588=0,0,K588/J588)</f>
        <v>0</v>
      </c>
      <c r="M588" s="25">
        <v>923.93</v>
      </c>
      <c r="N588" s="5" t="s">
        <v>692</v>
      </c>
      <c r="O588" s="5" t="s">
        <v>33</v>
      </c>
      <c r="P588" s="3">
        <v>30</v>
      </c>
      <c r="Q588" s="3">
        <v>11</v>
      </c>
      <c r="R588" s="5" t="b">
        <v>0</v>
      </c>
      <c r="S588" s="5" t="str">
        <f>IF(R588=TRUE,"Returning Customer","New Customer")</f>
        <v>New Customer</v>
      </c>
      <c r="T588" s="3">
        <v>2</v>
      </c>
      <c r="U588" s="12" t="str">
        <f>IF(T588&lt;=3,"Fast",IF(T588&lt;=7,"Standard",IF(T588&lt;=14,"Slow","Very Slow")))</f>
        <v>Fast</v>
      </c>
      <c r="V588" s="10" t="str">
        <f>IF(D588&lt;=25,"18-25",IF(D588&lt;=35,"26-35",IF(D588&lt;=45,"36-45",IF(D588&lt;=55,"46-55",IF(D588&lt;=65,"56-65","66-75")))))</f>
        <v>26-35</v>
      </c>
      <c r="W588" s="3">
        <v>5</v>
      </c>
    </row>
    <row r="589" spans="1:23">
      <c r="A589" s="5" t="s">
        <v>279</v>
      </c>
      <c r="B589" s="5" t="s">
        <v>280</v>
      </c>
      <c r="C589" s="6">
        <v>45366</v>
      </c>
      <c r="D589" s="8">
        <v>24</v>
      </c>
      <c r="E589" s="5" t="s">
        <v>36</v>
      </c>
      <c r="F589" s="5" t="s">
        <v>83</v>
      </c>
      <c r="G589" s="5" t="s">
        <v>46</v>
      </c>
      <c r="H589" s="7">
        <v>150.93</v>
      </c>
      <c r="I589" s="3">
        <v>2</v>
      </c>
      <c r="J589" s="33">
        <f>H589*I589</f>
        <v>301.86</v>
      </c>
      <c r="K589" s="4">
        <v>0</v>
      </c>
      <c r="L589" s="9">
        <f>IF(J589=0,0,K589/J589)</f>
        <v>0</v>
      </c>
      <c r="M589" s="25">
        <v>301.86</v>
      </c>
      <c r="N589" s="5" t="s">
        <v>23</v>
      </c>
      <c r="O589" s="5" t="s">
        <v>24</v>
      </c>
      <c r="P589" s="3">
        <v>10</v>
      </c>
      <c r="Q589" s="3">
        <v>12</v>
      </c>
      <c r="R589" s="5" t="b">
        <v>1</v>
      </c>
      <c r="S589" s="5" t="str">
        <f>IF(R589=TRUE,"Returning Customer","New Customer")</f>
        <v>Returning Customer</v>
      </c>
      <c r="T589" s="3">
        <v>3</v>
      </c>
      <c r="U589" s="12" t="str">
        <f>IF(T589&lt;=3,"Fast",IF(T589&lt;=7,"Standard",IF(T589&lt;=14,"Slow","Very Slow")))</f>
        <v>Fast</v>
      </c>
      <c r="V589" s="10" t="str">
        <f>IF(D589&lt;=25,"18-25",IF(D589&lt;=35,"26-35",IF(D589&lt;=45,"36-45",IF(D589&lt;=55,"46-55",IF(D589&lt;=65,"56-65","66-75")))))</f>
        <v>18-25</v>
      </c>
      <c r="W589" s="3">
        <v>4</v>
      </c>
    </row>
    <row r="590" spans="1:23">
      <c r="A590" s="5" t="s">
        <v>1286</v>
      </c>
      <c r="B590" s="5" t="s">
        <v>1287</v>
      </c>
      <c r="C590" s="6">
        <v>45167</v>
      </c>
      <c r="D590" s="8">
        <v>44</v>
      </c>
      <c r="E590" s="5" t="s">
        <v>36</v>
      </c>
      <c r="F590" s="5" t="s">
        <v>52</v>
      </c>
      <c r="G590" s="5" t="s">
        <v>64</v>
      </c>
      <c r="H590" s="7">
        <v>1897.92</v>
      </c>
      <c r="I590" s="3">
        <v>5</v>
      </c>
      <c r="J590" s="33">
        <f>H590*I590</f>
        <v>9489.6</v>
      </c>
      <c r="K590" s="4">
        <v>443.01</v>
      </c>
      <c r="L590" s="9">
        <f>IF(J590=0,0,K590/J590)</f>
        <v>4.6683737986848758E-2</v>
      </c>
      <c r="M590" s="25">
        <v>9046.59</v>
      </c>
      <c r="N590" s="5" t="s">
        <v>1231</v>
      </c>
      <c r="O590" s="5" t="s">
        <v>33</v>
      </c>
      <c r="P590" s="3">
        <v>16</v>
      </c>
      <c r="Q590" s="3">
        <v>13</v>
      </c>
      <c r="R590" s="5" t="b">
        <v>0</v>
      </c>
      <c r="S590" s="5" t="str">
        <f>IF(R590=TRUE,"Returning Customer","New Customer")</f>
        <v>New Customer</v>
      </c>
      <c r="T590" s="3">
        <v>4</v>
      </c>
      <c r="U590" s="12" t="str">
        <f>IF(T590&lt;=3,"Fast",IF(T590&lt;=7,"Standard",IF(T590&lt;=14,"Slow","Very Slow")))</f>
        <v>Standard</v>
      </c>
      <c r="V590" s="10" t="str">
        <f>IF(D590&lt;=25,"18-25",IF(D590&lt;=35,"26-35",IF(D590&lt;=45,"36-45",IF(D590&lt;=55,"46-55",IF(D590&lt;=65,"56-65","66-75")))))</f>
        <v>36-45</v>
      </c>
      <c r="W590" s="3">
        <v>4</v>
      </c>
    </row>
    <row r="591" spans="1:23">
      <c r="A591" s="5" t="s">
        <v>626</v>
      </c>
      <c r="B591" s="5" t="s">
        <v>627</v>
      </c>
      <c r="C591" s="6">
        <v>45040</v>
      </c>
      <c r="D591" s="8">
        <v>24</v>
      </c>
      <c r="E591" s="5" t="s">
        <v>20</v>
      </c>
      <c r="F591" s="5" t="s">
        <v>88</v>
      </c>
      <c r="G591" s="5" t="s">
        <v>22</v>
      </c>
      <c r="H591" s="7">
        <v>136.07</v>
      </c>
      <c r="I591" s="3">
        <v>5</v>
      </c>
      <c r="J591" s="33">
        <f>H591*I591</f>
        <v>680.34999999999991</v>
      </c>
      <c r="K591" s="4">
        <v>0</v>
      </c>
      <c r="L591" s="9">
        <f>IF(J591=0,0,K591/J591)</f>
        <v>0</v>
      </c>
      <c r="M591" s="25">
        <v>680.35</v>
      </c>
      <c r="N591" s="5" t="s">
        <v>327</v>
      </c>
      <c r="O591" s="5" t="s">
        <v>33</v>
      </c>
      <c r="P591" s="3">
        <v>10</v>
      </c>
      <c r="Q591" s="3">
        <v>9</v>
      </c>
      <c r="R591" s="5" t="b">
        <v>0</v>
      </c>
      <c r="S591" s="5" t="str">
        <f>IF(R591=TRUE,"Returning Customer","New Customer")</f>
        <v>New Customer</v>
      </c>
      <c r="T591" s="3">
        <v>3</v>
      </c>
      <c r="U591" s="12" t="str">
        <f>IF(T591&lt;=3,"Fast",IF(T591&lt;=7,"Standard",IF(T591&lt;=14,"Slow","Very Slow")))</f>
        <v>Fast</v>
      </c>
      <c r="V591" s="10" t="str">
        <f>IF(D591&lt;=25,"18-25",IF(D591&lt;=35,"26-35",IF(D591&lt;=45,"36-45",IF(D591&lt;=55,"46-55",IF(D591&lt;=65,"56-65","66-75")))))</f>
        <v>18-25</v>
      </c>
      <c r="W591" s="3">
        <v>5</v>
      </c>
    </row>
    <row r="592" spans="1:23">
      <c r="A592" s="5" t="s">
        <v>1141</v>
      </c>
      <c r="B592" s="5" t="s">
        <v>1142</v>
      </c>
      <c r="C592" s="6">
        <v>45029</v>
      </c>
      <c r="D592" s="8">
        <v>35</v>
      </c>
      <c r="E592" s="5" t="s">
        <v>20</v>
      </c>
      <c r="F592" s="5" t="s">
        <v>32</v>
      </c>
      <c r="G592" s="5" t="s">
        <v>64</v>
      </c>
      <c r="H592" s="7">
        <v>491.74</v>
      </c>
      <c r="I592" s="3">
        <v>2</v>
      </c>
      <c r="J592" s="33">
        <f>H592*I592</f>
        <v>983.48</v>
      </c>
      <c r="K592" s="4">
        <v>68.33</v>
      </c>
      <c r="L592" s="9">
        <f>IF(J592=0,0,K592/J592)</f>
        <v>6.9477772806767799E-2</v>
      </c>
      <c r="M592" s="25">
        <v>915.15</v>
      </c>
      <c r="N592" s="5" t="s">
        <v>692</v>
      </c>
      <c r="O592" s="5" t="s">
        <v>33</v>
      </c>
      <c r="P592" s="3">
        <v>13</v>
      </c>
      <c r="Q592" s="3">
        <v>13</v>
      </c>
      <c r="R592" s="5" t="b">
        <v>1</v>
      </c>
      <c r="S592" s="5" t="str">
        <f>IF(R592=TRUE,"Returning Customer","New Customer")</f>
        <v>Returning Customer</v>
      </c>
      <c r="T592" s="3">
        <v>3</v>
      </c>
      <c r="U592" s="12" t="str">
        <f>IF(T592&lt;=3,"Fast",IF(T592&lt;=7,"Standard",IF(T592&lt;=14,"Slow","Very Slow")))</f>
        <v>Fast</v>
      </c>
      <c r="V592" s="10" t="str">
        <f>IF(D592&lt;=25,"18-25",IF(D592&lt;=35,"26-35",IF(D592&lt;=45,"36-45",IF(D592&lt;=55,"46-55",IF(D592&lt;=65,"56-65","66-75")))))</f>
        <v>26-35</v>
      </c>
      <c r="W592" s="3">
        <v>2</v>
      </c>
    </row>
    <row r="593" spans="1:23">
      <c r="A593" s="5" t="s">
        <v>628</v>
      </c>
      <c r="B593" s="5" t="s">
        <v>629</v>
      </c>
      <c r="C593" s="6">
        <v>45345</v>
      </c>
      <c r="D593" s="8">
        <v>29</v>
      </c>
      <c r="E593" s="5" t="s">
        <v>36</v>
      </c>
      <c r="F593" s="5" t="s">
        <v>32</v>
      </c>
      <c r="G593" s="5" t="s">
        <v>37</v>
      </c>
      <c r="H593" s="7">
        <v>73.459999999999994</v>
      </c>
      <c r="I593" s="3">
        <v>2</v>
      </c>
      <c r="J593" s="33">
        <f>H593*I593</f>
        <v>146.91999999999999</v>
      </c>
      <c r="K593" s="4">
        <v>0</v>
      </c>
      <c r="L593" s="9">
        <f>IF(J593=0,0,K593/J593)</f>
        <v>0</v>
      </c>
      <c r="M593" s="25">
        <v>146.91999999999999</v>
      </c>
      <c r="N593" s="5" t="s">
        <v>327</v>
      </c>
      <c r="O593" s="5" t="s">
        <v>29</v>
      </c>
      <c r="P593" s="3">
        <v>10</v>
      </c>
      <c r="Q593" s="3">
        <v>9</v>
      </c>
      <c r="R593" s="5" t="b">
        <v>1</v>
      </c>
      <c r="S593" s="5" t="str">
        <f>IF(R593=TRUE,"Returning Customer","New Customer")</f>
        <v>Returning Customer</v>
      </c>
      <c r="T593" s="3">
        <v>4</v>
      </c>
      <c r="U593" s="12" t="str">
        <f>IF(T593&lt;=3,"Fast",IF(T593&lt;=7,"Standard",IF(T593&lt;=14,"Slow","Very Slow")))</f>
        <v>Standard</v>
      </c>
      <c r="V593" s="10" t="str">
        <f>IF(D593&lt;=25,"18-25",IF(D593&lt;=35,"26-35",IF(D593&lt;=45,"36-45",IF(D593&lt;=55,"46-55",IF(D593&lt;=65,"56-65","66-75")))))</f>
        <v>26-35</v>
      </c>
      <c r="W593" s="3">
        <v>5</v>
      </c>
    </row>
    <row r="594" spans="1:23">
      <c r="A594" s="5" t="s">
        <v>281</v>
      </c>
      <c r="B594" s="5" t="s">
        <v>282</v>
      </c>
      <c r="C594" s="6">
        <v>45162</v>
      </c>
      <c r="D594" s="8">
        <v>40</v>
      </c>
      <c r="E594" s="5" t="s">
        <v>36</v>
      </c>
      <c r="F594" s="5" t="s">
        <v>21</v>
      </c>
      <c r="G594" s="5" t="s">
        <v>28</v>
      </c>
      <c r="H594" s="7">
        <v>212.57</v>
      </c>
      <c r="I594" s="3">
        <v>1</v>
      </c>
      <c r="J594" s="33">
        <f>H594*I594</f>
        <v>212.57</v>
      </c>
      <c r="K594" s="4">
        <v>0</v>
      </c>
      <c r="L594" s="9">
        <f>IF(J594=0,0,K594/J594)</f>
        <v>0</v>
      </c>
      <c r="M594" s="25">
        <v>212.57</v>
      </c>
      <c r="N594" s="5" t="s">
        <v>23</v>
      </c>
      <c r="O594" s="5" t="s">
        <v>24</v>
      </c>
      <c r="P594" s="3">
        <v>8</v>
      </c>
      <c r="Q594" s="3">
        <v>8</v>
      </c>
      <c r="R594" s="5" t="b">
        <v>1</v>
      </c>
      <c r="S594" s="5" t="str">
        <f>IF(R594=TRUE,"Returning Customer","New Customer")</f>
        <v>Returning Customer</v>
      </c>
      <c r="T594" s="3">
        <v>7</v>
      </c>
      <c r="U594" s="12" t="str">
        <f>IF(T594&lt;=3,"Fast",IF(T594&lt;=7,"Standard",IF(T594&lt;=14,"Slow","Very Slow")))</f>
        <v>Standard</v>
      </c>
      <c r="V594" s="10" t="str">
        <f>IF(D594&lt;=25,"18-25",IF(D594&lt;=35,"26-35",IF(D594&lt;=45,"36-45",IF(D594&lt;=55,"46-55",IF(D594&lt;=65,"56-65","66-75")))))</f>
        <v>36-45</v>
      </c>
      <c r="W594" s="3">
        <v>4</v>
      </c>
    </row>
    <row r="595" spans="1:23">
      <c r="A595" s="5" t="s">
        <v>1143</v>
      </c>
      <c r="B595" s="5" t="s">
        <v>1144</v>
      </c>
      <c r="C595" s="6">
        <v>45106</v>
      </c>
      <c r="D595" s="8">
        <v>39</v>
      </c>
      <c r="E595" s="5" t="s">
        <v>36</v>
      </c>
      <c r="F595" s="5" t="s">
        <v>32</v>
      </c>
      <c r="G595" s="5" t="s">
        <v>22</v>
      </c>
      <c r="H595" s="7">
        <v>177.03</v>
      </c>
      <c r="I595" s="3">
        <v>2</v>
      </c>
      <c r="J595" s="33">
        <f>H595*I595</f>
        <v>354.06</v>
      </c>
      <c r="K595" s="4">
        <v>0</v>
      </c>
      <c r="L595" s="9">
        <f>IF(J595=0,0,K595/J595)</f>
        <v>0</v>
      </c>
      <c r="M595" s="25">
        <v>354.06</v>
      </c>
      <c r="N595" s="5" t="s">
        <v>692</v>
      </c>
      <c r="O595" s="5" t="s">
        <v>24</v>
      </c>
      <c r="P595" s="3">
        <v>17</v>
      </c>
      <c r="Q595" s="3">
        <v>10</v>
      </c>
      <c r="R595" s="5" t="b">
        <v>1</v>
      </c>
      <c r="S595" s="5" t="str">
        <f>IF(R595=TRUE,"Returning Customer","New Customer")</f>
        <v>Returning Customer</v>
      </c>
      <c r="T595" s="3">
        <v>2</v>
      </c>
      <c r="U595" s="12" t="str">
        <f>IF(T595&lt;=3,"Fast",IF(T595&lt;=7,"Standard",IF(T595&lt;=14,"Slow","Very Slow")))</f>
        <v>Fast</v>
      </c>
      <c r="V595" s="10" t="str">
        <f>IF(D595&lt;=25,"18-25",IF(D595&lt;=35,"26-35",IF(D595&lt;=45,"36-45",IF(D595&lt;=55,"46-55",IF(D595&lt;=65,"56-65","66-75")))))</f>
        <v>36-45</v>
      </c>
      <c r="W595" s="3">
        <v>4</v>
      </c>
    </row>
    <row r="596" spans="1:23">
      <c r="A596" s="5" t="s">
        <v>283</v>
      </c>
      <c r="B596" s="5" t="s">
        <v>284</v>
      </c>
      <c r="C596" s="6">
        <v>45083</v>
      </c>
      <c r="D596" s="8">
        <v>47</v>
      </c>
      <c r="E596" s="5" t="s">
        <v>20</v>
      </c>
      <c r="F596" s="5" t="s">
        <v>49</v>
      </c>
      <c r="G596" s="5" t="s">
        <v>56</v>
      </c>
      <c r="H596" s="7">
        <v>269.47000000000003</v>
      </c>
      <c r="I596" s="3">
        <v>1</v>
      </c>
      <c r="J596" s="33">
        <f>H596*I596</f>
        <v>269.47000000000003</v>
      </c>
      <c r="K596" s="4">
        <v>0</v>
      </c>
      <c r="L596" s="9">
        <f>IF(J596=0,0,K596/J596)</f>
        <v>0</v>
      </c>
      <c r="M596" s="25">
        <v>269.47000000000003</v>
      </c>
      <c r="N596" s="5" t="s">
        <v>23</v>
      </c>
      <c r="O596" s="5" t="s">
        <v>24</v>
      </c>
      <c r="P596" s="3">
        <v>4</v>
      </c>
      <c r="Q596" s="3">
        <v>9</v>
      </c>
      <c r="R596" s="5" t="b">
        <v>1</v>
      </c>
      <c r="S596" s="5" t="str">
        <f>IF(R596=TRUE,"Returning Customer","New Customer")</f>
        <v>Returning Customer</v>
      </c>
      <c r="T596" s="3">
        <v>3</v>
      </c>
      <c r="U596" s="12" t="str">
        <f>IF(T596&lt;=3,"Fast",IF(T596&lt;=7,"Standard",IF(T596&lt;=14,"Slow","Very Slow")))</f>
        <v>Fast</v>
      </c>
      <c r="V596" s="10" t="str">
        <f>IF(D596&lt;=25,"18-25",IF(D596&lt;=35,"26-35",IF(D596&lt;=45,"36-45",IF(D596&lt;=55,"46-55",IF(D596&lt;=65,"56-65","66-75")))))</f>
        <v>46-55</v>
      </c>
      <c r="W596" s="3">
        <v>5</v>
      </c>
    </row>
    <row r="597" spans="1:23">
      <c r="A597" s="5" t="s">
        <v>630</v>
      </c>
      <c r="B597" s="5" t="s">
        <v>631</v>
      </c>
      <c r="C597" s="6">
        <v>45347</v>
      </c>
      <c r="D597" s="8">
        <v>28</v>
      </c>
      <c r="E597" s="5" t="s">
        <v>20</v>
      </c>
      <c r="F597" s="5" t="s">
        <v>73</v>
      </c>
      <c r="G597" s="5" t="s">
        <v>53</v>
      </c>
      <c r="H597" s="7">
        <v>136.05000000000001</v>
      </c>
      <c r="I597" s="3">
        <v>2</v>
      </c>
      <c r="J597" s="33">
        <f>H597*I597</f>
        <v>272.10000000000002</v>
      </c>
      <c r="K597" s="4">
        <v>0</v>
      </c>
      <c r="L597" s="9">
        <f>IF(J597=0,0,K597/J597)</f>
        <v>0</v>
      </c>
      <c r="M597" s="25">
        <v>272.10000000000002</v>
      </c>
      <c r="N597" s="5" t="s">
        <v>327</v>
      </c>
      <c r="O597" s="5" t="s">
        <v>24</v>
      </c>
      <c r="P597" s="3">
        <v>6</v>
      </c>
      <c r="Q597" s="3">
        <v>16</v>
      </c>
      <c r="R597" s="5" t="b">
        <v>1</v>
      </c>
      <c r="S597" s="5" t="str">
        <f>IF(R597=TRUE,"Returning Customer","New Customer")</f>
        <v>Returning Customer</v>
      </c>
      <c r="T597" s="3">
        <v>6</v>
      </c>
      <c r="U597" s="12" t="str">
        <f>IF(T597&lt;=3,"Fast",IF(T597&lt;=7,"Standard",IF(T597&lt;=14,"Slow","Very Slow")))</f>
        <v>Standard</v>
      </c>
      <c r="V597" s="10" t="str">
        <f>IF(D597&lt;=25,"18-25",IF(D597&lt;=35,"26-35",IF(D597&lt;=45,"36-45",IF(D597&lt;=55,"46-55",IF(D597&lt;=65,"56-65","66-75")))))</f>
        <v>26-35</v>
      </c>
      <c r="W597" s="3">
        <v>2</v>
      </c>
    </row>
    <row r="598" spans="1:23">
      <c r="A598" s="5" t="s">
        <v>632</v>
      </c>
      <c r="B598" s="5" t="s">
        <v>633</v>
      </c>
      <c r="C598" s="6">
        <v>45334</v>
      </c>
      <c r="D598" s="8">
        <v>31</v>
      </c>
      <c r="E598" s="5" t="s">
        <v>20</v>
      </c>
      <c r="F598" s="5" t="s">
        <v>32</v>
      </c>
      <c r="G598" s="5" t="s">
        <v>28</v>
      </c>
      <c r="H598" s="7">
        <v>175.34</v>
      </c>
      <c r="I598" s="3">
        <v>1</v>
      </c>
      <c r="J598" s="33">
        <f>H598*I598</f>
        <v>175.34</v>
      </c>
      <c r="K598" s="4">
        <v>27.85</v>
      </c>
      <c r="L598" s="9">
        <f>IF(J598=0,0,K598/J598)</f>
        <v>0.15883426485684957</v>
      </c>
      <c r="M598" s="25">
        <v>147.49</v>
      </c>
      <c r="N598" s="5" t="s">
        <v>327</v>
      </c>
      <c r="O598" s="5" t="s">
        <v>33</v>
      </c>
      <c r="P598" s="3">
        <v>18</v>
      </c>
      <c r="Q598" s="3">
        <v>15</v>
      </c>
      <c r="R598" s="5" t="b">
        <v>0</v>
      </c>
      <c r="S598" s="5" t="str">
        <f>IF(R598=TRUE,"Returning Customer","New Customer")</f>
        <v>New Customer</v>
      </c>
      <c r="T598" s="3">
        <v>10</v>
      </c>
      <c r="U598" s="12" t="str">
        <f>IF(T598&lt;=3,"Fast",IF(T598&lt;=7,"Standard",IF(T598&lt;=14,"Slow","Very Slow")))</f>
        <v>Slow</v>
      </c>
      <c r="V598" s="10" t="str">
        <f>IF(D598&lt;=25,"18-25",IF(D598&lt;=35,"26-35",IF(D598&lt;=45,"36-45",IF(D598&lt;=55,"46-55",IF(D598&lt;=65,"56-65","66-75")))))</f>
        <v>26-35</v>
      </c>
      <c r="W598" s="3">
        <v>1</v>
      </c>
    </row>
    <row r="599" spans="1:23">
      <c r="A599" s="5" t="s">
        <v>1145</v>
      </c>
      <c r="B599" s="5" t="s">
        <v>1146</v>
      </c>
      <c r="C599" s="6">
        <v>45373</v>
      </c>
      <c r="D599" s="8">
        <v>23</v>
      </c>
      <c r="E599" s="5" t="s">
        <v>20</v>
      </c>
      <c r="F599" s="5" t="s">
        <v>32</v>
      </c>
      <c r="G599" s="5" t="s">
        <v>46</v>
      </c>
      <c r="H599" s="7">
        <v>440.72</v>
      </c>
      <c r="I599" s="3">
        <v>2</v>
      </c>
      <c r="J599" s="33">
        <f>H599*I599</f>
        <v>881.44</v>
      </c>
      <c r="K599" s="4">
        <v>0</v>
      </c>
      <c r="L599" s="9">
        <f>IF(J599=0,0,K599/J599)</f>
        <v>0</v>
      </c>
      <c r="M599" s="25">
        <v>881.44</v>
      </c>
      <c r="N599" s="5" t="s">
        <v>692</v>
      </c>
      <c r="O599" s="5" t="s">
        <v>24</v>
      </c>
      <c r="P599" s="3">
        <v>12</v>
      </c>
      <c r="Q599" s="3">
        <v>8</v>
      </c>
      <c r="R599" s="5" t="b">
        <v>0</v>
      </c>
      <c r="S599" s="5" t="str">
        <f>IF(R599=TRUE,"Returning Customer","New Customer")</f>
        <v>New Customer</v>
      </c>
      <c r="T599" s="3">
        <v>14</v>
      </c>
      <c r="U599" s="12" t="str">
        <f>IF(T599&lt;=3,"Fast",IF(T599&lt;=7,"Standard",IF(T599&lt;=14,"Slow","Very Slow")))</f>
        <v>Slow</v>
      </c>
      <c r="V599" s="10" t="str">
        <f>IF(D599&lt;=25,"18-25",IF(D599&lt;=35,"26-35",IF(D599&lt;=45,"36-45",IF(D599&lt;=55,"46-55",IF(D599&lt;=65,"56-65","66-75")))))</f>
        <v>18-25</v>
      </c>
      <c r="W599" s="3">
        <v>5</v>
      </c>
    </row>
    <row r="600" spans="1:23">
      <c r="A600" s="5" t="s">
        <v>1147</v>
      </c>
      <c r="B600" s="5" t="s">
        <v>1148</v>
      </c>
      <c r="C600" s="6">
        <v>45043</v>
      </c>
      <c r="D600" s="8">
        <v>29</v>
      </c>
      <c r="E600" s="5" t="s">
        <v>36</v>
      </c>
      <c r="F600" s="5" t="s">
        <v>52</v>
      </c>
      <c r="G600" s="5" t="s">
        <v>46</v>
      </c>
      <c r="H600" s="7">
        <v>621.79</v>
      </c>
      <c r="I600" s="3">
        <v>3</v>
      </c>
      <c r="J600" s="33">
        <f>H600*I600</f>
        <v>1865.37</v>
      </c>
      <c r="K600" s="4">
        <v>87.78</v>
      </c>
      <c r="L600" s="9">
        <f>IF(J600=0,0,K600/J600)</f>
        <v>4.7057688287042251E-2</v>
      </c>
      <c r="M600" s="25">
        <v>1777.59</v>
      </c>
      <c r="N600" s="5" t="s">
        <v>692</v>
      </c>
      <c r="O600" s="5" t="s">
        <v>29</v>
      </c>
      <c r="P600" s="3">
        <v>21</v>
      </c>
      <c r="Q600" s="3">
        <v>8</v>
      </c>
      <c r="R600" s="5" t="b">
        <v>0</v>
      </c>
      <c r="S600" s="5" t="str">
        <f>IF(R600=TRUE,"Returning Customer","New Customer")</f>
        <v>New Customer</v>
      </c>
      <c r="T600" s="3">
        <v>3</v>
      </c>
      <c r="U600" s="12" t="str">
        <f>IF(T600&lt;=3,"Fast",IF(T600&lt;=7,"Standard",IF(T600&lt;=14,"Slow","Very Slow")))</f>
        <v>Fast</v>
      </c>
      <c r="V600" s="10" t="str">
        <f>IF(D600&lt;=25,"18-25",IF(D600&lt;=35,"26-35",IF(D600&lt;=45,"36-45",IF(D600&lt;=55,"46-55",IF(D600&lt;=65,"56-65","66-75")))))</f>
        <v>26-35</v>
      </c>
      <c r="W600" s="3">
        <v>4</v>
      </c>
    </row>
    <row r="601" spans="1:23">
      <c r="A601" s="5" t="s">
        <v>634</v>
      </c>
      <c r="B601" s="5" t="s">
        <v>635</v>
      </c>
      <c r="C601" s="6">
        <v>45041</v>
      </c>
      <c r="D601" s="8">
        <v>39</v>
      </c>
      <c r="E601" s="5" t="s">
        <v>20</v>
      </c>
      <c r="F601" s="5" t="s">
        <v>32</v>
      </c>
      <c r="G601" s="5" t="s">
        <v>37</v>
      </c>
      <c r="H601" s="7">
        <v>139.36000000000001</v>
      </c>
      <c r="I601" s="3">
        <v>1</v>
      </c>
      <c r="J601" s="33">
        <f>H601*I601</f>
        <v>139.36000000000001</v>
      </c>
      <c r="K601" s="4">
        <v>0</v>
      </c>
      <c r="L601" s="9">
        <f>IF(J601=0,0,K601/J601)</f>
        <v>0</v>
      </c>
      <c r="M601" s="25">
        <v>139.36000000000001</v>
      </c>
      <c r="N601" s="5" t="s">
        <v>327</v>
      </c>
      <c r="O601" s="5" t="s">
        <v>33</v>
      </c>
      <c r="P601" s="3">
        <v>4</v>
      </c>
      <c r="Q601" s="3">
        <v>14</v>
      </c>
      <c r="R601" s="5" t="b">
        <v>1</v>
      </c>
      <c r="S601" s="5" t="str">
        <f>IF(R601=TRUE,"Returning Customer","New Customer")</f>
        <v>Returning Customer</v>
      </c>
      <c r="T601" s="3">
        <v>3</v>
      </c>
      <c r="U601" s="12" t="str">
        <f>IF(T601&lt;=3,"Fast",IF(T601&lt;=7,"Standard",IF(T601&lt;=14,"Slow","Very Slow")))</f>
        <v>Fast</v>
      </c>
      <c r="V601" s="10" t="str">
        <f>IF(D601&lt;=25,"18-25",IF(D601&lt;=35,"26-35",IF(D601&lt;=45,"36-45",IF(D601&lt;=55,"46-55",IF(D601&lt;=65,"56-65","66-75")))))</f>
        <v>36-45</v>
      </c>
      <c r="W601" s="3">
        <v>5</v>
      </c>
    </row>
    <row r="602" spans="1:23">
      <c r="A602" s="5" t="s">
        <v>636</v>
      </c>
      <c r="B602" s="5" t="s">
        <v>637</v>
      </c>
      <c r="C602" s="6">
        <v>44939</v>
      </c>
      <c r="D602" s="8">
        <v>44</v>
      </c>
      <c r="E602" s="5" t="s">
        <v>20</v>
      </c>
      <c r="F602" s="5" t="s">
        <v>59</v>
      </c>
      <c r="G602" s="5" t="s">
        <v>64</v>
      </c>
      <c r="H602" s="7">
        <v>952.19</v>
      </c>
      <c r="I602" s="3">
        <v>1</v>
      </c>
      <c r="J602" s="33">
        <f>H602*I602</f>
        <v>952.19</v>
      </c>
      <c r="K602" s="4">
        <v>0</v>
      </c>
      <c r="L602" s="9">
        <f>IF(J602=0,0,K602/J602)</f>
        <v>0</v>
      </c>
      <c r="M602" s="25">
        <v>952.19</v>
      </c>
      <c r="N602" s="5" t="s">
        <v>327</v>
      </c>
      <c r="O602" s="5" t="s">
        <v>33</v>
      </c>
      <c r="P602" s="3">
        <v>33</v>
      </c>
      <c r="Q602" s="3">
        <v>8</v>
      </c>
      <c r="R602" s="5" t="b">
        <v>1</v>
      </c>
      <c r="S602" s="5" t="str">
        <f>IF(R602=TRUE,"Returning Customer","New Customer")</f>
        <v>Returning Customer</v>
      </c>
      <c r="T602" s="3">
        <v>3</v>
      </c>
      <c r="U602" s="12" t="str">
        <f>IF(T602&lt;=3,"Fast",IF(T602&lt;=7,"Standard",IF(T602&lt;=14,"Slow","Very Slow")))</f>
        <v>Fast</v>
      </c>
      <c r="V602" s="10" t="str">
        <f>IF(D602&lt;=25,"18-25",IF(D602&lt;=35,"26-35",IF(D602&lt;=45,"36-45",IF(D602&lt;=55,"46-55",IF(D602&lt;=65,"56-65","66-75")))))</f>
        <v>36-45</v>
      </c>
      <c r="W602" s="3">
        <v>2</v>
      </c>
    </row>
    <row r="603" spans="1:23">
      <c r="A603" s="5" t="s">
        <v>1149</v>
      </c>
      <c r="B603" s="5" t="s">
        <v>1150</v>
      </c>
      <c r="C603" s="6">
        <v>45264</v>
      </c>
      <c r="D603" s="8">
        <v>23</v>
      </c>
      <c r="E603" s="5" t="s">
        <v>36</v>
      </c>
      <c r="F603" s="5" t="s">
        <v>21</v>
      </c>
      <c r="G603" s="5" t="s">
        <v>64</v>
      </c>
      <c r="H603" s="7">
        <v>2518.4299999999998</v>
      </c>
      <c r="I603" s="3">
        <v>5</v>
      </c>
      <c r="J603" s="33">
        <f>H603*I603</f>
        <v>12592.15</v>
      </c>
      <c r="K603" s="4">
        <v>0</v>
      </c>
      <c r="L603" s="9">
        <f>IF(J603=0,0,K603/J603)</f>
        <v>0</v>
      </c>
      <c r="M603" s="25">
        <v>12592.15</v>
      </c>
      <c r="N603" s="5" t="s">
        <v>692</v>
      </c>
      <c r="O603" s="5" t="s">
        <v>33</v>
      </c>
      <c r="P603" s="3">
        <v>18</v>
      </c>
      <c r="Q603" s="3">
        <v>16</v>
      </c>
      <c r="R603" s="5" t="b">
        <v>1</v>
      </c>
      <c r="S603" s="5" t="str">
        <f>IF(R603=TRUE,"Returning Customer","New Customer")</f>
        <v>Returning Customer</v>
      </c>
      <c r="T603" s="3">
        <v>19</v>
      </c>
      <c r="U603" s="12" t="str">
        <f>IF(T603&lt;=3,"Fast",IF(T603&lt;=7,"Standard",IF(T603&lt;=14,"Slow","Very Slow")))</f>
        <v>Very Slow</v>
      </c>
      <c r="V603" s="10" t="str">
        <f>IF(D603&lt;=25,"18-25",IF(D603&lt;=35,"26-35",IF(D603&lt;=45,"36-45",IF(D603&lt;=55,"46-55",IF(D603&lt;=65,"56-65","66-75")))))</f>
        <v>18-25</v>
      </c>
      <c r="W603" s="3">
        <v>4</v>
      </c>
    </row>
    <row r="604" spans="1:23">
      <c r="A604" s="5" t="s">
        <v>1151</v>
      </c>
      <c r="B604" s="5" t="s">
        <v>1152</v>
      </c>
      <c r="C604" s="6">
        <v>45025</v>
      </c>
      <c r="D604" s="8">
        <v>45</v>
      </c>
      <c r="E604" s="5" t="s">
        <v>36</v>
      </c>
      <c r="F604" s="5" t="s">
        <v>32</v>
      </c>
      <c r="G604" s="5" t="s">
        <v>22</v>
      </c>
      <c r="H604" s="7">
        <v>75.25</v>
      </c>
      <c r="I604" s="3">
        <v>4</v>
      </c>
      <c r="J604" s="33">
        <f>H604*I604</f>
        <v>301</v>
      </c>
      <c r="K604" s="4">
        <v>0</v>
      </c>
      <c r="L604" s="9">
        <f>IF(J604=0,0,K604/J604)</f>
        <v>0</v>
      </c>
      <c r="M604" s="25">
        <v>301</v>
      </c>
      <c r="N604" s="5" t="s">
        <v>692</v>
      </c>
      <c r="O604" s="5" t="s">
        <v>33</v>
      </c>
      <c r="P604" s="3">
        <v>33</v>
      </c>
      <c r="Q604" s="3">
        <v>8</v>
      </c>
      <c r="R604" s="5" t="b">
        <v>1</v>
      </c>
      <c r="S604" s="5" t="str">
        <f>IF(R604=TRUE,"Returning Customer","New Customer")</f>
        <v>Returning Customer</v>
      </c>
      <c r="T604" s="3">
        <v>4</v>
      </c>
      <c r="U604" s="12" t="str">
        <f>IF(T604&lt;=3,"Fast",IF(T604&lt;=7,"Standard",IF(T604&lt;=14,"Slow","Very Slow")))</f>
        <v>Standard</v>
      </c>
      <c r="V604" s="10" t="str">
        <f>IF(D604&lt;=25,"18-25",IF(D604&lt;=35,"26-35",IF(D604&lt;=45,"36-45",IF(D604&lt;=55,"46-55",IF(D604&lt;=65,"56-65","66-75")))))</f>
        <v>36-45</v>
      </c>
      <c r="W604" s="3">
        <v>3</v>
      </c>
    </row>
    <row r="605" spans="1:23">
      <c r="A605" s="5" t="s">
        <v>1153</v>
      </c>
      <c r="B605" s="5" t="s">
        <v>1154</v>
      </c>
      <c r="C605" s="6">
        <v>45131</v>
      </c>
      <c r="D605" s="8">
        <v>51</v>
      </c>
      <c r="E605" s="5" t="s">
        <v>20</v>
      </c>
      <c r="F605" s="5" t="s">
        <v>21</v>
      </c>
      <c r="G605" s="5" t="s">
        <v>46</v>
      </c>
      <c r="H605" s="7">
        <v>648.30999999999995</v>
      </c>
      <c r="I605" s="3">
        <v>1</v>
      </c>
      <c r="J605" s="33">
        <f>H605*I605</f>
        <v>648.30999999999995</v>
      </c>
      <c r="K605" s="4">
        <v>0</v>
      </c>
      <c r="L605" s="9">
        <f>IF(J605=0,0,K605/J605)</f>
        <v>0</v>
      </c>
      <c r="M605" s="25">
        <v>648.30999999999995</v>
      </c>
      <c r="N605" s="5" t="s">
        <v>692</v>
      </c>
      <c r="O605" s="5" t="s">
        <v>24</v>
      </c>
      <c r="P605" s="3">
        <v>22</v>
      </c>
      <c r="Q605" s="3">
        <v>11</v>
      </c>
      <c r="R605" s="5" t="b">
        <v>1</v>
      </c>
      <c r="S605" s="5" t="str">
        <f>IF(R605=TRUE,"Returning Customer","New Customer")</f>
        <v>Returning Customer</v>
      </c>
      <c r="T605" s="3">
        <v>17</v>
      </c>
      <c r="U605" s="12" t="str">
        <f>IF(T605&lt;=3,"Fast",IF(T605&lt;=7,"Standard",IF(T605&lt;=14,"Slow","Very Slow")))</f>
        <v>Very Slow</v>
      </c>
      <c r="V605" s="10" t="str">
        <f>IF(D605&lt;=25,"18-25",IF(D605&lt;=35,"26-35",IF(D605&lt;=45,"36-45",IF(D605&lt;=55,"46-55",IF(D605&lt;=65,"56-65","66-75")))))</f>
        <v>46-55</v>
      </c>
      <c r="W605" s="3">
        <v>5</v>
      </c>
    </row>
    <row r="606" spans="1:23">
      <c r="A606" s="5" t="s">
        <v>638</v>
      </c>
      <c r="B606" s="5" t="s">
        <v>639</v>
      </c>
      <c r="C606" s="6">
        <v>45095</v>
      </c>
      <c r="D606" s="8">
        <v>39</v>
      </c>
      <c r="E606" s="5" t="s">
        <v>36</v>
      </c>
      <c r="F606" s="5" t="s">
        <v>32</v>
      </c>
      <c r="G606" s="5" t="s">
        <v>28</v>
      </c>
      <c r="H606" s="7">
        <v>104.19</v>
      </c>
      <c r="I606" s="3">
        <v>4</v>
      </c>
      <c r="J606" s="33">
        <f>H606*I606</f>
        <v>416.76</v>
      </c>
      <c r="K606" s="4">
        <v>0</v>
      </c>
      <c r="L606" s="9">
        <f>IF(J606=0,0,K606/J606)</f>
        <v>0</v>
      </c>
      <c r="M606" s="25">
        <v>416.76</v>
      </c>
      <c r="N606" s="5" t="s">
        <v>327</v>
      </c>
      <c r="O606" s="5" t="s">
        <v>24</v>
      </c>
      <c r="P606" s="3">
        <v>10</v>
      </c>
      <c r="Q606" s="3">
        <v>11</v>
      </c>
      <c r="R606" s="5" t="b">
        <v>0</v>
      </c>
      <c r="S606" s="5" t="str">
        <f>IF(R606=TRUE,"Returning Customer","New Customer")</f>
        <v>New Customer</v>
      </c>
      <c r="T606" s="3">
        <v>7</v>
      </c>
      <c r="U606" s="12" t="str">
        <f>IF(T606&lt;=3,"Fast",IF(T606&lt;=7,"Standard",IF(T606&lt;=14,"Slow","Very Slow")))</f>
        <v>Standard</v>
      </c>
      <c r="V606" s="10" t="str">
        <f>IF(D606&lt;=25,"18-25",IF(D606&lt;=35,"26-35",IF(D606&lt;=45,"36-45",IF(D606&lt;=55,"46-55",IF(D606&lt;=65,"56-65","66-75")))))</f>
        <v>36-45</v>
      </c>
      <c r="W606" s="3">
        <v>3</v>
      </c>
    </row>
    <row r="607" spans="1:23">
      <c r="A607" s="5" t="s">
        <v>1288</v>
      </c>
      <c r="B607" s="5" t="s">
        <v>1289</v>
      </c>
      <c r="C607" s="6">
        <v>45069</v>
      </c>
      <c r="D607" s="8">
        <v>57</v>
      </c>
      <c r="E607" s="5" t="s">
        <v>36</v>
      </c>
      <c r="F607" s="5" t="s">
        <v>32</v>
      </c>
      <c r="G607" s="5" t="s">
        <v>37</v>
      </c>
      <c r="H607" s="7">
        <v>194.88</v>
      </c>
      <c r="I607" s="3">
        <v>4</v>
      </c>
      <c r="J607" s="33">
        <f>H607*I607</f>
        <v>779.52</v>
      </c>
      <c r="K607" s="4">
        <v>11.1</v>
      </c>
      <c r="L607" s="9">
        <f>IF(J607=0,0,K607/J607)</f>
        <v>1.4239532019704433E-2</v>
      </c>
      <c r="M607" s="25">
        <v>768.42</v>
      </c>
      <c r="N607" s="5" t="s">
        <v>1231</v>
      </c>
      <c r="O607" s="5" t="s">
        <v>24</v>
      </c>
      <c r="P607" s="3">
        <v>20</v>
      </c>
      <c r="Q607" s="3">
        <v>10</v>
      </c>
      <c r="R607" s="5" t="b">
        <v>1</v>
      </c>
      <c r="S607" s="5" t="str">
        <f>IF(R607=TRUE,"Returning Customer","New Customer")</f>
        <v>Returning Customer</v>
      </c>
      <c r="T607" s="3">
        <v>10</v>
      </c>
      <c r="U607" s="12" t="str">
        <f>IF(T607&lt;=3,"Fast",IF(T607&lt;=7,"Standard",IF(T607&lt;=14,"Slow","Very Slow")))</f>
        <v>Slow</v>
      </c>
      <c r="V607" s="10" t="str">
        <f>IF(D607&lt;=25,"18-25",IF(D607&lt;=35,"26-35",IF(D607&lt;=45,"36-45",IF(D607&lt;=55,"46-55",IF(D607&lt;=65,"56-65","66-75")))))</f>
        <v>56-65</v>
      </c>
      <c r="W607" s="3">
        <v>4</v>
      </c>
    </row>
    <row r="608" spans="1:23">
      <c r="A608" s="5" t="s">
        <v>285</v>
      </c>
      <c r="B608" s="5" t="s">
        <v>286</v>
      </c>
      <c r="C608" s="6">
        <v>45369</v>
      </c>
      <c r="D608" s="8">
        <v>25</v>
      </c>
      <c r="E608" s="5" t="s">
        <v>36</v>
      </c>
      <c r="F608" s="5" t="s">
        <v>32</v>
      </c>
      <c r="G608" s="5" t="s">
        <v>28</v>
      </c>
      <c r="H608" s="7">
        <v>98.78</v>
      </c>
      <c r="I608" s="3">
        <v>2</v>
      </c>
      <c r="J608" s="33">
        <f>H608*I608</f>
        <v>197.56</v>
      </c>
      <c r="K608" s="4">
        <v>0</v>
      </c>
      <c r="L608" s="9">
        <f>IF(J608=0,0,K608/J608)</f>
        <v>0</v>
      </c>
      <c r="M608" s="25">
        <v>197.56</v>
      </c>
      <c r="N608" s="5" t="s">
        <v>23</v>
      </c>
      <c r="O608" s="5" t="s">
        <v>33</v>
      </c>
      <c r="P608" s="3">
        <v>29</v>
      </c>
      <c r="Q608" s="3">
        <v>6</v>
      </c>
      <c r="R608" s="5" t="b">
        <v>1</v>
      </c>
      <c r="S608" s="5" t="str">
        <f>IF(R608=TRUE,"Returning Customer","New Customer")</f>
        <v>Returning Customer</v>
      </c>
      <c r="T608" s="3">
        <v>7</v>
      </c>
      <c r="U608" s="12" t="str">
        <f>IF(T608&lt;=3,"Fast",IF(T608&lt;=7,"Standard",IF(T608&lt;=14,"Slow","Very Slow")))</f>
        <v>Standard</v>
      </c>
      <c r="V608" s="10" t="str">
        <f>IF(D608&lt;=25,"18-25",IF(D608&lt;=35,"26-35",IF(D608&lt;=45,"36-45",IF(D608&lt;=55,"46-55",IF(D608&lt;=65,"56-65","66-75")))))</f>
        <v>18-25</v>
      </c>
      <c r="W608" s="3">
        <v>5</v>
      </c>
    </row>
    <row r="609" spans="1:23">
      <c r="A609" s="5" t="s">
        <v>1429</v>
      </c>
      <c r="B609" s="5" t="s">
        <v>1430</v>
      </c>
      <c r="C609" s="6">
        <v>44962</v>
      </c>
      <c r="D609" s="8">
        <v>20</v>
      </c>
      <c r="E609" s="5" t="s">
        <v>20</v>
      </c>
      <c r="F609" s="5" t="s">
        <v>88</v>
      </c>
      <c r="G609" s="5" t="s">
        <v>56</v>
      </c>
      <c r="H609" s="7">
        <v>1119.96</v>
      </c>
      <c r="I609" s="3">
        <v>1</v>
      </c>
      <c r="J609" s="33">
        <f>H609*I609</f>
        <v>1119.96</v>
      </c>
      <c r="K609" s="4">
        <v>0</v>
      </c>
      <c r="L609" s="9">
        <f>IF(J609=0,0,K609/J609)</f>
        <v>0</v>
      </c>
      <c r="M609" s="25">
        <v>1119.96</v>
      </c>
      <c r="N609" s="5" t="s">
        <v>1298</v>
      </c>
      <c r="O609" s="5" t="s">
        <v>24</v>
      </c>
      <c r="P609" s="3">
        <v>16</v>
      </c>
      <c r="Q609" s="3">
        <v>12</v>
      </c>
      <c r="R609" s="5" t="b">
        <v>0</v>
      </c>
      <c r="S609" s="5" t="str">
        <f>IF(R609=TRUE,"Returning Customer","New Customer")</f>
        <v>New Customer</v>
      </c>
      <c r="T609" s="3">
        <v>5</v>
      </c>
      <c r="U609" s="12" t="str">
        <f>IF(T609&lt;=3,"Fast",IF(T609&lt;=7,"Standard",IF(T609&lt;=14,"Slow","Very Slow")))</f>
        <v>Standard</v>
      </c>
      <c r="V609" s="10" t="str">
        <f>IF(D609&lt;=25,"18-25",IF(D609&lt;=35,"26-35",IF(D609&lt;=45,"36-45",IF(D609&lt;=55,"46-55",IF(D609&lt;=65,"56-65","66-75")))))</f>
        <v>18-25</v>
      </c>
      <c r="W609" s="3">
        <v>5</v>
      </c>
    </row>
    <row r="610" spans="1:23">
      <c r="A610" s="5" t="s">
        <v>640</v>
      </c>
      <c r="B610" s="5" t="s">
        <v>641</v>
      </c>
      <c r="C610" s="6">
        <v>45322</v>
      </c>
      <c r="D610" s="8">
        <v>18</v>
      </c>
      <c r="E610" s="5" t="s">
        <v>36</v>
      </c>
      <c r="F610" s="5" t="s">
        <v>76</v>
      </c>
      <c r="G610" s="5" t="s">
        <v>64</v>
      </c>
      <c r="H610" s="7">
        <v>1760.08</v>
      </c>
      <c r="I610" s="3">
        <v>1</v>
      </c>
      <c r="J610" s="33">
        <f>H610*I610</f>
        <v>1760.08</v>
      </c>
      <c r="K610" s="4">
        <v>0</v>
      </c>
      <c r="L610" s="9">
        <f>IF(J610=0,0,K610/J610)</f>
        <v>0</v>
      </c>
      <c r="M610" s="25">
        <v>1760.08</v>
      </c>
      <c r="N610" s="5" t="s">
        <v>327</v>
      </c>
      <c r="O610" s="5" t="s">
        <v>33</v>
      </c>
      <c r="P610" s="3">
        <v>18</v>
      </c>
      <c r="Q610" s="3">
        <v>5</v>
      </c>
      <c r="R610" s="5" t="b">
        <v>0</v>
      </c>
      <c r="S610" s="5" t="str">
        <f>IF(R610=TRUE,"Returning Customer","New Customer")</f>
        <v>New Customer</v>
      </c>
      <c r="T610" s="3">
        <v>5</v>
      </c>
      <c r="U610" s="12" t="str">
        <f>IF(T610&lt;=3,"Fast",IF(T610&lt;=7,"Standard",IF(T610&lt;=14,"Slow","Very Slow")))</f>
        <v>Standard</v>
      </c>
      <c r="V610" s="10" t="str">
        <f>IF(D610&lt;=25,"18-25",IF(D610&lt;=35,"26-35",IF(D610&lt;=45,"36-45",IF(D610&lt;=55,"46-55",IF(D610&lt;=65,"56-65","66-75")))))</f>
        <v>18-25</v>
      </c>
      <c r="W610" s="3">
        <v>5</v>
      </c>
    </row>
    <row r="611" spans="1:23">
      <c r="A611" s="5" t="s">
        <v>642</v>
      </c>
      <c r="B611" s="5" t="s">
        <v>643</v>
      </c>
      <c r="C611" s="6">
        <v>45069</v>
      </c>
      <c r="D611" s="8">
        <v>52</v>
      </c>
      <c r="E611" s="5" t="s">
        <v>36</v>
      </c>
      <c r="F611" s="5" t="s">
        <v>59</v>
      </c>
      <c r="G611" s="5" t="s">
        <v>115</v>
      </c>
      <c r="H611" s="7">
        <v>99.44</v>
      </c>
      <c r="I611" s="3">
        <v>1</v>
      </c>
      <c r="J611" s="33">
        <f>H611*I611</f>
        <v>99.44</v>
      </c>
      <c r="K611" s="4">
        <v>0</v>
      </c>
      <c r="L611" s="9">
        <f>IF(J611=0,0,K611/J611)</f>
        <v>0</v>
      </c>
      <c r="M611" s="25">
        <v>99.44</v>
      </c>
      <c r="N611" s="5" t="s">
        <v>327</v>
      </c>
      <c r="O611" s="5" t="s">
        <v>24</v>
      </c>
      <c r="P611" s="3">
        <v>7</v>
      </c>
      <c r="Q611" s="3">
        <v>10</v>
      </c>
      <c r="R611" s="5" t="b">
        <v>0</v>
      </c>
      <c r="S611" s="5" t="str">
        <f>IF(R611=TRUE,"Returning Customer","New Customer")</f>
        <v>New Customer</v>
      </c>
      <c r="T611" s="3">
        <v>2</v>
      </c>
      <c r="U611" s="12" t="str">
        <f>IF(T611&lt;=3,"Fast",IF(T611&lt;=7,"Standard",IF(T611&lt;=14,"Slow","Very Slow")))</f>
        <v>Fast</v>
      </c>
      <c r="V611" s="10" t="str">
        <f>IF(D611&lt;=25,"18-25",IF(D611&lt;=35,"26-35",IF(D611&lt;=45,"36-45",IF(D611&lt;=55,"46-55",IF(D611&lt;=65,"56-65","66-75")))))</f>
        <v>46-55</v>
      </c>
      <c r="W611" s="3">
        <v>4</v>
      </c>
    </row>
    <row r="612" spans="1:23">
      <c r="A612" s="5" t="s">
        <v>1155</v>
      </c>
      <c r="B612" s="5" t="s">
        <v>1156</v>
      </c>
      <c r="C612" s="6">
        <v>45106</v>
      </c>
      <c r="D612" s="8">
        <v>42</v>
      </c>
      <c r="E612" s="5" t="s">
        <v>20</v>
      </c>
      <c r="F612" s="5" t="s">
        <v>52</v>
      </c>
      <c r="G612" s="5" t="s">
        <v>28</v>
      </c>
      <c r="H612" s="7">
        <v>150.49</v>
      </c>
      <c r="I612" s="3">
        <v>1</v>
      </c>
      <c r="J612" s="33">
        <f>H612*I612</f>
        <v>150.49</v>
      </c>
      <c r="K612" s="4">
        <v>0</v>
      </c>
      <c r="L612" s="9">
        <f>IF(J612=0,0,K612/J612)</f>
        <v>0</v>
      </c>
      <c r="M612" s="25">
        <v>150.49</v>
      </c>
      <c r="N612" s="5" t="s">
        <v>692</v>
      </c>
      <c r="O612" s="5" t="s">
        <v>24</v>
      </c>
      <c r="P612" s="3">
        <v>18</v>
      </c>
      <c r="Q612" s="3">
        <v>8</v>
      </c>
      <c r="R612" s="5" t="b">
        <v>0</v>
      </c>
      <c r="S612" s="5" t="str">
        <f>IF(R612=TRUE,"Returning Customer","New Customer")</f>
        <v>New Customer</v>
      </c>
      <c r="T612" s="3">
        <v>8</v>
      </c>
      <c r="U612" s="12" t="str">
        <f>IF(T612&lt;=3,"Fast",IF(T612&lt;=7,"Standard",IF(T612&lt;=14,"Slow","Very Slow")))</f>
        <v>Slow</v>
      </c>
      <c r="V612" s="10" t="str">
        <f>IF(D612&lt;=25,"18-25",IF(D612&lt;=35,"26-35",IF(D612&lt;=45,"36-45",IF(D612&lt;=55,"46-55",IF(D612&lt;=65,"56-65","66-75")))))</f>
        <v>36-45</v>
      </c>
      <c r="W612" s="3">
        <v>4</v>
      </c>
    </row>
    <row r="613" spans="1:23">
      <c r="A613" s="5" t="s">
        <v>287</v>
      </c>
      <c r="B613" s="5" t="s">
        <v>288</v>
      </c>
      <c r="C613" s="6">
        <v>45255</v>
      </c>
      <c r="D613" s="8">
        <v>34</v>
      </c>
      <c r="E613" s="5" t="s">
        <v>20</v>
      </c>
      <c r="F613" s="5" t="s">
        <v>52</v>
      </c>
      <c r="G613" s="5" t="s">
        <v>46</v>
      </c>
      <c r="H613" s="7">
        <v>96.64</v>
      </c>
      <c r="I613" s="3">
        <v>1</v>
      </c>
      <c r="J613" s="33">
        <f>H613*I613</f>
        <v>96.64</v>
      </c>
      <c r="K613" s="4">
        <v>0</v>
      </c>
      <c r="L613" s="9">
        <f>IF(J613=0,0,K613/J613)</f>
        <v>0</v>
      </c>
      <c r="M613" s="25">
        <v>96.64</v>
      </c>
      <c r="N613" s="5" t="s">
        <v>23</v>
      </c>
      <c r="O613" s="5" t="s">
        <v>24</v>
      </c>
      <c r="P613" s="3">
        <v>13</v>
      </c>
      <c r="Q613" s="3">
        <v>3</v>
      </c>
      <c r="R613" s="5" t="b">
        <v>0</v>
      </c>
      <c r="S613" s="5" t="str">
        <f>IF(R613=TRUE,"Returning Customer","New Customer")</f>
        <v>New Customer</v>
      </c>
      <c r="T613" s="3">
        <v>11</v>
      </c>
      <c r="U613" s="12" t="str">
        <f>IF(T613&lt;=3,"Fast",IF(T613&lt;=7,"Standard",IF(T613&lt;=14,"Slow","Very Slow")))</f>
        <v>Slow</v>
      </c>
      <c r="V613" s="10" t="str">
        <f>IF(D613&lt;=25,"18-25",IF(D613&lt;=35,"26-35",IF(D613&lt;=45,"36-45",IF(D613&lt;=55,"46-55",IF(D613&lt;=65,"56-65","66-75")))))</f>
        <v>26-35</v>
      </c>
      <c r="W613" s="3">
        <v>5</v>
      </c>
    </row>
    <row r="614" spans="1:23">
      <c r="A614" s="5" t="s">
        <v>644</v>
      </c>
      <c r="B614" s="5" t="s">
        <v>645</v>
      </c>
      <c r="C614" s="6">
        <v>45187</v>
      </c>
      <c r="D614" s="8">
        <v>38</v>
      </c>
      <c r="E614" s="5" t="s">
        <v>36</v>
      </c>
      <c r="F614" s="5" t="s">
        <v>73</v>
      </c>
      <c r="G614" s="5" t="s">
        <v>53</v>
      </c>
      <c r="H614" s="7">
        <v>93.94</v>
      </c>
      <c r="I614" s="3">
        <v>5</v>
      </c>
      <c r="J614" s="33">
        <f>H614*I614</f>
        <v>469.7</v>
      </c>
      <c r="K614" s="4">
        <v>0</v>
      </c>
      <c r="L614" s="9">
        <f>IF(J614=0,0,K614/J614)</f>
        <v>0</v>
      </c>
      <c r="M614" s="25">
        <v>469.7</v>
      </c>
      <c r="N614" s="5" t="s">
        <v>327</v>
      </c>
      <c r="O614" s="5" t="s">
        <v>33</v>
      </c>
      <c r="P614" s="3">
        <v>10</v>
      </c>
      <c r="Q614" s="3">
        <v>10</v>
      </c>
      <c r="R614" s="5" t="b">
        <v>0</v>
      </c>
      <c r="S614" s="5" t="str">
        <f>IF(R614=TRUE,"Returning Customer","New Customer")</f>
        <v>New Customer</v>
      </c>
      <c r="T614" s="3">
        <v>2</v>
      </c>
      <c r="U614" s="12" t="str">
        <f>IF(T614&lt;=3,"Fast",IF(T614&lt;=7,"Standard",IF(T614&lt;=14,"Slow","Very Slow")))</f>
        <v>Fast</v>
      </c>
      <c r="V614" s="10" t="str">
        <f>IF(D614&lt;=25,"18-25",IF(D614&lt;=35,"26-35",IF(D614&lt;=45,"36-45",IF(D614&lt;=55,"46-55",IF(D614&lt;=65,"56-65","66-75")))))</f>
        <v>36-45</v>
      </c>
      <c r="W614" s="3">
        <v>5</v>
      </c>
    </row>
    <row r="615" spans="1:23">
      <c r="A615" s="5" t="s">
        <v>289</v>
      </c>
      <c r="B615" s="5" t="s">
        <v>290</v>
      </c>
      <c r="C615" s="6">
        <v>45131</v>
      </c>
      <c r="D615" s="8">
        <v>21</v>
      </c>
      <c r="E615" s="5" t="s">
        <v>20</v>
      </c>
      <c r="F615" s="5" t="s">
        <v>27</v>
      </c>
      <c r="G615" s="5" t="s">
        <v>37</v>
      </c>
      <c r="H615" s="7">
        <v>193.69</v>
      </c>
      <c r="I615" s="3">
        <v>1</v>
      </c>
      <c r="J615" s="33">
        <f>H615*I615</f>
        <v>193.69</v>
      </c>
      <c r="K615" s="4">
        <v>0</v>
      </c>
      <c r="L615" s="9">
        <f>IF(J615=0,0,K615/J615)</f>
        <v>0</v>
      </c>
      <c r="M615" s="25">
        <v>193.69</v>
      </c>
      <c r="N615" s="5" t="s">
        <v>23</v>
      </c>
      <c r="O615" s="5" t="s">
        <v>33</v>
      </c>
      <c r="P615" s="3">
        <v>24</v>
      </c>
      <c r="Q615" s="3">
        <v>13</v>
      </c>
      <c r="R615" s="5" t="b">
        <v>1</v>
      </c>
      <c r="S615" s="5" t="str">
        <f>IF(R615=TRUE,"Returning Customer","New Customer")</f>
        <v>Returning Customer</v>
      </c>
      <c r="T615" s="3">
        <v>4</v>
      </c>
      <c r="U615" s="12" t="str">
        <f>IF(T615&lt;=3,"Fast",IF(T615&lt;=7,"Standard",IF(T615&lt;=14,"Slow","Very Slow")))</f>
        <v>Standard</v>
      </c>
      <c r="V615" s="10" t="str">
        <f>IF(D615&lt;=25,"18-25",IF(D615&lt;=35,"26-35",IF(D615&lt;=45,"36-45",IF(D615&lt;=55,"46-55",IF(D615&lt;=65,"56-65","66-75")))))</f>
        <v>18-25</v>
      </c>
      <c r="W615" s="3">
        <v>5</v>
      </c>
    </row>
    <row r="616" spans="1:23">
      <c r="A616" s="5" t="s">
        <v>646</v>
      </c>
      <c r="B616" s="5" t="s">
        <v>647</v>
      </c>
      <c r="C616" s="6">
        <v>45274</v>
      </c>
      <c r="D616" s="8">
        <v>64</v>
      </c>
      <c r="E616" s="5" t="s">
        <v>36</v>
      </c>
      <c r="F616" s="5" t="s">
        <v>83</v>
      </c>
      <c r="G616" s="5" t="s">
        <v>22</v>
      </c>
      <c r="H616" s="7">
        <v>182.17</v>
      </c>
      <c r="I616" s="3">
        <v>2</v>
      </c>
      <c r="J616" s="33">
        <f>H616*I616</f>
        <v>364.34</v>
      </c>
      <c r="K616" s="4">
        <v>0</v>
      </c>
      <c r="L616" s="9">
        <f>IF(J616=0,0,K616/J616)</f>
        <v>0</v>
      </c>
      <c r="M616" s="25">
        <v>364.34</v>
      </c>
      <c r="N616" s="5" t="s">
        <v>327</v>
      </c>
      <c r="O616" s="5" t="s">
        <v>33</v>
      </c>
      <c r="P616" s="3">
        <v>4</v>
      </c>
      <c r="Q616" s="3">
        <v>5</v>
      </c>
      <c r="R616" s="5" t="b">
        <v>1</v>
      </c>
      <c r="S616" s="5" t="str">
        <f>IF(R616=TRUE,"Returning Customer","New Customer")</f>
        <v>Returning Customer</v>
      </c>
      <c r="T616" s="3">
        <v>3</v>
      </c>
      <c r="U616" s="12" t="str">
        <f>IF(T616&lt;=3,"Fast",IF(T616&lt;=7,"Standard",IF(T616&lt;=14,"Slow","Very Slow")))</f>
        <v>Fast</v>
      </c>
      <c r="V616" s="10" t="str">
        <f>IF(D616&lt;=25,"18-25",IF(D616&lt;=35,"26-35",IF(D616&lt;=45,"36-45",IF(D616&lt;=55,"46-55",IF(D616&lt;=65,"56-65","66-75")))))</f>
        <v>56-65</v>
      </c>
      <c r="W616" s="3">
        <v>5</v>
      </c>
    </row>
    <row r="617" spans="1:23">
      <c r="A617" s="5" t="s">
        <v>1157</v>
      </c>
      <c r="B617" s="5" t="s">
        <v>1158</v>
      </c>
      <c r="C617" s="6">
        <v>45358</v>
      </c>
      <c r="D617" s="8">
        <v>36</v>
      </c>
      <c r="E617" s="5" t="s">
        <v>20</v>
      </c>
      <c r="F617" s="5" t="s">
        <v>32</v>
      </c>
      <c r="G617" s="5" t="s">
        <v>64</v>
      </c>
      <c r="H617" s="7">
        <v>810.6</v>
      </c>
      <c r="I617" s="3">
        <v>2</v>
      </c>
      <c r="J617" s="33">
        <f>H617*I617</f>
        <v>1621.2</v>
      </c>
      <c r="K617" s="4">
        <v>0</v>
      </c>
      <c r="L617" s="9">
        <f>IF(J617=0,0,K617/J617)</f>
        <v>0</v>
      </c>
      <c r="M617" s="25">
        <v>1621.2</v>
      </c>
      <c r="N617" s="5" t="s">
        <v>692</v>
      </c>
      <c r="O617" s="5" t="s">
        <v>24</v>
      </c>
      <c r="P617" s="3">
        <v>17</v>
      </c>
      <c r="Q617" s="3">
        <v>5</v>
      </c>
      <c r="R617" s="5" t="b">
        <v>0</v>
      </c>
      <c r="S617" s="5" t="str">
        <f>IF(R617=TRUE,"Returning Customer","New Customer")</f>
        <v>New Customer</v>
      </c>
      <c r="T617" s="3">
        <v>10</v>
      </c>
      <c r="U617" s="12" t="str">
        <f>IF(T617&lt;=3,"Fast",IF(T617&lt;=7,"Standard",IF(T617&lt;=14,"Slow","Very Slow")))</f>
        <v>Slow</v>
      </c>
      <c r="V617" s="10" t="str">
        <f>IF(D617&lt;=25,"18-25",IF(D617&lt;=35,"26-35",IF(D617&lt;=45,"36-45",IF(D617&lt;=55,"46-55",IF(D617&lt;=65,"56-65","66-75")))))</f>
        <v>36-45</v>
      </c>
      <c r="W617" s="3">
        <v>5</v>
      </c>
    </row>
    <row r="618" spans="1:23">
      <c r="A618" s="5" t="s">
        <v>1159</v>
      </c>
      <c r="B618" s="5" t="s">
        <v>1160</v>
      </c>
      <c r="C618" s="6">
        <v>45201</v>
      </c>
      <c r="D618" s="8">
        <v>36</v>
      </c>
      <c r="E618" s="5" t="s">
        <v>20</v>
      </c>
      <c r="F618" s="5" t="s">
        <v>32</v>
      </c>
      <c r="G618" s="5" t="s">
        <v>64</v>
      </c>
      <c r="H618" s="7">
        <v>2590.17</v>
      </c>
      <c r="I618" s="3">
        <v>1</v>
      </c>
      <c r="J618" s="33">
        <f>H618*I618</f>
        <v>2590.17</v>
      </c>
      <c r="K618" s="4">
        <v>480.47</v>
      </c>
      <c r="L618" s="9">
        <f>IF(J618=0,0,K618/J618)</f>
        <v>0.18549747699957919</v>
      </c>
      <c r="M618" s="25">
        <v>2109.6999999999998</v>
      </c>
      <c r="N618" s="5" t="s">
        <v>692</v>
      </c>
      <c r="O618" s="5" t="s">
        <v>33</v>
      </c>
      <c r="P618" s="3">
        <v>20</v>
      </c>
      <c r="Q618" s="3">
        <v>7</v>
      </c>
      <c r="R618" s="5" t="b">
        <v>1</v>
      </c>
      <c r="S618" s="5" t="str">
        <f>IF(R618=TRUE,"Returning Customer","New Customer")</f>
        <v>Returning Customer</v>
      </c>
      <c r="T618" s="3">
        <v>2</v>
      </c>
      <c r="U618" s="12" t="str">
        <f>IF(T618&lt;=3,"Fast",IF(T618&lt;=7,"Standard",IF(T618&lt;=14,"Slow","Very Slow")))</f>
        <v>Fast</v>
      </c>
      <c r="V618" s="10" t="str">
        <f>IF(D618&lt;=25,"18-25",IF(D618&lt;=35,"26-35",IF(D618&lt;=45,"36-45",IF(D618&lt;=55,"46-55",IF(D618&lt;=65,"56-65","66-75")))))</f>
        <v>36-45</v>
      </c>
      <c r="W618" s="3">
        <v>3</v>
      </c>
    </row>
    <row r="619" spans="1:23">
      <c r="A619" s="5" t="s">
        <v>291</v>
      </c>
      <c r="B619" s="5" t="s">
        <v>292</v>
      </c>
      <c r="C619" s="6">
        <v>45096</v>
      </c>
      <c r="D619" s="8">
        <v>43</v>
      </c>
      <c r="E619" s="5" t="s">
        <v>20</v>
      </c>
      <c r="F619" s="5" t="s">
        <v>49</v>
      </c>
      <c r="G619" s="5" t="s">
        <v>56</v>
      </c>
      <c r="H619" s="7">
        <v>702.02</v>
      </c>
      <c r="I619" s="3">
        <v>2</v>
      </c>
      <c r="J619" s="33">
        <f>H619*I619</f>
        <v>1404.04</v>
      </c>
      <c r="K619" s="4">
        <v>104.29</v>
      </c>
      <c r="L619" s="9">
        <f>IF(J619=0,0,K619/J619)</f>
        <v>7.4278510583744059E-2</v>
      </c>
      <c r="M619" s="25">
        <v>1299.75</v>
      </c>
      <c r="N619" s="5" t="s">
        <v>23</v>
      </c>
      <c r="O619" s="5" t="s">
        <v>29</v>
      </c>
      <c r="P619" s="3">
        <v>12</v>
      </c>
      <c r="Q619" s="3">
        <v>11</v>
      </c>
      <c r="R619" s="5" t="b">
        <v>1</v>
      </c>
      <c r="S619" s="5" t="str">
        <f>IF(R619=TRUE,"Returning Customer","New Customer")</f>
        <v>Returning Customer</v>
      </c>
      <c r="T619" s="3">
        <v>6</v>
      </c>
      <c r="U619" s="12" t="str">
        <f>IF(T619&lt;=3,"Fast",IF(T619&lt;=7,"Standard",IF(T619&lt;=14,"Slow","Very Slow")))</f>
        <v>Standard</v>
      </c>
      <c r="V619" s="10" t="str">
        <f>IF(D619&lt;=25,"18-25",IF(D619&lt;=35,"26-35",IF(D619&lt;=45,"36-45",IF(D619&lt;=55,"46-55",IF(D619&lt;=65,"56-65","66-75")))))</f>
        <v>36-45</v>
      </c>
      <c r="W619" s="3">
        <v>5</v>
      </c>
    </row>
    <row r="620" spans="1:23">
      <c r="A620" s="5" t="s">
        <v>1161</v>
      </c>
      <c r="B620" s="5" t="s">
        <v>1162</v>
      </c>
      <c r="C620" s="6">
        <v>44941</v>
      </c>
      <c r="D620" s="8">
        <v>40</v>
      </c>
      <c r="E620" s="5" t="s">
        <v>36</v>
      </c>
      <c r="F620" s="5" t="s">
        <v>59</v>
      </c>
      <c r="G620" s="5" t="s">
        <v>64</v>
      </c>
      <c r="H620" s="7">
        <v>1239.23</v>
      </c>
      <c r="I620" s="3">
        <v>1</v>
      </c>
      <c r="J620" s="33">
        <f>H620*I620</f>
        <v>1239.23</v>
      </c>
      <c r="K620" s="4">
        <v>0</v>
      </c>
      <c r="L620" s="9">
        <f>IF(J620=0,0,K620/J620)</f>
        <v>0</v>
      </c>
      <c r="M620" s="25">
        <v>1239.23</v>
      </c>
      <c r="N620" s="5" t="s">
        <v>692</v>
      </c>
      <c r="O620" s="5" t="s">
        <v>24</v>
      </c>
      <c r="P620" s="3">
        <v>31</v>
      </c>
      <c r="Q620" s="3">
        <v>13</v>
      </c>
      <c r="R620" s="5" t="b">
        <v>1</v>
      </c>
      <c r="S620" s="5" t="str">
        <f>IF(R620=TRUE,"Returning Customer","New Customer")</f>
        <v>Returning Customer</v>
      </c>
      <c r="T620" s="3">
        <v>12</v>
      </c>
      <c r="U620" s="12" t="str">
        <f>IF(T620&lt;=3,"Fast",IF(T620&lt;=7,"Standard",IF(T620&lt;=14,"Slow","Very Slow")))</f>
        <v>Slow</v>
      </c>
      <c r="V620" s="10" t="str">
        <f>IF(D620&lt;=25,"18-25",IF(D620&lt;=35,"26-35",IF(D620&lt;=45,"36-45",IF(D620&lt;=55,"46-55",IF(D620&lt;=65,"56-65","66-75")))))</f>
        <v>36-45</v>
      </c>
      <c r="W620" s="3">
        <v>5</v>
      </c>
    </row>
    <row r="621" spans="1:23">
      <c r="A621" s="5" t="s">
        <v>1163</v>
      </c>
      <c r="B621" s="5" t="s">
        <v>1164</v>
      </c>
      <c r="C621" s="6">
        <v>44986</v>
      </c>
      <c r="D621" s="8">
        <v>37</v>
      </c>
      <c r="E621" s="5" t="s">
        <v>20</v>
      </c>
      <c r="F621" s="5" t="s">
        <v>59</v>
      </c>
      <c r="G621" s="5" t="s">
        <v>37</v>
      </c>
      <c r="H621" s="7">
        <v>126.2</v>
      </c>
      <c r="I621" s="3">
        <v>5</v>
      </c>
      <c r="J621" s="33">
        <f>H621*I621</f>
        <v>631</v>
      </c>
      <c r="K621" s="4">
        <v>0</v>
      </c>
      <c r="L621" s="9">
        <f>IF(J621=0,0,K621/J621)</f>
        <v>0</v>
      </c>
      <c r="M621" s="25">
        <v>631</v>
      </c>
      <c r="N621" s="5" t="s">
        <v>692</v>
      </c>
      <c r="O621" s="5" t="s">
        <v>33</v>
      </c>
      <c r="P621" s="3">
        <v>13</v>
      </c>
      <c r="Q621" s="3">
        <v>13</v>
      </c>
      <c r="R621" s="5" t="b">
        <v>0</v>
      </c>
      <c r="S621" s="5" t="str">
        <f>IF(R621=TRUE,"Returning Customer","New Customer")</f>
        <v>New Customer</v>
      </c>
      <c r="T621" s="3">
        <v>5</v>
      </c>
      <c r="U621" s="12" t="str">
        <f>IF(T621&lt;=3,"Fast",IF(T621&lt;=7,"Standard",IF(T621&lt;=14,"Slow","Very Slow")))</f>
        <v>Standard</v>
      </c>
      <c r="V621" s="10" t="str">
        <f>IF(D621&lt;=25,"18-25",IF(D621&lt;=35,"26-35",IF(D621&lt;=45,"36-45",IF(D621&lt;=55,"46-55",IF(D621&lt;=65,"56-65","66-75")))))</f>
        <v>36-45</v>
      </c>
      <c r="W621" s="3">
        <v>5</v>
      </c>
    </row>
    <row r="622" spans="1:23">
      <c r="A622" s="5" t="s">
        <v>1431</v>
      </c>
      <c r="B622" s="5" t="s">
        <v>1432</v>
      </c>
      <c r="C622" s="6">
        <v>45376</v>
      </c>
      <c r="D622" s="8">
        <v>25</v>
      </c>
      <c r="E622" s="5" t="s">
        <v>36</v>
      </c>
      <c r="F622" s="5" t="s">
        <v>49</v>
      </c>
      <c r="G622" s="5" t="s">
        <v>46</v>
      </c>
      <c r="H622" s="7">
        <v>330.82</v>
      </c>
      <c r="I622" s="3">
        <v>3</v>
      </c>
      <c r="J622" s="33">
        <f>H622*I622</f>
        <v>992.46</v>
      </c>
      <c r="K622" s="4">
        <v>0</v>
      </c>
      <c r="L622" s="9">
        <f>IF(J622=0,0,K622/J622)</f>
        <v>0</v>
      </c>
      <c r="M622" s="25">
        <v>992.46</v>
      </c>
      <c r="N622" s="5" t="s">
        <v>1298</v>
      </c>
      <c r="O622" s="5" t="s">
        <v>33</v>
      </c>
      <c r="P622" s="3">
        <v>7</v>
      </c>
      <c r="Q622" s="3">
        <v>12</v>
      </c>
      <c r="R622" s="5" t="b">
        <v>0</v>
      </c>
      <c r="S622" s="5" t="str">
        <f>IF(R622=TRUE,"Returning Customer","New Customer")</f>
        <v>New Customer</v>
      </c>
      <c r="T622" s="3">
        <v>6</v>
      </c>
      <c r="U622" s="12" t="str">
        <f>IF(T622&lt;=3,"Fast",IF(T622&lt;=7,"Standard",IF(T622&lt;=14,"Slow","Very Slow")))</f>
        <v>Standard</v>
      </c>
      <c r="V622" s="10" t="str">
        <f>IF(D622&lt;=25,"18-25",IF(D622&lt;=35,"26-35",IF(D622&lt;=45,"36-45",IF(D622&lt;=55,"46-55",IF(D622&lt;=65,"56-65","66-75")))))</f>
        <v>18-25</v>
      </c>
      <c r="W622" s="3">
        <v>5</v>
      </c>
    </row>
    <row r="623" spans="1:23">
      <c r="A623" s="5" t="s">
        <v>293</v>
      </c>
      <c r="B623" s="5" t="s">
        <v>294</v>
      </c>
      <c r="C623" s="6">
        <v>45060</v>
      </c>
      <c r="D623" s="8">
        <v>40</v>
      </c>
      <c r="E623" s="5" t="s">
        <v>36</v>
      </c>
      <c r="F623" s="5" t="s">
        <v>76</v>
      </c>
      <c r="G623" s="5" t="s">
        <v>46</v>
      </c>
      <c r="H623" s="7">
        <v>940.51</v>
      </c>
      <c r="I623" s="3">
        <v>1</v>
      </c>
      <c r="J623" s="33">
        <f>H623*I623</f>
        <v>940.51</v>
      </c>
      <c r="K623" s="4">
        <v>77.459999999999994</v>
      </c>
      <c r="L623" s="9">
        <f>IF(J623=0,0,K623/J623)</f>
        <v>8.2359570871123111E-2</v>
      </c>
      <c r="M623" s="25">
        <v>863.05</v>
      </c>
      <c r="N623" s="5" t="s">
        <v>23</v>
      </c>
      <c r="O623" s="5" t="s">
        <v>24</v>
      </c>
      <c r="P623" s="3">
        <v>7</v>
      </c>
      <c r="Q623" s="3">
        <v>9</v>
      </c>
      <c r="R623" s="5" t="b">
        <v>0</v>
      </c>
      <c r="S623" s="5" t="str">
        <f>IF(R623=TRUE,"Returning Customer","New Customer")</f>
        <v>New Customer</v>
      </c>
      <c r="T623" s="3">
        <v>3</v>
      </c>
      <c r="U623" s="12" t="str">
        <f>IF(T623&lt;=3,"Fast",IF(T623&lt;=7,"Standard",IF(T623&lt;=14,"Slow","Very Slow")))</f>
        <v>Fast</v>
      </c>
      <c r="V623" s="10" t="str">
        <f>IF(D623&lt;=25,"18-25",IF(D623&lt;=35,"26-35",IF(D623&lt;=45,"36-45",IF(D623&lt;=55,"46-55",IF(D623&lt;=65,"56-65","66-75")))))</f>
        <v>36-45</v>
      </c>
      <c r="W623" s="3">
        <v>4</v>
      </c>
    </row>
    <row r="624" spans="1:23">
      <c r="A624" s="5" t="s">
        <v>1165</v>
      </c>
      <c r="B624" s="5" t="s">
        <v>1166</v>
      </c>
      <c r="C624" s="6">
        <v>45018</v>
      </c>
      <c r="D624" s="8">
        <v>57</v>
      </c>
      <c r="E624" s="5" t="s">
        <v>36</v>
      </c>
      <c r="F624" s="5" t="s">
        <v>21</v>
      </c>
      <c r="G624" s="5" t="s">
        <v>46</v>
      </c>
      <c r="H624" s="7">
        <v>351.37</v>
      </c>
      <c r="I624" s="3">
        <v>1</v>
      </c>
      <c r="J624" s="33">
        <f>H624*I624</f>
        <v>351.37</v>
      </c>
      <c r="K624" s="4">
        <v>0</v>
      </c>
      <c r="L624" s="9">
        <f>IF(J624=0,0,K624/J624)</f>
        <v>0</v>
      </c>
      <c r="M624" s="25">
        <v>351.37</v>
      </c>
      <c r="N624" s="5" t="s">
        <v>692</v>
      </c>
      <c r="O624" s="5" t="s">
        <v>24</v>
      </c>
      <c r="P624" s="3">
        <v>13</v>
      </c>
      <c r="Q624" s="3">
        <v>6</v>
      </c>
      <c r="R624" s="5" t="b">
        <v>0</v>
      </c>
      <c r="S624" s="5" t="str">
        <f>IF(R624=TRUE,"Returning Customer","New Customer")</f>
        <v>New Customer</v>
      </c>
      <c r="T624" s="3">
        <v>6</v>
      </c>
      <c r="U624" s="12" t="str">
        <f>IF(T624&lt;=3,"Fast",IF(T624&lt;=7,"Standard",IF(T624&lt;=14,"Slow","Very Slow")))</f>
        <v>Standard</v>
      </c>
      <c r="V624" s="10" t="str">
        <f>IF(D624&lt;=25,"18-25",IF(D624&lt;=35,"26-35",IF(D624&lt;=45,"36-45",IF(D624&lt;=55,"46-55",IF(D624&lt;=65,"56-65","66-75")))))</f>
        <v>56-65</v>
      </c>
      <c r="W624" s="3">
        <v>5</v>
      </c>
    </row>
    <row r="625" spans="1:23">
      <c r="A625" s="5" t="s">
        <v>1167</v>
      </c>
      <c r="B625" s="5" t="s">
        <v>1168</v>
      </c>
      <c r="C625" s="6">
        <v>45224</v>
      </c>
      <c r="D625" s="8">
        <v>51</v>
      </c>
      <c r="E625" s="5" t="s">
        <v>36</v>
      </c>
      <c r="F625" s="5" t="s">
        <v>76</v>
      </c>
      <c r="G625" s="5" t="s">
        <v>115</v>
      </c>
      <c r="H625" s="7">
        <v>105.07</v>
      </c>
      <c r="I625" s="3">
        <v>1</v>
      </c>
      <c r="J625" s="33">
        <f>H625*I625</f>
        <v>105.07</v>
      </c>
      <c r="K625" s="4">
        <v>21.03</v>
      </c>
      <c r="L625" s="9">
        <f>IF(J625=0,0,K625/J625)</f>
        <v>0.20015227943275915</v>
      </c>
      <c r="M625" s="25">
        <v>84.04</v>
      </c>
      <c r="N625" s="5" t="s">
        <v>692</v>
      </c>
      <c r="O625" s="5" t="s">
        <v>33</v>
      </c>
      <c r="P625" s="3">
        <v>6</v>
      </c>
      <c r="Q625" s="3">
        <v>7</v>
      </c>
      <c r="R625" s="5" t="b">
        <v>1</v>
      </c>
      <c r="S625" s="5" t="str">
        <f>IF(R625=TRUE,"Returning Customer","New Customer")</f>
        <v>Returning Customer</v>
      </c>
      <c r="T625" s="3">
        <v>4</v>
      </c>
      <c r="U625" s="12" t="str">
        <f>IF(T625&lt;=3,"Fast",IF(T625&lt;=7,"Standard",IF(T625&lt;=14,"Slow","Very Slow")))</f>
        <v>Standard</v>
      </c>
      <c r="V625" s="10" t="str">
        <f>IF(D625&lt;=25,"18-25",IF(D625&lt;=35,"26-35",IF(D625&lt;=45,"36-45",IF(D625&lt;=55,"46-55",IF(D625&lt;=65,"56-65","66-75")))))</f>
        <v>46-55</v>
      </c>
      <c r="W625" s="3">
        <v>1</v>
      </c>
    </row>
    <row r="626" spans="1:23">
      <c r="A626" s="5" t="s">
        <v>1169</v>
      </c>
      <c r="B626" s="5" t="s">
        <v>1170</v>
      </c>
      <c r="C626" s="6">
        <v>45062</v>
      </c>
      <c r="D626" s="8">
        <v>54</v>
      </c>
      <c r="E626" s="5" t="s">
        <v>36</v>
      </c>
      <c r="F626" s="5" t="s">
        <v>83</v>
      </c>
      <c r="G626" s="5" t="s">
        <v>53</v>
      </c>
      <c r="H626" s="7">
        <v>50.09</v>
      </c>
      <c r="I626" s="3">
        <v>2</v>
      </c>
      <c r="J626" s="33">
        <f>H626*I626</f>
        <v>100.18</v>
      </c>
      <c r="K626" s="4">
        <v>0</v>
      </c>
      <c r="L626" s="9">
        <f>IF(J626=0,0,K626/J626)</f>
        <v>0</v>
      </c>
      <c r="M626" s="25">
        <v>100.18</v>
      </c>
      <c r="N626" s="5" t="s">
        <v>692</v>
      </c>
      <c r="O626" s="5" t="s">
        <v>24</v>
      </c>
      <c r="P626" s="3">
        <v>36</v>
      </c>
      <c r="Q626" s="3">
        <v>14</v>
      </c>
      <c r="R626" s="5" t="b">
        <v>1</v>
      </c>
      <c r="S626" s="5" t="str">
        <f>IF(R626=TRUE,"Returning Customer","New Customer")</f>
        <v>Returning Customer</v>
      </c>
      <c r="T626" s="3">
        <v>5</v>
      </c>
      <c r="U626" s="12" t="str">
        <f>IF(T626&lt;=3,"Fast",IF(T626&lt;=7,"Standard",IF(T626&lt;=14,"Slow","Very Slow")))</f>
        <v>Standard</v>
      </c>
      <c r="V626" s="10" t="str">
        <f>IF(D626&lt;=25,"18-25",IF(D626&lt;=35,"26-35",IF(D626&lt;=45,"36-45",IF(D626&lt;=55,"46-55",IF(D626&lt;=65,"56-65","66-75")))))</f>
        <v>46-55</v>
      </c>
      <c r="W626" s="3">
        <v>4</v>
      </c>
    </row>
    <row r="627" spans="1:23">
      <c r="A627" s="5" t="s">
        <v>648</v>
      </c>
      <c r="B627" s="5" t="s">
        <v>649</v>
      </c>
      <c r="C627" s="6">
        <v>44946</v>
      </c>
      <c r="D627" s="8">
        <v>28</v>
      </c>
      <c r="E627" s="5" t="s">
        <v>20</v>
      </c>
      <c r="F627" s="5" t="s">
        <v>59</v>
      </c>
      <c r="G627" s="5" t="s">
        <v>53</v>
      </c>
      <c r="H627" s="7">
        <v>60.16</v>
      </c>
      <c r="I627" s="3">
        <v>1</v>
      </c>
      <c r="J627" s="33">
        <f>H627*I627</f>
        <v>60.16</v>
      </c>
      <c r="K627" s="4">
        <v>13.38</v>
      </c>
      <c r="L627" s="9">
        <f>IF(J627=0,0,K627/J627)</f>
        <v>0.22240691489361705</v>
      </c>
      <c r="M627" s="25">
        <v>46.78</v>
      </c>
      <c r="N627" s="5" t="s">
        <v>327</v>
      </c>
      <c r="O627" s="5" t="s">
        <v>24</v>
      </c>
      <c r="P627" s="3">
        <v>10</v>
      </c>
      <c r="Q627" s="3">
        <v>3</v>
      </c>
      <c r="R627" s="5" t="b">
        <v>1</v>
      </c>
      <c r="S627" s="5" t="str">
        <f>IF(R627=TRUE,"Returning Customer","New Customer")</f>
        <v>Returning Customer</v>
      </c>
      <c r="T627" s="3">
        <v>16</v>
      </c>
      <c r="U627" s="12" t="str">
        <f>IF(T627&lt;=3,"Fast",IF(T627&lt;=7,"Standard",IF(T627&lt;=14,"Slow","Very Slow")))</f>
        <v>Very Slow</v>
      </c>
      <c r="V627" s="10" t="str">
        <f>IF(D627&lt;=25,"18-25",IF(D627&lt;=35,"26-35",IF(D627&lt;=45,"36-45",IF(D627&lt;=55,"46-55",IF(D627&lt;=65,"56-65","66-75")))))</f>
        <v>26-35</v>
      </c>
      <c r="W627" s="3">
        <v>4</v>
      </c>
    </row>
    <row r="628" spans="1:23">
      <c r="A628" s="5" t="s">
        <v>295</v>
      </c>
      <c r="B628" s="5" t="s">
        <v>296</v>
      </c>
      <c r="C628" s="6">
        <v>44982</v>
      </c>
      <c r="D628" s="8">
        <v>23</v>
      </c>
      <c r="E628" s="5" t="s">
        <v>36</v>
      </c>
      <c r="F628" s="5" t="s">
        <v>52</v>
      </c>
      <c r="G628" s="5" t="s">
        <v>115</v>
      </c>
      <c r="H628" s="7">
        <v>176.9</v>
      </c>
      <c r="I628" s="3">
        <v>1</v>
      </c>
      <c r="J628" s="33">
        <f>H628*I628</f>
        <v>176.9</v>
      </c>
      <c r="K628" s="4">
        <v>31.48</v>
      </c>
      <c r="L628" s="9">
        <f>IF(J628=0,0,K628/J628)</f>
        <v>0.1779536461277558</v>
      </c>
      <c r="M628" s="25">
        <v>145.41999999999999</v>
      </c>
      <c r="N628" s="5" t="s">
        <v>23</v>
      </c>
      <c r="O628" s="5" t="s">
        <v>24</v>
      </c>
      <c r="P628" s="3">
        <v>28</v>
      </c>
      <c r="Q628" s="3">
        <v>14</v>
      </c>
      <c r="R628" s="5" t="b">
        <v>1</v>
      </c>
      <c r="S628" s="5" t="str">
        <f>IF(R628=TRUE,"Returning Customer","New Customer")</f>
        <v>Returning Customer</v>
      </c>
      <c r="T628" s="3">
        <v>14</v>
      </c>
      <c r="U628" s="12" t="str">
        <f>IF(T628&lt;=3,"Fast",IF(T628&lt;=7,"Standard",IF(T628&lt;=14,"Slow","Very Slow")))</f>
        <v>Slow</v>
      </c>
      <c r="V628" s="10" t="str">
        <f>IF(D628&lt;=25,"18-25",IF(D628&lt;=35,"26-35",IF(D628&lt;=45,"36-45",IF(D628&lt;=55,"46-55",IF(D628&lt;=65,"56-65","66-75")))))</f>
        <v>18-25</v>
      </c>
      <c r="W628" s="3">
        <v>5</v>
      </c>
    </row>
    <row r="629" spans="1:23">
      <c r="A629" s="5" t="s">
        <v>1171</v>
      </c>
      <c r="B629" s="5" t="s">
        <v>1172</v>
      </c>
      <c r="C629" s="6">
        <v>45232</v>
      </c>
      <c r="D629" s="8">
        <v>33</v>
      </c>
      <c r="E629" s="5" t="s">
        <v>36</v>
      </c>
      <c r="F629" s="5" t="s">
        <v>32</v>
      </c>
      <c r="G629" s="5" t="s">
        <v>64</v>
      </c>
      <c r="H629" s="7">
        <v>971.23</v>
      </c>
      <c r="I629" s="3">
        <v>2</v>
      </c>
      <c r="J629" s="33">
        <f>H629*I629</f>
        <v>1942.46</v>
      </c>
      <c r="K629" s="4">
        <v>108.91</v>
      </c>
      <c r="L629" s="9">
        <f>IF(J629=0,0,K629/J629)</f>
        <v>5.60680786219536E-2</v>
      </c>
      <c r="M629" s="25">
        <v>1833.55</v>
      </c>
      <c r="N629" s="5" t="s">
        <v>692</v>
      </c>
      <c r="O629" s="5" t="s">
        <v>33</v>
      </c>
      <c r="P629" s="3">
        <v>25</v>
      </c>
      <c r="Q629" s="3">
        <v>6</v>
      </c>
      <c r="R629" s="5" t="b">
        <v>1</v>
      </c>
      <c r="S629" s="5" t="str">
        <f>IF(R629=TRUE,"Returning Customer","New Customer")</f>
        <v>Returning Customer</v>
      </c>
      <c r="T629" s="3">
        <v>12</v>
      </c>
      <c r="U629" s="12" t="str">
        <f>IF(T629&lt;=3,"Fast",IF(T629&lt;=7,"Standard",IF(T629&lt;=14,"Slow","Very Slow")))</f>
        <v>Slow</v>
      </c>
      <c r="V629" s="10" t="str">
        <f>IF(D629&lt;=25,"18-25",IF(D629&lt;=35,"26-35",IF(D629&lt;=45,"36-45",IF(D629&lt;=55,"46-55",IF(D629&lt;=65,"56-65","66-75")))))</f>
        <v>26-35</v>
      </c>
      <c r="W629" s="3">
        <v>5</v>
      </c>
    </row>
    <row r="630" spans="1:23">
      <c r="A630" s="5" t="s">
        <v>1433</v>
      </c>
      <c r="B630" s="5" t="s">
        <v>1434</v>
      </c>
      <c r="C630" s="6">
        <v>45149</v>
      </c>
      <c r="D630" s="8">
        <v>35</v>
      </c>
      <c r="E630" s="5" t="s">
        <v>20</v>
      </c>
      <c r="F630" s="5" t="s">
        <v>73</v>
      </c>
      <c r="G630" s="5" t="s">
        <v>28</v>
      </c>
      <c r="H630" s="7">
        <v>249.81</v>
      </c>
      <c r="I630" s="3">
        <v>4</v>
      </c>
      <c r="J630" s="33">
        <f>H630*I630</f>
        <v>999.24</v>
      </c>
      <c r="K630" s="4">
        <v>0</v>
      </c>
      <c r="L630" s="9">
        <f>IF(J630=0,0,K630/J630)</f>
        <v>0</v>
      </c>
      <c r="M630" s="25">
        <v>999.24</v>
      </c>
      <c r="N630" s="5" t="s">
        <v>1298</v>
      </c>
      <c r="O630" s="5" t="s">
        <v>33</v>
      </c>
      <c r="P630" s="3">
        <v>16</v>
      </c>
      <c r="Q630" s="3">
        <v>9</v>
      </c>
      <c r="R630" s="5" t="b">
        <v>0</v>
      </c>
      <c r="S630" s="5" t="str">
        <f>IF(R630=TRUE,"Returning Customer","New Customer")</f>
        <v>New Customer</v>
      </c>
      <c r="T630" s="3">
        <v>6</v>
      </c>
      <c r="U630" s="12" t="str">
        <f>IF(T630&lt;=3,"Fast",IF(T630&lt;=7,"Standard",IF(T630&lt;=14,"Slow","Very Slow")))</f>
        <v>Standard</v>
      </c>
      <c r="V630" s="10" t="str">
        <f>IF(D630&lt;=25,"18-25",IF(D630&lt;=35,"26-35",IF(D630&lt;=45,"36-45",IF(D630&lt;=55,"46-55",IF(D630&lt;=65,"56-65","66-75")))))</f>
        <v>26-35</v>
      </c>
      <c r="W630" s="3">
        <v>5</v>
      </c>
    </row>
    <row r="631" spans="1:23">
      <c r="A631" s="5" t="s">
        <v>1173</v>
      </c>
      <c r="B631" s="5" t="s">
        <v>1174</v>
      </c>
      <c r="C631" s="6">
        <v>45103</v>
      </c>
      <c r="D631" s="8">
        <v>48</v>
      </c>
      <c r="E631" s="5" t="s">
        <v>20</v>
      </c>
      <c r="F631" s="5" t="s">
        <v>21</v>
      </c>
      <c r="G631" s="5" t="s">
        <v>53</v>
      </c>
      <c r="H631" s="7">
        <v>114.73</v>
      </c>
      <c r="I631" s="3">
        <v>1</v>
      </c>
      <c r="J631" s="33">
        <f>H631*I631</f>
        <v>114.73</v>
      </c>
      <c r="K631" s="4">
        <v>21.05</v>
      </c>
      <c r="L631" s="9">
        <f>IF(J631=0,0,K631/J631)</f>
        <v>0.18347424387692843</v>
      </c>
      <c r="M631" s="25">
        <v>93.68</v>
      </c>
      <c r="N631" s="5" t="s">
        <v>692</v>
      </c>
      <c r="O631" s="5" t="s">
        <v>24</v>
      </c>
      <c r="P631" s="3">
        <v>12</v>
      </c>
      <c r="Q631" s="3">
        <v>13</v>
      </c>
      <c r="R631" s="5" t="b">
        <v>0</v>
      </c>
      <c r="S631" s="5" t="str">
        <f>IF(R631=TRUE,"Returning Customer","New Customer")</f>
        <v>New Customer</v>
      </c>
      <c r="T631" s="3">
        <v>5</v>
      </c>
      <c r="U631" s="12" t="str">
        <f>IF(T631&lt;=3,"Fast",IF(T631&lt;=7,"Standard",IF(T631&lt;=14,"Slow","Very Slow")))</f>
        <v>Standard</v>
      </c>
      <c r="V631" s="10" t="str">
        <f>IF(D631&lt;=25,"18-25",IF(D631&lt;=35,"26-35",IF(D631&lt;=45,"36-45",IF(D631&lt;=55,"46-55",IF(D631&lt;=65,"56-65","66-75")))))</f>
        <v>46-55</v>
      </c>
      <c r="W631" s="3">
        <v>2</v>
      </c>
    </row>
    <row r="632" spans="1:23">
      <c r="A632" s="5" t="s">
        <v>1175</v>
      </c>
      <c r="B632" s="5" t="s">
        <v>1176</v>
      </c>
      <c r="C632" s="6">
        <v>45300</v>
      </c>
      <c r="D632" s="8">
        <v>18</v>
      </c>
      <c r="E632" s="5" t="s">
        <v>36</v>
      </c>
      <c r="F632" s="5" t="s">
        <v>88</v>
      </c>
      <c r="G632" s="5" t="s">
        <v>28</v>
      </c>
      <c r="H632" s="7">
        <v>243.64</v>
      </c>
      <c r="I632" s="3">
        <v>2</v>
      </c>
      <c r="J632" s="33">
        <f>H632*I632</f>
        <v>487.28</v>
      </c>
      <c r="K632" s="4">
        <v>29.1</v>
      </c>
      <c r="L632" s="9">
        <f>IF(J632=0,0,K632/J632)</f>
        <v>5.9719257921523564E-2</v>
      </c>
      <c r="M632" s="25">
        <v>458.18</v>
      </c>
      <c r="N632" s="5" t="s">
        <v>692</v>
      </c>
      <c r="O632" s="5" t="s">
        <v>33</v>
      </c>
      <c r="P632" s="3">
        <v>13</v>
      </c>
      <c r="Q632" s="3">
        <v>11</v>
      </c>
      <c r="R632" s="5" t="b">
        <v>1</v>
      </c>
      <c r="S632" s="5" t="str">
        <f>IF(R632=TRUE,"Returning Customer","New Customer")</f>
        <v>Returning Customer</v>
      </c>
      <c r="T632" s="3">
        <v>3</v>
      </c>
      <c r="U632" s="12" t="str">
        <f>IF(T632&lt;=3,"Fast",IF(T632&lt;=7,"Standard",IF(T632&lt;=14,"Slow","Very Slow")))</f>
        <v>Fast</v>
      </c>
      <c r="V632" s="10" t="str">
        <f>IF(D632&lt;=25,"18-25",IF(D632&lt;=35,"26-35",IF(D632&lt;=45,"36-45",IF(D632&lt;=55,"46-55",IF(D632&lt;=65,"56-65","66-75")))))</f>
        <v>18-25</v>
      </c>
      <c r="W632" s="3">
        <v>4</v>
      </c>
    </row>
    <row r="633" spans="1:23">
      <c r="A633" s="5" t="s">
        <v>1290</v>
      </c>
      <c r="B633" s="5" t="s">
        <v>1291</v>
      </c>
      <c r="C633" s="6">
        <v>45329</v>
      </c>
      <c r="D633" s="8">
        <v>53</v>
      </c>
      <c r="E633" s="5" t="s">
        <v>20</v>
      </c>
      <c r="F633" s="5" t="s">
        <v>32</v>
      </c>
      <c r="G633" s="5" t="s">
        <v>28</v>
      </c>
      <c r="H633" s="7">
        <v>326.16000000000003</v>
      </c>
      <c r="I633" s="3">
        <v>1</v>
      </c>
      <c r="J633" s="33">
        <f>H633*I633</f>
        <v>326.16000000000003</v>
      </c>
      <c r="K633" s="4">
        <v>28.55</v>
      </c>
      <c r="L633" s="9">
        <f>IF(J633=0,0,K633/J633)</f>
        <v>8.7533725778758883E-2</v>
      </c>
      <c r="M633" s="25">
        <v>297.61</v>
      </c>
      <c r="N633" s="5" t="s">
        <v>1231</v>
      </c>
      <c r="O633" s="5" t="s">
        <v>24</v>
      </c>
      <c r="P633" s="3">
        <v>22</v>
      </c>
      <c r="Q633" s="3">
        <v>5</v>
      </c>
      <c r="R633" s="5" t="b">
        <v>1</v>
      </c>
      <c r="S633" s="5" t="str">
        <f>IF(R633=TRUE,"Returning Customer","New Customer")</f>
        <v>Returning Customer</v>
      </c>
      <c r="T633" s="3">
        <v>7</v>
      </c>
      <c r="U633" s="12" t="str">
        <f>IF(T633&lt;=3,"Fast",IF(T633&lt;=7,"Standard",IF(T633&lt;=14,"Slow","Very Slow")))</f>
        <v>Standard</v>
      </c>
      <c r="V633" s="10" t="str">
        <f>IF(D633&lt;=25,"18-25",IF(D633&lt;=35,"26-35",IF(D633&lt;=45,"36-45",IF(D633&lt;=55,"46-55",IF(D633&lt;=65,"56-65","66-75")))))</f>
        <v>46-55</v>
      </c>
      <c r="W633" s="3">
        <v>5</v>
      </c>
    </row>
    <row r="634" spans="1:23">
      <c r="A634" s="5" t="s">
        <v>1177</v>
      </c>
      <c r="B634" s="5" t="s">
        <v>1178</v>
      </c>
      <c r="C634" s="6">
        <v>45087</v>
      </c>
      <c r="D634" s="8">
        <v>33</v>
      </c>
      <c r="E634" s="5" t="s">
        <v>36</v>
      </c>
      <c r="F634" s="5" t="s">
        <v>52</v>
      </c>
      <c r="G634" s="5" t="s">
        <v>53</v>
      </c>
      <c r="H634" s="7">
        <v>53.32</v>
      </c>
      <c r="I634" s="3">
        <v>5</v>
      </c>
      <c r="J634" s="33">
        <f>H634*I634</f>
        <v>266.60000000000002</v>
      </c>
      <c r="K634" s="4">
        <v>0</v>
      </c>
      <c r="L634" s="9">
        <f>IF(J634=0,0,K634/J634)</f>
        <v>0</v>
      </c>
      <c r="M634" s="25">
        <v>266.60000000000002</v>
      </c>
      <c r="N634" s="5" t="s">
        <v>692</v>
      </c>
      <c r="O634" s="5" t="s">
        <v>24</v>
      </c>
      <c r="P634" s="3">
        <v>15</v>
      </c>
      <c r="Q634" s="3">
        <v>6</v>
      </c>
      <c r="R634" s="5" t="b">
        <v>1</v>
      </c>
      <c r="S634" s="5" t="str">
        <f>IF(R634=TRUE,"Returning Customer","New Customer")</f>
        <v>Returning Customer</v>
      </c>
      <c r="T634" s="3">
        <v>2</v>
      </c>
      <c r="U634" s="12" t="str">
        <f>IF(T634&lt;=3,"Fast",IF(T634&lt;=7,"Standard",IF(T634&lt;=14,"Slow","Very Slow")))</f>
        <v>Fast</v>
      </c>
      <c r="V634" s="10" t="str">
        <f>IF(D634&lt;=25,"18-25",IF(D634&lt;=35,"26-35",IF(D634&lt;=45,"36-45",IF(D634&lt;=55,"46-55",IF(D634&lt;=65,"56-65","66-75")))))</f>
        <v>26-35</v>
      </c>
      <c r="W634" s="3">
        <v>1</v>
      </c>
    </row>
    <row r="635" spans="1:23">
      <c r="A635" s="5" t="s">
        <v>1435</v>
      </c>
      <c r="B635" s="5" t="s">
        <v>1436</v>
      </c>
      <c r="C635" s="6">
        <v>45150</v>
      </c>
      <c r="D635" s="8">
        <v>29</v>
      </c>
      <c r="E635" s="5" t="s">
        <v>20</v>
      </c>
      <c r="F635" s="5" t="s">
        <v>27</v>
      </c>
      <c r="G635" s="5" t="s">
        <v>115</v>
      </c>
      <c r="H635" s="7">
        <v>94.37</v>
      </c>
      <c r="I635" s="3">
        <v>1</v>
      </c>
      <c r="J635" s="33">
        <f>H635*I635</f>
        <v>94.37</v>
      </c>
      <c r="K635" s="4">
        <v>6.99</v>
      </c>
      <c r="L635" s="9">
        <f>IF(J635=0,0,K635/J635)</f>
        <v>7.4070149411889372E-2</v>
      </c>
      <c r="M635" s="25">
        <v>87.38</v>
      </c>
      <c r="N635" s="5" t="s">
        <v>1298</v>
      </c>
      <c r="O635" s="5" t="s">
        <v>33</v>
      </c>
      <c r="P635" s="3">
        <v>24</v>
      </c>
      <c r="Q635" s="3">
        <v>10</v>
      </c>
      <c r="R635" s="5" t="b">
        <v>0</v>
      </c>
      <c r="S635" s="5" t="str">
        <f>IF(R635=TRUE,"Returning Customer","New Customer")</f>
        <v>New Customer</v>
      </c>
      <c r="T635" s="3">
        <v>6</v>
      </c>
      <c r="U635" s="12" t="str">
        <f>IF(T635&lt;=3,"Fast",IF(T635&lt;=7,"Standard",IF(T635&lt;=14,"Slow","Very Slow")))</f>
        <v>Standard</v>
      </c>
      <c r="V635" s="10" t="str">
        <f>IF(D635&lt;=25,"18-25",IF(D635&lt;=35,"26-35",IF(D635&lt;=45,"36-45",IF(D635&lt;=55,"46-55",IF(D635&lt;=65,"56-65","66-75")))))</f>
        <v>26-35</v>
      </c>
      <c r="W635" s="3">
        <v>3</v>
      </c>
    </row>
    <row r="636" spans="1:23">
      <c r="A636" s="5" t="s">
        <v>297</v>
      </c>
      <c r="B636" s="5" t="s">
        <v>298</v>
      </c>
      <c r="C636" s="6">
        <v>45237</v>
      </c>
      <c r="D636" s="8">
        <v>22</v>
      </c>
      <c r="E636" s="5" t="s">
        <v>20</v>
      </c>
      <c r="F636" s="5" t="s">
        <v>32</v>
      </c>
      <c r="G636" s="5" t="s">
        <v>56</v>
      </c>
      <c r="H636" s="7">
        <v>1116.22</v>
      </c>
      <c r="I636" s="3">
        <v>1</v>
      </c>
      <c r="J636" s="33">
        <f>H636*I636</f>
        <v>1116.22</v>
      </c>
      <c r="K636" s="4">
        <v>0</v>
      </c>
      <c r="L636" s="9">
        <f>IF(J636=0,0,K636/J636)</f>
        <v>0</v>
      </c>
      <c r="M636" s="25">
        <v>1116.22</v>
      </c>
      <c r="N636" s="5" t="s">
        <v>23</v>
      </c>
      <c r="O636" s="5" t="s">
        <v>24</v>
      </c>
      <c r="P636" s="3">
        <v>8</v>
      </c>
      <c r="Q636" s="3">
        <v>16</v>
      </c>
      <c r="R636" s="5" t="b">
        <v>1</v>
      </c>
      <c r="S636" s="5" t="str">
        <f>IF(R636=TRUE,"Returning Customer","New Customer")</f>
        <v>Returning Customer</v>
      </c>
      <c r="T636" s="3">
        <v>6</v>
      </c>
      <c r="U636" s="12" t="str">
        <f>IF(T636&lt;=3,"Fast",IF(T636&lt;=7,"Standard",IF(T636&lt;=14,"Slow","Very Slow")))</f>
        <v>Standard</v>
      </c>
      <c r="V636" s="10" t="str">
        <f>IF(D636&lt;=25,"18-25",IF(D636&lt;=35,"26-35",IF(D636&lt;=45,"36-45",IF(D636&lt;=55,"46-55",IF(D636&lt;=65,"56-65","66-75")))))</f>
        <v>18-25</v>
      </c>
      <c r="W636" s="3">
        <v>5</v>
      </c>
    </row>
    <row r="637" spans="1:23">
      <c r="A637" s="5" t="s">
        <v>1179</v>
      </c>
      <c r="B637" s="5" t="s">
        <v>1180</v>
      </c>
      <c r="C637" s="6">
        <v>45188</v>
      </c>
      <c r="D637" s="8">
        <v>18</v>
      </c>
      <c r="E637" s="5" t="s">
        <v>36</v>
      </c>
      <c r="F637" s="5" t="s">
        <v>52</v>
      </c>
      <c r="G637" s="5" t="s">
        <v>53</v>
      </c>
      <c r="H637" s="7">
        <v>49.43</v>
      </c>
      <c r="I637" s="3">
        <v>1</v>
      </c>
      <c r="J637" s="33">
        <f>H637*I637</f>
        <v>49.43</v>
      </c>
      <c r="K637" s="4">
        <v>0</v>
      </c>
      <c r="L637" s="9">
        <f>IF(J637=0,0,K637/J637)</f>
        <v>0</v>
      </c>
      <c r="M637" s="25">
        <v>49.43</v>
      </c>
      <c r="N637" s="5" t="s">
        <v>692</v>
      </c>
      <c r="O637" s="5" t="s">
        <v>24</v>
      </c>
      <c r="P637" s="3">
        <v>16</v>
      </c>
      <c r="Q637" s="3">
        <v>6</v>
      </c>
      <c r="R637" s="5" t="b">
        <v>1</v>
      </c>
      <c r="S637" s="5" t="str">
        <f>IF(R637=TRUE,"Returning Customer","New Customer")</f>
        <v>Returning Customer</v>
      </c>
      <c r="T637" s="3">
        <v>3</v>
      </c>
      <c r="U637" s="12" t="str">
        <f>IF(T637&lt;=3,"Fast",IF(T637&lt;=7,"Standard",IF(T637&lt;=14,"Slow","Very Slow")))</f>
        <v>Fast</v>
      </c>
      <c r="V637" s="10" t="str">
        <f>IF(D637&lt;=25,"18-25",IF(D637&lt;=35,"26-35",IF(D637&lt;=45,"36-45",IF(D637&lt;=55,"46-55",IF(D637&lt;=65,"56-65","66-75")))))</f>
        <v>18-25</v>
      </c>
      <c r="W637" s="3">
        <v>2</v>
      </c>
    </row>
    <row r="638" spans="1:23">
      <c r="A638" s="5" t="s">
        <v>650</v>
      </c>
      <c r="B638" s="5" t="s">
        <v>651</v>
      </c>
      <c r="C638" s="6">
        <v>44986</v>
      </c>
      <c r="D638" s="8">
        <v>44</v>
      </c>
      <c r="E638" s="5" t="s">
        <v>20</v>
      </c>
      <c r="F638" s="5" t="s">
        <v>52</v>
      </c>
      <c r="G638" s="5" t="s">
        <v>22</v>
      </c>
      <c r="H638" s="7">
        <v>126.58</v>
      </c>
      <c r="I638" s="3">
        <v>4</v>
      </c>
      <c r="J638" s="33">
        <f>H638*I638</f>
        <v>506.32</v>
      </c>
      <c r="K638" s="4">
        <v>0</v>
      </c>
      <c r="L638" s="9">
        <f>IF(J638=0,0,K638/J638)</f>
        <v>0</v>
      </c>
      <c r="M638" s="25">
        <v>506.32</v>
      </c>
      <c r="N638" s="5" t="s">
        <v>327</v>
      </c>
      <c r="O638" s="5" t="s">
        <v>29</v>
      </c>
      <c r="P638" s="3">
        <v>10</v>
      </c>
      <c r="Q638" s="3">
        <v>12</v>
      </c>
      <c r="R638" s="5" t="b">
        <v>1</v>
      </c>
      <c r="S638" s="5" t="str">
        <f>IF(R638=TRUE,"Returning Customer","New Customer")</f>
        <v>Returning Customer</v>
      </c>
      <c r="T638" s="3">
        <v>7</v>
      </c>
      <c r="U638" s="12" t="str">
        <f>IF(T638&lt;=3,"Fast",IF(T638&lt;=7,"Standard",IF(T638&lt;=14,"Slow","Very Slow")))</f>
        <v>Standard</v>
      </c>
      <c r="V638" s="10" t="str">
        <f>IF(D638&lt;=25,"18-25",IF(D638&lt;=35,"26-35",IF(D638&lt;=45,"36-45",IF(D638&lt;=55,"46-55",IF(D638&lt;=65,"56-65","66-75")))))</f>
        <v>36-45</v>
      </c>
      <c r="W638" s="3">
        <v>2</v>
      </c>
    </row>
    <row r="639" spans="1:23">
      <c r="A639" s="5" t="s">
        <v>652</v>
      </c>
      <c r="B639" s="5" t="s">
        <v>653</v>
      </c>
      <c r="C639" s="6">
        <v>45124</v>
      </c>
      <c r="D639" s="8">
        <v>35</v>
      </c>
      <c r="E639" s="5" t="s">
        <v>20</v>
      </c>
      <c r="F639" s="5" t="s">
        <v>49</v>
      </c>
      <c r="G639" s="5" t="s">
        <v>115</v>
      </c>
      <c r="H639" s="7">
        <v>27.7</v>
      </c>
      <c r="I639" s="3">
        <v>1</v>
      </c>
      <c r="J639" s="33">
        <f>H639*I639</f>
        <v>27.7</v>
      </c>
      <c r="K639" s="4">
        <v>0</v>
      </c>
      <c r="L639" s="9">
        <f>IF(J639=0,0,K639/J639)</f>
        <v>0</v>
      </c>
      <c r="M639" s="25">
        <v>27.7</v>
      </c>
      <c r="N639" s="5" t="s">
        <v>327</v>
      </c>
      <c r="O639" s="5" t="s">
        <v>33</v>
      </c>
      <c r="P639" s="3">
        <v>9</v>
      </c>
      <c r="Q639" s="3">
        <v>9</v>
      </c>
      <c r="R639" s="5" t="b">
        <v>0</v>
      </c>
      <c r="S639" s="5" t="str">
        <f>IF(R639=TRUE,"Returning Customer","New Customer")</f>
        <v>New Customer</v>
      </c>
      <c r="T639" s="3">
        <v>6</v>
      </c>
      <c r="U639" s="12" t="str">
        <f>IF(T639&lt;=3,"Fast",IF(T639&lt;=7,"Standard",IF(T639&lt;=14,"Slow","Very Slow")))</f>
        <v>Standard</v>
      </c>
      <c r="V639" s="10" t="str">
        <f>IF(D639&lt;=25,"18-25",IF(D639&lt;=35,"26-35",IF(D639&lt;=45,"36-45",IF(D639&lt;=55,"46-55",IF(D639&lt;=65,"56-65","66-75")))))</f>
        <v>26-35</v>
      </c>
      <c r="W639" s="3">
        <v>4</v>
      </c>
    </row>
    <row r="640" spans="1:23">
      <c r="A640" s="5" t="s">
        <v>1437</v>
      </c>
      <c r="B640" s="5" t="s">
        <v>1438</v>
      </c>
      <c r="C640" s="6">
        <v>45222</v>
      </c>
      <c r="D640" s="8">
        <v>19</v>
      </c>
      <c r="E640" s="5" t="s">
        <v>36</v>
      </c>
      <c r="F640" s="5" t="s">
        <v>32</v>
      </c>
      <c r="G640" s="5" t="s">
        <v>22</v>
      </c>
      <c r="H640" s="7">
        <v>656.45</v>
      </c>
      <c r="I640" s="3">
        <v>1</v>
      </c>
      <c r="J640" s="33">
        <f>H640*I640</f>
        <v>656.45</v>
      </c>
      <c r="K640" s="4">
        <v>0</v>
      </c>
      <c r="L640" s="9">
        <f>IF(J640=0,0,K640/J640)</f>
        <v>0</v>
      </c>
      <c r="M640" s="25">
        <v>656.45</v>
      </c>
      <c r="N640" s="5" t="s">
        <v>1298</v>
      </c>
      <c r="O640" s="5" t="s">
        <v>29</v>
      </c>
      <c r="P640" s="3">
        <v>10</v>
      </c>
      <c r="Q640" s="3">
        <v>7</v>
      </c>
      <c r="R640" s="5" t="b">
        <v>1</v>
      </c>
      <c r="S640" s="5" t="str">
        <f>IF(R640=TRUE,"Returning Customer","New Customer")</f>
        <v>Returning Customer</v>
      </c>
      <c r="T640" s="3">
        <v>5</v>
      </c>
      <c r="U640" s="12" t="str">
        <f>IF(T640&lt;=3,"Fast",IF(T640&lt;=7,"Standard",IF(T640&lt;=14,"Slow","Very Slow")))</f>
        <v>Standard</v>
      </c>
      <c r="V640" s="10" t="str">
        <f>IF(D640&lt;=25,"18-25",IF(D640&lt;=35,"26-35",IF(D640&lt;=45,"36-45",IF(D640&lt;=55,"46-55",IF(D640&lt;=65,"56-65","66-75")))))</f>
        <v>18-25</v>
      </c>
      <c r="W640" s="3">
        <v>5</v>
      </c>
    </row>
    <row r="641" spans="1:23">
      <c r="A641" s="5" t="s">
        <v>654</v>
      </c>
      <c r="B641" s="5" t="s">
        <v>655</v>
      </c>
      <c r="C641" s="6">
        <v>45024</v>
      </c>
      <c r="D641" s="8">
        <v>19</v>
      </c>
      <c r="E641" s="5" t="s">
        <v>20</v>
      </c>
      <c r="F641" s="5" t="s">
        <v>88</v>
      </c>
      <c r="G641" s="5" t="s">
        <v>28</v>
      </c>
      <c r="H641" s="7">
        <v>366.62</v>
      </c>
      <c r="I641" s="3">
        <v>3</v>
      </c>
      <c r="J641" s="33">
        <f>H641*I641</f>
        <v>1099.8600000000001</v>
      </c>
      <c r="K641" s="4">
        <v>33.82</v>
      </c>
      <c r="L641" s="9">
        <f>IF(J641=0,0,K641/J641)</f>
        <v>3.0749368101394718E-2</v>
      </c>
      <c r="M641" s="25">
        <v>1066.04</v>
      </c>
      <c r="N641" s="5" t="s">
        <v>327</v>
      </c>
      <c r="O641" s="5" t="s">
        <v>33</v>
      </c>
      <c r="P641" s="3">
        <v>19</v>
      </c>
      <c r="Q641" s="3">
        <v>9</v>
      </c>
      <c r="R641" s="5" t="b">
        <v>1</v>
      </c>
      <c r="S641" s="5" t="str">
        <f>IF(R641=TRUE,"Returning Customer","New Customer")</f>
        <v>Returning Customer</v>
      </c>
      <c r="T641" s="3">
        <v>7</v>
      </c>
      <c r="U641" s="12" t="str">
        <f>IF(T641&lt;=3,"Fast",IF(T641&lt;=7,"Standard",IF(T641&lt;=14,"Slow","Very Slow")))</f>
        <v>Standard</v>
      </c>
      <c r="V641" s="10" t="str">
        <f>IF(D641&lt;=25,"18-25",IF(D641&lt;=35,"26-35",IF(D641&lt;=45,"36-45",IF(D641&lt;=55,"46-55",IF(D641&lt;=65,"56-65","66-75")))))</f>
        <v>18-25</v>
      </c>
      <c r="W641" s="3">
        <v>5</v>
      </c>
    </row>
    <row r="642" spans="1:23">
      <c r="A642" s="5" t="s">
        <v>656</v>
      </c>
      <c r="B642" s="5" t="s">
        <v>657</v>
      </c>
      <c r="C642" s="6">
        <v>45057</v>
      </c>
      <c r="D642" s="8">
        <v>30</v>
      </c>
      <c r="E642" s="5" t="s">
        <v>36</v>
      </c>
      <c r="F642" s="5" t="s">
        <v>21</v>
      </c>
      <c r="G642" s="5" t="s">
        <v>22</v>
      </c>
      <c r="H642" s="7">
        <v>142.30000000000001</v>
      </c>
      <c r="I642" s="3">
        <v>4</v>
      </c>
      <c r="J642" s="33">
        <f>H642*I642</f>
        <v>569.20000000000005</v>
      </c>
      <c r="K642" s="4">
        <v>0</v>
      </c>
      <c r="L642" s="9">
        <f>IF(J642=0,0,K642/J642)</f>
        <v>0</v>
      </c>
      <c r="M642" s="25">
        <v>569.20000000000005</v>
      </c>
      <c r="N642" s="5" t="s">
        <v>327</v>
      </c>
      <c r="O642" s="5" t="s">
        <v>33</v>
      </c>
      <c r="P642" s="3">
        <v>17</v>
      </c>
      <c r="Q642" s="3">
        <v>9</v>
      </c>
      <c r="R642" s="5" t="b">
        <v>1</v>
      </c>
      <c r="S642" s="5" t="str">
        <f>IF(R642=TRUE,"Returning Customer","New Customer")</f>
        <v>Returning Customer</v>
      </c>
      <c r="T642" s="3">
        <v>5</v>
      </c>
      <c r="U642" s="12" t="str">
        <f>IF(T642&lt;=3,"Fast",IF(T642&lt;=7,"Standard",IF(T642&lt;=14,"Slow","Very Slow")))</f>
        <v>Standard</v>
      </c>
      <c r="V642" s="10" t="str">
        <f>IF(D642&lt;=25,"18-25",IF(D642&lt;=35,"26-35",IF(D642&lt;=45,"36-45",IF(D642&lt;=55,"46-55",IF(D642&lt;=65,"56-65","66-75")))))</f>
        <v>26-35</v>
      </c>
      <c r="W642" s="3">
        <v>5</v>
      </c>
    </row>
    <row r="643" spans="1:23">
      <c r="A643" s="5" t="s">
        <v>1181</v>
      </c>
      <c r="B643" s="5" t="s">
        <v>1182</v>
      </c>
      <c r="C643" s="6">
        <v>44949</v>
      </c>
      <c r="D643" s="8">
        <v>55</v>
      </c>
      <c r="E643" s="5" t="s">
        <v>36</v>
      </c>
      <c r="F643" s="5" t="s">
        <v>76</v>
      </c>
      <c r="G643" s="5" t="s">
        <v>64</v>
      </c>
      <c r="H643" s="7">
        <v>3242.84</v>
      </c>
      <c r="I643" s="3">
        <v>5</v>
      </c>
      <c r="J643" s="33">
        <f>H643*I643</f>
        <v>16214.2</v>
      </c>
      <c r="K643" s="4">
        <v>0</v>
      </c>
      <c r="L643" s="9">
        <f>IF(J643=0,0,K643/J643)</f>
        <v>0</v>
      </c>
      <c r="M643" s="25">
        <v>16214.2</v>
      </c>
      <c r="N643" s="5" t="s">
        <v>692</v>
      </c>
      <c r="O643" s="5" t="s">
        <v>24</v>
      </c>
      <c r="P643" s="3">
        <v>2</v>
      </c>
      <c r="Q643" s="3">
        <v>10</v>
      </c>
      <c r="R643" s="5" t="b">
        <v>1</v>
      </c>
      <c r="S643" s="5" t="str">
        <f>IF(R643=TRUE,"Returning Customer","New Customer")</f>
        <v>Returning Customer</v>
      </c>
      <c r="T643" s="3">
        <v>5</v>
      </c>
      <c r="U643" s="12" t="str">
        <f>IF(T643&lt;=3,"Fast",IF(T643&lt;=7,"Standard",IF(T643&lt;=14,"Slow","Very Slow")))</f>
        <v>Standard</v>
      </c>
      <c r="V643" s="10" t="str">
        <f>IF(D643&lt;=25,"18-25",IF(D643&lt;=35,"26-35",IF(D643&lt;=45,"36-45",IF(D643&lt;=55,"46-55",IF(D643&lt;=65,"56-65","66-75")))))</f>
        <v>46-55</v>
      </c>
      <c r="W643" s="3">
        <v>5</v>
      </c>
    </row>
    <row r="644" spans="1:23">
      <c r="A644" s="5" t="s">
        <v>658</v>
      </c>
      <c r="B644" s="5" t="s">
        <v>659</v>
      </c>
      <c r="C644" s="6">
        <v>45289</v>
      </c>
      <c r="D644" s="8">
        <v>31</v>
      </c>
      <c r="E644" s="5" t="s">
        <v>36</v>
      </c>
      <c r="F644" s="5" t="s">
        <v>21</v>
      </c>
      <c r="G644" s="5" t="s">
        <v>46</v>
      </c>
      <c r="H644" s="7">
        <v>604.55999999999995</v>
      </c>
      <c r="I644" s="3">
        <v>2</v>
      </c>
      <c r="J644" s="33">
        <f>H644*I644</f>
        <v>1209.1199999999999</v>
      </c>
      <c r="K644" s="4">
        <v>0</v>
      </c>
      <c r="L644" s="9">
        <f>IF(J644=0,0,K644/J644)</f>
        <v>0</v>
      </c>
      <c r="M644" s="25">
        <v>1209.1199999999999</v>
      </c>
      <c r="N644" s="5" t="s">
        <v>327</v>
      </c>
      <c r="O644" s="5" t="s">
        <v>24</v>
      </c>
      <c r="P644" s="3">
        <v>31</v>
      </c>
      <c r="Q644" s="3">
        <v>5</v>
      </c>
      <c r="R644" s="5" t="b">
        <v>1</v>
      </c>
      <c r="S644" s="5" t="str">
        <f>IF(R644=TRUE,"Returning Customer","New Customer")</f>
        <v>Returning Customer</v>
      </c>
      <c r="T644" s="3">
        <v>5</v>
      </c>
      <c r="U644" s="12" t="str">
        <f>IF(T644&lt;=3,"Fast",IF(T644&lt;=7,"Standard",IF(T644&lt;=14,"Slow","Very Slow")))</f>
        <v>Standard</v>
      </c>
      <c r="V644" s="10" t="str">
        <f>IF(D644&lt;=25,"18-25",IF(D644&lt;=35,"26-35",IF(D644&lt;=45,"36-45",IF(D644&lt;=55,"46-55",IF(D644&lt;=65,"56-65","66-75")))))</f>
        <v>26-35</v>
      </c>
      <c r="W644" s="3">
        <v>4</v>
      </c>
    </row>
    <row r="645" spans="1:23">
      <c r="A645" s="5" t="s">
        <v>1183</v>
      </c>
      <c r="B645" s="5" t="s">
        <v>1184</v>
      </c>
      <c r="C645" s="6">
        <v>45150</v>
      </c>
      <c r="D645" s="8">
        <v>18</v>
      </c>
      <c r="E645" s="5" t="s">
        <v>20</v>
      </c>
      <c r="F645" s="5" t="s">
        <v>52</v>
      </c>
      <c r="G645" s="5" t="s">
        <v>56</v>
      </c>
      <c r="H645" s="7">
        <v>599.44000000000005</v>
      </c>
      <c r="I645" s="3">
        <v>1</v>
      </c>
      <c r="J645" s="33">
        <f>H645*I645</f>
        <v>599.44000000000005</v>
      </c>
      <c r="K645" s="4">
        <v>0</v>
      </c>
      <c r="L645" s="9">
        <f>IF(J645=0,0,K645/J645)</f>
        <v>0</v>
      </c>
      <c r="M645" s="25">
        <v>599.44000000000005</v>
      </c>
      <c r="N645" s="5" t="s">
        <v>692</v>
      </c>
      <c r="O645" s="5" t="s">
        <v>24</v>
      </c>
      <c r="P645" s="3">
        <v>16</v>
      </c>
      <c r="Q645" s="3">
        <v>9</v>
      </c>
      <c r="R645" s="5" t="b">
        <v>1</v>
      </c>
      <c r="S645" s="5" t="str">
        <f>IF(R645=TRUE,"Returning Customer","New Customer")</f>
        <v>Returning Customer</v>
      </c>
      <c r="T645" s="3">
        <v>5</v>
      </c>
      <c r="U645" s="12" t="str">
        <f>IF(T645&lt;=3,"Fast",IF(T645&lt;=7,"Standard",IF(T645&lt;=14,"Slow","Very Slow")))</f>
        <v>Standard</v>
      </c>
      <c r="V645" s="10" t="str">
        <f>IF(D645&lt;=25,"18-25",IF(D645&lt;=35,"26-35",IF(D645&lt;=45,"36-45",IF(D645&lt;=55,"46-55",IF(D645&lt;=65,"56-65","66-75")))))</f>
        <v>18-25</v>
      </c>
      <c r="W645" s="3">
        <v>5</v>
      </c>
    </row>
    <row r="646" spans="1:23">
      <c r="A646" s="5" t="s">
        <v>1185</v>
      </c>
      <c r="B646" s="5" t="s">
        <v>1186</v>
      </c>
      <c r="C646" s="6">
        <v>44927</v>
      </c>
      <c r="D646" s="8">
        <v>32</v>
      </c>
      <c r="E646" s="5" t="s">
        <v>20</v>
      </c>
      <c r="F646" s="5" t="s">
        <v>32</v>
      </c>
      <c r="G646" s="5" t="s">
        <v>64</v>
      </c>
      <c r="H646" s="7">
        <v>804.06</v>
      </c>
      <c r="I646" s="3">
        <v>1</v>
      </c>
      <c r="J646" s="33">
        <f>H646*I646</f>
        <v>804.06</v>
      </c>
      <c r="K646" s="4">
        <v>229.28</v>
      </c>
      <c r="L646" s="9">
        <f>IF(J646=0,0,K646/J646)</f>
        <v>0.28515284928985402</v>
      </c>
      <c r="M646" s="25">
        <v>574.78</v>
      </c>
      <c r="N646" s="5" t="s">
        <v>692</v>
      </c>
      <c r="O646" s="5" t="s">
        <v>33</v>
      </c>
      <c r="P646" s="3">
        <v>8</v>
      </c>
      <c r="Q646" s="3">
        <v>10</v>
      </c>
      <c r="R646" s="5" t="b">
        <v>0</v>
      </c>
      <c r="S646" s="5" t="str">
        <f>IF(R646=TRUE,"Returning Customer","New Customer")</f>
        <v>New Customer</v>
      </c>
      <c r="T646" s="3">
        <v>1</v>
      </c>
      <c r="U646" s="12" t="str">
        <f>IF(T646&lt;=3,"Fast",IF(T646&lt;=7,"Standard",IF(T646&lt;=14,"Slow","Very Slow")))</f>
        <v>Fast</v>
      </c>
      <c r="V646" s="10" t="str">
        <f>IF(D646&lt;=25,"18-25",IF(D646&lt;=35,"26-35",IF(D646&lt;=45,"36-45",IF(D646&lt;=55,"46-55",IF(D646&lt;=65,"56-65","66-75")))))</f>
        <v>26-35</v>
      </c>
      <c r="W646" s="3">
        <v>4</v>
      </c>
    </row>
    <row r="647" spans="1:23">
      <c r="A647" s="5" t="s">
        <v>1292</v>
      </c>
      <c r="B647" s="5" t="s">
        <v>1293</v>
      </c>
      <c r="C647" s="6">
        <v>45193</v>
      </c>
      <c r="D647" s="8">
        <v>31</v>
      </c>
      <c r="E647" s="5" t="s">
        <v>36</v>
      </c>
      <c r="F647" s="5" t="s">
        <v>32</v>
      </c>
      <c r="G647" s="5" t="s">
        <v>46</v>
      </c>
      <c r="H647" s="7">
        <v>405.53</v>
      </c>
      <c r="I647" s="3">
        <v>4</v>
      </c>
      <c r="J647" s="33">
        <f>H647*I647</f>
        <v>1622.12</v>
      </c>
      <c r="K647" s="4">
        <v>0</v>
      </c>
      <c r="L647" s="9">
        <f>IF(J647=0,0,K647/J647)</f>
        <v>0</v>
      </c>
      <c r="M647" s="25">
        <v>1622.12</v>
      </c>
      <c r="N647" s="5" t="s">
        <v>1231</v>
      </c>
      <c r="O647" s="5" t="s">
        <v>33</v>
      </c>
      <c r="P647" s="3">
        <v>21</v>
      </c>
      <c r="Q647" s="3">
        <v>9</v>
      </c>
      <c r="R647" s="5" t="b">
        <v>1</v>
      </c>
      <c r="S647" s="5" t="str">
        <f>IF(R647=TRUE,"Returning Customer","New Customer")</f>
        <v>Returning Customer</v>
      </c>
      <c r="T647" s="3">
        <v>5</v>
      </c>
      <c r="U647" s="12" t="str">
        <f>IF(T647&lt;=3,"Fast",IF(T647&lt;=7,"Standard",IF(T647&lt;=14,"Slow","Very Slow")))</f>
        <v>Standard</v>
      </c>
      <c r="V647" s="10" t="str">
        <f>IF(D647&lt;=25,"18-25",IF(D647&lt;=35,"26-35",IF(D647&lt;=45,"36-45",IF(D647&lt;=55,"46-55",IF(D647&lt;=65,"56-65","66-75")))))</f>
        <v>26-35</v>
      </c>
      <c r="W647" s="3">
        <v>4</v>
      </c>
    </row>
    <row r="648" spans="1:23">
      <c r="A648" s="5" t="s">
        <v>1187</v>
      </c>
      <c r="B648" s="5" t="s">
        <v>1188</v>
      </c>
      <c r="C648" s="6">
        <v>45339</v>
      </c>
      <c r="D648" s="8">
        <v>18</v>
      </c>
      <c r="E648" s="5" t="s">
        <v>36</v>
      </c>
      <c r="F648" s="5" t="s">
        <v>73</v>
      </c>
      <c r="G648" s="5" t="s">
        <v>56</v>
      </c>
      <c r="H648" s="7">
        <v>281.10000000000002</v>
      </c>
      <c r="I648" s="3">
        <v>2</v>
      </c>
      <c r="J648" s="33">
        <f>H648*I648</f>
        <v>562.20000000000005</v>
      </c>
      <c r="K648" s="4">
        <v>0</v>
      </c>
      <c r="L648" s="9">
        <f>IF(J648=0,0,K648/J648)</f>
        <v>0</v>
      </c>
      <c r="M648" s="25">
        <v>562.20000000000005</v>
      </c>
      <c r="N648" s="5" t="s">
        <v>692</v>
      </c>
      <c r="O648" s="5" t="s">
        <v>24</v>
      </c>
      <c r="P648" s="3">
        <v>25</v>
      </c>
      <c r="Q648" s="3">
        <v>9</v>
      </c>
      <c r="R648" s="5" t="b">
        <v>1</v>
      </c>
      <c r="S648" s="5" t="str">
        <f>IF(R648=TRUE,"Returning Customer","New Customer")</f>
        <v>Returning Customer</v>
      </c>
      <c r="T648" s="3">
        <v>8</v>
      </c>
      <c r="U648" s="12" t="str">
        <f>IF(T648&lt;=3,"Fast",IF(T648&lt;=7,"Standard",IF(T648&lt;=14,"Slow","Very Slow")))</f>
        <v>Slow</v>
      </c>
      <c r="V648" s="10" t="str">
        <f>IF(D648&lt;=25,"18-25",IF(D648&lt;=35,"26-35",IF(D648&lt;=45,"36-45",IF(D648&lt;=55,"46-55",IF(D648&lt;=65,"56-65","66-75")))))</f>
        <v>18-25</v>
      </c>
      <c r="W648" s="3">
        <v>4</v>
      </c>
    </row>
    <row r="649" spans="1:23">
      <c r="A649" s="5" t="s">
        <v>1189</v>
      </c>
      <c r="B649" s="5" t="s">
        <v>1190</v>
      </c>
      <c r="C649" s="6">
        <v>45202</v>
      </c>
      <c r="D649" s="8">
        <v>34</v>
      </c>
      <c r="E649" s="5" t="s">
        <v>36</v>
      </c>
      <c r="F649" s="5" t="s">
        <v>32</v>
      </c>
      <c r="G649" s="5" t="s">
        <v>28</v>
      </c>
      <c r="H649" s="7">
        <v>120.24</v>
      </c>
      <c r="I649" s="3">
        <v>2</v>
      </c>
      <c r="J649" s="33">
        <f>H649*I649</f>
        <v>240.48</v>
      </c>
      <c r="K649" s="4">
        <v>0</v>
      </c>
      <c r="L649" s="9">
        <f>IF(J649=0,0,K649/J649)</f>
        <v>0</v>
      </c>
      <c r="M649" s="25">
        <v>240.48</v>
      </c>
      <c r="N649" s="5" t="s">
        <v>692</v>
      </c>
      <c r="O649" s="5" t="s">
        <v>33</v>
      </c>
      <c r="P649" s="3">
        <v>14</v>
      </c>
      <c r="Q649" s="3">
        <v>10</v>
      </c>
      <c r="R649" s="5" t="b">
        <v>0</v>
      </c>
      <c r="S649" s="5" t="str">
        <f>IF(R649=TRUE,"Returning Customer","New Customer")</f>
        <v>New Customer</v>
      </c>
      <c r="T649" s="3">
        <v>5</v>
      </c>
      <c r="U649" s="12" t="str">
        <f>IF(T649&lt;=3,"Fast",IF(T649&lt;=7,"Standard",IF(T649&lt;=14,"Slow","Very Slow")))</f>
        <v>Standard</v>
      </c>
      <c r="V649" s="10" t="str">
        <f>IF(D649&lt;=25,"18-25",IF(D649&lt;=35,"26-35",IF(D649&lt;=45,"36-45",IF(D649&lt;=55,"46-55",IF(D649&lt;=65,"56-65","66-75")))))</f>
        <v>26-35</v>
      </c>
      <c r="W649" s="3">
        <v>5</v>
      </c>
    </row>
    <row r="650" spans="1:23">
      <c r="A650" s="5" t="s">
        <v>299</v>
      </c>
      <c r="B650" s="5" t="s">
        <v>300</v>
      </c>
      <c r="C650" s="6">
        <v>45278</v>
      </c>
      <c r="D650" s="8">
        <v>32</v>
      </c>
      <c r="E650" s="5" t="s">
        <v>36</v>
      </c>
      <c r="F650" s="5" t="s">
        <v>52</v>
      </c>
      <c r="G650" s="5" t="s">
        <v>56</v>
      </c>
      <c r="H650" s="7">
        <v>275.41000000000003</v>
      </c>
      <c r="I650" s="3">
        <v>3</v>
      </c>
      <c r="J650" s="33">
        <f>H650*I650</f>
        <v>826.23</v>
      </c>
      <c r="K650" s="4">
        <v>0</v>
      </c>
      <c r="L650" s="9">
        <f>IF(J650=0,0,K650/J650)</f>
        <v>0</v>
      </c>
      <c r="M650" s="25">
        <v>826.23</v>
      </c>
      <c r="N650" s="5" t="s">
        <v>23</v>
      </c>
      <c r="O650" s="5" t="s">
        <v>33</v>
      </c>
      <c r="P650" s="3">
        <v>13</v>
      </c>
      <c r="Q650" s="3">
        <v>11</v>
      </c>
      <c r="R650" s="5" t="b">
        <v>1</v>
      </c>
      <c r="S650" s="5" t="str">
        <f>IF(R650=TRUE,"Returning Customer","New Customer")</f>
        <v>Returning Customer</v>
      </c>
      <c r="T650" s="3">
        <v>5</v>
      </c>
      <c r="U650" s="12" t="str">
        <f>IF(T650&lt;=3,"Fast",IF(T650&lt;=7,"Standard",IF(T650&lt;=14,"Slow","Very Slow")))</f>
        <v>Standard</v>
      </c>
      <c r="V650" s="10" t="str">
        <f>IF(D650&lt;=25,"18-25",IF(D650&lt;=35,"26-35",IF(D650&lt;=45,"36-45",IF(D650&lt;=55,"46-55",IF(D650&lt;=65,"56-65","66-75")))))</f>
        <v>26-35</v>
      </c>
      <c r="W650" s="3">
        <v>5</v>
      </c>
    </row>
    <row r="651" spans="1:23">
      <c r="A651" s="5" t="s">
        <v>301</v>
      </c>
      <c r="B651" s="5" t="s">
        <v>302</v>
      </c>
      <c r="C651" s="6">
        <v>45295</v>
      </c>
      <c r="D651" s="8">
        <v>43</v>
      </c>
      <c r="E651" s="5" t="s">
        <v>20</v>
      </c>
      <c r="F651" s="5" t="s">
        <v>73</v>
      </c>
      <c r="G651" s="5" t="s">
        <v>56</v>
      </c>
      <c r="H651" s="7">
        <v>187.37</v>
      </c>
      <c r="I651" s="3">
        <v>2</v>
      </c>
      <c r="J651" s="33">
        <f>H651*I651</f>
        <v>374.74</v>
      </c>
      <c r="K651" s="4">
        <v>0</v>
      </c>
      <c r="L651" s="9">
        <f>IF(J651=0,0,K651/J651)</f>
        <v>0</v>
      </c>
      <c r="M651" s="25">
        <v>374.74</v>
      </c>
      <c r="N651" s="5" t="s">
        <v>23</v>
      </c>
      <c r="O651" s="5" t="s">
        <v>29</v>
      </c>
      <c r="P651" s="3">
        <v>10</v>
      </c>
      <c r="Q651" s="3">
        <v>5</v>
      </c>
      <c r="R651" s="5" t="b">
        <v>1</v>
      </c>
      <c r="S651" s="5" t="str">
        <f>IF(R651=TRUE,"Returning Customer","New Customer")</f>
        <v>Returning Customer</v>
      </c>
      <c r="T651" s="3">
        <v>3</v>
      </c>
      <c r="U651" s="12" t="str">
        <f>IF(T651&lt;=3,"Fast",IF(T651&lt;=7,"Standard",IF(T651&lt;=14,"Slow","Very Slow")))</f>
        <v>Fast</v>
      </c>
      <c r="V651" s="10" t="str">
        <f>IF(D651&lt;=25,"18-25",IF(D651&lt;=35,"26-35",IF(D651&lt;=45,"36-45",IF(D651&lt;=55,"46-55",IF(D651&lt;=65,"56-65","66-75")))))</f>
        <v>36-45</v>
      </c>
      <c r="W651" s="3">
        <v>4</v>
      </c>
    </row>
    <row r="652" spans="1:23">
      <c r="A652" s="5" t="s">
        <v>1191</v>
      </c>
      <c r="B652" s="5" t="s">
        <v>1192</v>
      </c>
      <c r="C652" s="6">
        <v>45306</v>
      </c>
      <c r="D652" s="8">
        <v>57</v>
      </c>
      <c r="E652" s="5" t="s">
        <v>20</v>
      </c>
      <c r="F652" s="5" t="s">
        <v>52</v>
      </c>
      <c r="G652" s="5" t="s">
        <v>22</v>
      </c>
      <c r="H652" s="7">
        <v>531.79</v>
      </c>
      <c r="I652" s="3">
        <v>1</v>
      </c>
      <c r="J652" s="33">
        <f>H652*I652</f>
        <v>531.79</v>
      </c>
      <c r="K652" s="4">
        <v>0</v>
      </c>
      <c r="L652" s="9">
        <f>IF(J652=0,0,K652/J652)</f>
        <v>0</v>
      </c>
      <c r="M652" s="25">
        <v>531.79</v>
      </c>
      <c r="N652" s="5" t="s">
        <v>692</v>
      </c>
      <c r="O652" s="5" t="s">
        <v>29</v>
      </c>
      <c r="P652" s="3">
        <v>19</v>
      </c>
      <c r="Q652" s="3">
        <v>7</v>
      </c>
      <c r="R652" s="5" t="b">
        <v>0</v>
      </c>
      <c r="S652" s="5" t="str">
        <f>IF(R652=TRUE,"Returning Customer","New Customer")</f>
        <v>New Customer</v>
      </c>
      <c r="T652" s="3">
        <v>3</v>
      </c>
      <c r="U652" s="12" t="str">
        <f>IF(T652&lt;=3,"Fast",IF(T652&lt;=7,"Standard",IF(T652&lt;=14,"Slow","Very Slow")))</f>
        <v>Fast</v>
      </c>
      <c r="V652" s="10" t="str">
        <f>IF(D652&lt;=25,"18-25",IF(D652&lt;=35,"26-35",IF(D652&lt;=45,"36-45",IF(D652&lt;=55,"46-55",IF(D652&lt;=65,"56-65","66-75")))))</f>
        <v>56-65</v>
      </c>
      <c r="W652" s="3">
        <v>4</v>
      </c>
    </row>
    <row r="653" spans="1:23">
      <c r="A653" s="5" t="s">
        <v>1193</v>
      </c>
      <c r="B653" s="5" t="s">
        <v>1194</v>
      </c>
      <c r="C653" s="6">
        <v>45304</v>
      </c>
      <c r="D653" s="8">
        <v>48</v>
      </c>
      <c r="E653" s="5" t="s">
        <v>20</v>
      </c>
      <c r="F653" s="5" t="s">
        <v>32</v>
      </c>
      <c r="G653" s="5" t="s">
        <v>22</v>
      </c>
      <c r="H653" s="7">
        <v>211.54</v>
      </c>
      <c r="I653" s="3">
        <v>2</v>
      </c>
      <c r="J653" s="33">
        <f>H653*I653</f>
        <v>423.08</v>
      </c>
      <c r="K653" s="4">
        <v>0</v>
      </c>
      <c r="L653" s="9">
        <f>IF(J653=0,0,K653/J653)</f>
        <v>0</v>
      </c>
      <c r="M653" s="25">
        <v>423.08</v>
      </c>
      <c r="N653" s="5" t="s">
        <v>692</v>
      </c>
      <c r="O653" s="5" t="s">
        <v>24</v>
      </c>
      <c r="P653" s="3">
        <v>18</v>
      </c>
      <c r="Q653" s="3">
        <v>11</v>
      </c>
      <c r="R653" s="5" t="b">
        <v>0</v>
      </c>
      <c r="S653" s="5" t="str">
        <f>IF(R653=TRUE,"Returning Customer","New Customer")</f>
        <v>New Customer</v>
      </c>
      <c r="T653" s="3">
        <v>7</v>
      </c>
      <c r="U653" s="12" t="str">
        <f>IF(T653&lt;=3,"Fast",IF(T653&lt;=7,"Standard",IF(T653&lt;=14,"Slow","Very Slow")))</f>
        <v>Standard</v>
      </c>
      <c r="V653" s="10" t="str">
        <f>IF(D653&lt;=25,"18-25",IF(D653&lt;=35,"26-35",IF(D653&lt;=45,"36-45",IF(D653&lt;=55,"46-55",IF(D653&lt;=65,"56-65","66-75")))))</f>
        <v>46-55</v>
      </c>
      <c r="W653" s="3">
        <v>5</v>
      </c>
    </row>
    <row r="654" spans="1:23">
      <c r="A654" s="5" t="s">
        <v>1195</v>
      </c>
      <c r="B654" s="5" t="s">
        <v>1196</v>
      </c>
      <c r="C654" s="6">
        <v>45270</v>
      </c>
      <c r="D654" s="8">
        <v>31</v>
      </c>
      <c r="E654" s="5" t="s">
        <v>20</v>
      </c>
      <c r="F654" s="5" t="s">
        <v>27</v>
      </c>
      <c r="G654" s="5" t="s">
        <v>22</v>
      </c>
      <c r="H654" s="7">
        <v>306.73</v>
      </c>
      <c r="I654" s="3">
        <v>3</v>
      </c>
      <c r="J654" s="33">
        <f>H654*I654</f>
        <v>920.19</v>
      </c>
      <c r="K654" s="4">
        <v>0</v>
      </c>
      <c r="L654" s="9">
        <f>IF(J654=0,0,K654/J654)</f>
        <v>0</v>
      </c>
      <c r="M654" s="25">
        <v>920.19</v>
      </c>
      <c r="N654" s="5" t="s">
        <v>692</v>
      </c>
      <c r="O654" s="5" t="s">
        <v>33</v>
      </c>
      <c r="P654" s="3">
        <v>22</v>
      </c>
      <c r="Q654" s="3">
        <v>10</v>
      </c>
      <c r="R654" s="5" t="b">
        <v>0</v>
      </c>
      <c r="S654" s="5" t="str">
        <f>IF(R654=TRUE,"Returning Customer","New Customer")</f>
        <v>New Customer</v>
      </c>
      <c r="T654" s="3">
        <v>4</v>
      </c>
      <c r="U654" s="12" t="str">
        <f>IF(T654&lt;=3,"Fast",IF(T654&lt;=7,"Standard",IF(T654&lt;=14,"Slow","Very Slow")))</f>
        <v>Standard</v>
      </c>
      <c r="V654" s="10" t="str">
        <f>IF(D654&lt;=25,"18-25",IF(D654&lt;=35,"26-35",IF(D654&lt;=45,"36-45",IF(D654&lt;=55,"46-55",IF(D654&lt;=65,"56-65","66-75")))))</f>
        <v>26-35</v>
      </c>
      <c r="W654" s="3">
        <v>1</v>
      </c>
    </row>
    <row r="655" spans="1:23">
      <c r="A655" s="5" t="s">
        <v>1197</v>
      </c>
      <c r="B655" s="5" t="s">
        <v>1198</v>
      </c>
      <c r="C655" s="6">
        <v>45027</v>
      </c>
      <c r="D655" s="8">
        <v>21</v>
      </c>
      <c r="E655" s="5" t="s">
        <v>20</v>
      </c>
      <c r="F655" s="5" t="s">
        <v>76</v>
      </c>
      <c r="G655" s="5" t="s">
        <v>56</v>
      </c>
      <c r="H655" s="7">
        <v>381.06</v>
      </c>
      <c r="I655" s="3">
        <v>2</v>
      </c>
      <c r="J655" s="33">
        <f>H655*I655</f>
        <v>762.12</v>
      </c>
      <c r="K655" s="4">
        <v>0</v>
      </c>
      <c r="L655" s="9">
        <f>IF(J655=0,0,K655/J655)</f>
        <v>0</v>
      </c>
      <c r="M655" s="25">
        <v>762.12</v>
      </c>
      <c r="N655" s="5" t="s">
        <v>692</v>
      </c>
      <c r="O655" s="5" t="s">
        <v>29</v>
      </c>
      <c r="P655" s="3">
        <v>20</v>
      </c>
      <c r="Q655" s="3">
        <v>7</v>
      </c>
      <c r="R655" s="5" t="b">
        <v>1</v>
      </c>
      <c r="S655" s="5" t="str">
        <f>IF(R655=TRUE,"Returning Customer","New Customer")</f>
        <v>Returning Customer</v>
      </c>
      <c r="T655" s="3">
        <v>8</v>
      </c>
      <c r="U655" s="12" t="str">
        <f>IF(T655&lt;=3,"Fast",IF(T655&lt;=7,"Standard",IF(T655&lt;=14,"Slow","Very Slow")))</f>
        <v>Slow</v>
      </c>
      <c r="V655" s="10" t="str">
        <f>IF(D655&lt;=25,"18-25",IF(D655&lt;=35,"26-35",IF(D655&lt;=45,"36-45",IF(D655&lt;=55,"46-55",IF(D655&lt;=65,"56-65","66-75")))))</f>
        <v>18-25</v>
      </c>
      <c r="W655" s="3">
        <v>5</v>
      </c>
    </row>
    <row r="656" spans="1:23">
      <c r="A656" s="5" t="s">
        <v>303</v>
      </c>
      <c r="B656" s="5" t="s">
        <v>304</v>
      </c>
      <c r="C656" s="6">
        <v>45113</v>
      </c>
      <c r="D656" s="8">
        <v>65</v>
      </c>
      <c r="E656" s="5" t="s">
        <v>36</v>
      </c>
      <c r="F656" s="5" t="s">
        <v>32</v>
      </c>
      <c r="G656" s="5" t="s">
        <v>37</v>
      </c>
      <c r="H656" s="7">
        <v>82.4</v>
      </c>
      <c r="I656" s="3">
        <v>5</v>
      </c>
      <c r="J656" s="33">
        <f>H656*I656</f>
        <v>412</v>
      </c>
      <c r="K656" s="4">
        <v>0</v>
      </c>
      <c r="L656" s="9">
        <f>IF(J656=0,0,K656/J656)</f>
        <v>0</v>
      </c>
      <c r="M656" s="25">
        <v>412</v>
      </c>
      <c r="N656" s="5" t="s">
        <v>23</v>
      </c>
      <c r="O656" s="5" t="s">
        <v>33</v>
      </c>
      <c r="P656" s="3">
        <v>17</v>
      </c>
      <c r="Q656" s="3">
        <v>8</v>
      </c>
      <c r="R656" s="5" t="b">
        <v>0</v>
      </c>
      <c r="S656" s="5" t="str">
        <f>IF(R656=TRUE,"Returning Customer","New Customer")</f>
        <v>New Customer</v>
      </c>
      <c r="T656" s="3">
        <v>6</v>
      </c>
      <c r="U656" s="12" t="str">
        <f>IF(T656&lt;=3,"Fast",IF(T656&lt;=7,"Standard",IF(T656&lt;=14,"Slow","Very Slow")))</f>
        <v>Standard</v>
      </c>
      <c r="V656" s="10" t="str">
        <f>IF(D656&lt;=25,"18-25",IF(D656&lt;=35,"26-35",IF(D656&lt;=45,"36-45",IF(D656&lt;=55,"46-55",IF(D656&lt;=65,"56-65","66-75")))))</f>
        <v>56-65</v>
      </c>
      <c r="W656" s="3">
        <v>4</v>
      </c>
    </row>
    <row r="657" spans="1:23">
      <c r="A657" s="5" t="s">
        <v>660</v>
      </c>
      <c r="B657" s="5" t="s">
        <v>661</v>
      </c>
      <c r="C657" s="6">
        <v>45147</v>
      </c>
      <c r="D657" s="8">
        <v>35</v>
      </c>
      <c r="E657" s="5" t="s">
        <v>20</v>
      </c>
      <c r="F657" s="5" t="s">
        <v>32</v>
      </c>
      <c r="G657" s="5" t="s">
        <v>115</v>
      </c>
      <c r="H657" s="7">
        <v>28.6</v>
      </c>
      <c r="I657" s="3">
        <v>1</v>
      </c>
      <c r="J657" s="33">
        <f>H657*I657</f>
        <v>28.6</v>
      </c>
      <c r="K657" s="4">
        <v>0</v>
      </c>
      <c r="L657" s="9">
        <f>IF(J657=0,0,K657/J657)</f>
        <v>0</v>
      </c>
      <c r="M657" s="25">
        <v>28.6</v>
      </c>
      <c r="N657" s="5" t="s">
        <v>327</v>
      </c>
      <c r="O657" s="5" t="s">
        <v>33</v>
      </c>
      <c r="P657" s="3">
        <v>15</v>
      </c>
      <c r="Q657" s="3">
        <v>8</v>
      </c>
      <c r="R657" s="5" t="b">
        <v>1</v>
      </c>
      <c r="S657" s="5" t="str">
        <f>IF(R657=TRUE,"Returning Customer","New Customer")</f>
        <v>Returning Customer</v>
      </c>
      <c r="T657" s="3">
        <v>7</v>
      </c>
      <c r="U657" s="12" t="str">
        <f>IF(T657&lt;=3,"Fast",IF(T657&lt;=7,"Standard",IF(T657&lt;=14,"Slow","Very Slow")))</f>
        <v>Standard</v>
      </c>
      <c r="V657" s="10" t="str">
        <f>IF(D657&lt;=25,"18-25",IF(D657&lt;=35,"26-35",IF(D657&lt;=45,"36-45",IF(D657&lt;=55,"46-55",IF(D657&lt;=65,"56-65","66-75")))))</f>
        <v>26-35</v>
      </c>
      <c r="W657" s="3">
        <v>4</v>
      </c>
    </row>
    <row r="658" spans="1:23">
      <c r="A658" s="5" t="s">
        <v>305</v>
      </c>
      <c r="B658" s="5" t="s">
        <v>306</v>
      </c>
      <c r="C658" s="6">
        <v>44962</v>
      </c>
      <c r="D658" s="8">
        <v>35</v>
      </c>
      <c r="E658" s="5" t="s">
        <v>20</v>
      </c>
      <c r="F658" s="5" t="s">
        <v>83</v>
      </c>
      <c r="G658" s="5" t="s">
        <v>56</v>
      </c>
      <c r="H658" s="7">
        <v>1647.31</v>
      </c>
      <c r="I658" s="3">
        <v>3</v>
      </c>
      <c r="J658" s="33">
        <f>H658*I658</f>
        <v>4941.93</v>
      </c>
      <c r="K658" s="4">
        <v>201.73</v>
      </c>
      <c r="L658" s="9">
        <f>IF(J658=0,0,K658/J658)</f>
        <v>4.0820084460929225E-2</v>
      </c>
      <c r="M658" s="25">
        <v>4740.2</v>
      </c>
      <c r="N658" s="5" t="s">
        <v>23</v>
      </c>
      <c r="O658" s="5" t="s">
        <v>24</v>
      </c>
      <c r="P658" s="3">
        <v>16</v>
      </c>
      <c r="Q658" s="3">
        <v>11</v>
      </c>
      <c r="R658" s="5" t="b">
        <v>0</v>
      </c>
      <c r="S658" s="5" t="str">
        <f>IF(R658=TRUE,"Returning Customer","New Customer")</f>
        <v>New Customer</v>
      </c>
      <c r="T658" s="3">
        <v>4</v>
      </c>
      <c r="U658" s="12" t="str">
        <f>IF(T658&lt;=3,"Fast",IF(T658&lt;=7,"Standard",IF(T658&lt;=14,"Slow","Very Slow")))</f>
        <v>Standard</v>
      </c>
      <c r="V658" s="10" t="str">
        <f>IF(D658&lt;=25,"18-25",IF(D658&lt;=35,"26-35",IF(D658&lt;=45,"36-45",IF(D658&lt;=55,"46-55",IF(D658&lt;=65,"56-65","66-75")))))</f>
        <v>26-35</v>
      </c>
      <c r="W658" s="3">
        <v>4</v>
      </c>
    </row>
    <row r="659" spans="1:23">
      <c r="A659" s="5" t="s">
        <v>662</v>
      </c>
      <c r="B659" s="5" t="s">
        <v>663</v>
      </c>
      <c r="C659" s="6">
        <v>45267</v>
      </c>
      <c r="D659" s="8">
        <v>34</v>
      </c>
      <c r="E659" s="5" t="s">
        <v>20</v>
      </c>
      <c r="F659" s="5" t="s">
        <v>32</v>
      </c>
      <c r="G659" s="5" t="s">
        <v>115</v>
      </c>
      <c r="H659" s="7">
        <v>107.92</v>
      </c>
      <c r="I659" s="3">
        <v>1</v>
      </c>
      <c r="J659" s="33">
        <f>H659*I659</f>
        <v>107.92</v>
      </c>
      <c r="K659" s="4">
        <v>0</v>
      </c>
      <c r="L659" s="9">
        <f>IF(J659=0,0,K659/J659)</f>
        <v>0</v>
      </c>
      <c r="M659" s="25">
        <v>107.92</v>
      </c>
      <c r="N659" s="5" t="s">
        <v>327</v>
      </c>
      <c r="O659" s="5" t="s">
        <v>33</v>
      </c>
      <c r="P659" s="3">
        <v>22</v>
      </c>
      <c r="Q659" s="3">
        <v>10</v>
      </c>
      <c r="R659" s="5" t="b">
        <v>1</v>
      </c>
      <c r="S659" s="5" t="str">
        <f>IF(R659=TRUE,"Returning Customer","New Customer")</f>
        <v>Returning Customer</v>
      </c>
      <c r="T659" s="3">
        <v>7</v>
      </c>
      <c r="U659" s="12" t="str">
        <f>IF(T659&lt;=3,"Fast",IF(T659&lt;=7,"Standard",IF(T659&lt;=14,"Slow","Very Slow")))</f>
        <v>Standard</v>
      </c>
      <c r="V659" s="10" t="str">
        <f>IF(D659&lt;=25,"18-25",IF(D659&lt;=35,"26-35",IF(D659&lt;=45,"36-45",IF(D659&lt;=55,"46-55",IF(D659&lt;=65,"56-65","66-75")))))</f>
        <v>26-35</v>
      </c>
      <c r="W659" s="3">
        <v>4</v>
      </c>
    </row>
    <row r="660" spans="1:23">
      <c r="A660" s="5" t="s">
        <v>307</v>
      </c>
      <c r="B660" s="5" t="s">
        <v>308</v>
      </c>
      <c r="C660" s="6">
        <v>45096</v>
      </c>
      <c r="D660" s="8">
        <v>37</v>
      </c>
      <c r="E660" s="5" t="s">
        <v>36</v>
      </c>
      <c r="F660" s="5" t="s">
        <v>83</v>
      </c>
      <c r="G660" s="5" t="s">
        <v>115</v>
      </c>
      <c r="H660" s="7">
        <v>39.200000000000003</v>
      </c>
      <c r="I660" s="3">
        <v>4</v>
      </c>
      <c r="J660" s="33">
        <f>H660*I660</f>
        <v>156.80000000000001</v>
      </c>
      <c r="K660" s="4">
        <v>8.24</v>
      </c>
      <c r="L660" s="9">
        <f>IF(J660=0,0,K660/J660)</f>
        <v>5.2551020408163264E-2</v>
      </c>
      <c r="M660" s="25">
        <v>148.56</v>
      </c>
      <c r="N660" s="5" t="s">
        <v>23</v>
      </c>
      <c r="O660" s="5" t="s">
        <v>24</v>
      </c>
      <c r="P660" s="3">
        <v>21</v>
      </c>
      <c r="Q660" s="3">
        <v>11</v>
      </c>
      <c r="R660" s="5" t="b">
        <v>0</v>
      </c>
      <c r="S660" s="5" t="str">
        <f>IF(R660=TRUE,"Returning Customer","New Customer")</f>
        <v>New Customer</v>
      </c>
      <c r="T660" s="3">
        <v>2</v>
      </c>
      <c r="U660" s="12" t="str">
        <f>IF(T660&lt;=3,"Fast",IF(T660&lt;=7,"Standard",IF(T660&lt;=14,"Slow","Very Slow")))</f>
        <v>Fast</v>
      </c>
      <c r="V660" s="10" t="str">
        <f>IF(D660&lt;=25,"18-25",IF(D660&lt;=35,"26-35",IF(D660&lt;=45,"36-45",IF(D660&lt;=55,"46-55",IF(D660&lt;=65,"56-65","66-75")))))</f>
        <v>36-45</v>
      </c>
      <c r="W660" s="3">
        <v>5</v>
      </c>
    </row>
    <row r="661" spans="1:23">
      <c r="A661" s="5" t="s">
        <v>664</v>
      </c>
      <c r="B661" s="5" t="s">
        <v>665</v>
      </c>
      <c r="C661" s="6">
        <v>45246</v>
      </c>
      <c r="D661" s="8">
        <v>33</v>
      </c>
      <c r="E661" s="5" t="s">
        <v>36</v>
      </c>
      <c r="F661" s="5" t="s">
        <v>32</v>
      </c>
      <c r="G661" s="5" t="s">
        <v>22</v>
      </c>
      <c r="H661" s="7">
        <v>114</v>
      </c>
      <c r="I661" s="3">
        <v>1</v>
      </c>
      <c r="J661" s="33">
        <f>H661*I661</f>
        <v>114</v>
      </c>
      <c r="K661" s="4">
        <v>0</v>
      </c>
      <c r="L661" s="9">
        <f>IF(J661=0,0,K661/J661)</f>
        <v>0</v>
      </c>
      <c r="M661" s="25">
        <v>114</v>
      </c>
      <c r="N661" s="5" t="s">
        <v>327</v>
      </c>
      <c r="O661" s="5" t="s">
        <v>33</v>
      </c>
      <c r="P661" s="3">
        <v>13</v>
      </c>
      <c r="Q661" s="3">
        <v>4</v>
      </c>
      <c r="R661" s="5" t="b">
        <v>1</v>
      </c>
      <c r="S661" s="5" t="str">
        <f>IF(R661=TRUE,"Returning Customer","New Customer")</f>
        <v>Returning Customer</v>
      </c>
      <c r="T661" s="3">
        <v>9</v>
      </c>
      <c r="U661" s="12" t="str">
        <f>IF(T661&lt;=3,"Fast",IF(T661&lt;=7,"Standard",IF(T661&lt;=14,"Slow","Very Slow")))</f>
        <v>Slow</v>
      </c>
      <c r="V661" s="10" t="str">
        <f>IF(D661&lt;=25,"18-25",IF(D661&lt;=35,"26-35",IF(D661&lt;=45,"36-45",IF(D661&lt;=55,"46-55",IF(D661&lt;=65,"56-65","66-75")))))</f>
        <v>26-35</v>
      </c>
      <c r="W661" s="3">
        <v>5</v>
      </c>
    </row>
    <row r="662" spans="1:23">
      <c r="A662" s="5" t="s">
        <v>1439</v>
      </c>
      <c r="B662" s="5" t="s">
        <v>1440</v>
      </c>
      <c r="C662" s="6">
        <v>45087</v>
      </c>
      <c r="D662" s="8">
        <v>28</v>
      </c>
      <c r="E662" s="5" t="s">
        <v>36</v>
      </c>
      <c r="F662" s="5" t="s">
        <v>88</v>
      </c>
      <c r="G662" s="5" t="s">
        <v>56</v>
      </c>
      <c r="H662" s="7">
        <v>174.49</v>
      </c>
      <c r="I662" s="3">
        <v>4</v>
      </c>
      <c r="J662" s="33">
        <f>H662*I662</f>
        <v>697.96</v>
      </c>
      <c r="K662" s="4">
        <v>0</v>
      </c>
      <c r="L662" s="9">
        <f>IF(J662=0,0,K662/J662)</f>
        <v>0</v>
      </c>
      <c r="M662" s="25">
        <v>697.96</v>
      </c>
      <c r="N662" s="5" t="s">
        <v>1298</v>
      </c>
      <c r="O662" s="5" t="s">
        <v>33</v>
      </c>
      <c r="P662" s="3">
        <v>11</v>
      </c>
      <c r="Q662" s="3">
        <v>5</v>
      </c>
      <c r="R662" s="5" t="b">
        <v>1</v>
      </c>
      <c r="S662" s="5" t="str">
        <f>IF(R662=TRUE,"Returning Customer","New Customer")</f>
        <v>Returning Customer</v>
      </c>
      <c r="T662" s="3">
        <v>6</v>
      </c>
      <c r="U662" s="12" t="str">
        <f>IF(T662&lt;=3,"Fast",IF(T662&lt;=7,"Standard",IF(T662&lt;=14,"Slow","Very Slow")))</f>
        <v>Standard</v>
      </c>
      <c r="V662" s="10" t="str">
        <f>IF(D662&lt;=25,"18-25",IF(D662&lt;=35,"26-35",IF(D662&lt;=45,"36-45",IF(D662&lt;=55,"46-55",IF(D662&lt;=65,"56-65","66-75")))))</f>
        <v>26-35</v>
      </c>
      <c r="W662" s="3">
        <v>4</v>
      </c>
    </row>
    <row r="663" spans="1:23">
      <c r="A663" s="5" t="s">
        <v>666</v>
      </c>
      <c r="B663" s="5" t="s">
        <v>667</v>
      </c>
      <c r="C663" s="6">
        <v>45266</v>
      </c>
      <c r="D663" s="8">
        <v>28</v>
      </c>
      <c r="E663" s="5" t="s">
        <v>36</v>
      </c>
      <c r="F663" s="5" t="s">
        <v>52</v>
      </c>
      <c r="G663" s="5" t="s">
        <v>22</v>
      </c>
      <c r="H663" s="7">
        <v>260.92</v>
      </c>
      <c r="I663" s="3">
        <v>4</v>
      </c>
      <c r="J663" s="33">
        <f>H663*I663</f>
        <v>1043.68</v>
      </c>
      <c r="K663" s="4">
        <v>0</v>
      </c>
      <c r="L663" s="9">
        <f>IF(J663=0,0,K663/J663)</f>
        <v>0</v>
      </c>
      <c r="M663" s="25">
        <v>1043.68</v>
      </c>
      <c r="N663" s="5" t="s">
        <v>327</v>
      </c>
      <c r="O663" s="5" t="s">
        <v>33</v>
      </c>
      <c r="P663" s="3">
        <v>33</v>
      </c>
      <c r="Q663" s="3">
        <v>9</v>
      </c>
      <c r="R663" s="5" t="b">
        <v>0</v>
      </c>
      <c r="S663" s="5" t="str">
        <f>IF(R663=TRUE,"Returning Customer","New Customer")</f>
        <v>New Customer</v>
      </c>
      <c r="T663" s="3">
        <v>21</v>
      </c>
      <c r="U663" s="12" t="str">
        <f>IF(T663&lt;=3,"Fast",IF(T663&lt;=7,"Standard",IF(T663&lt;=14,"Slow","Very Slow")))</f>
        <v>Very Slow</v>
      </c>
      <c r="V663" s="10" t="str">
        <f>IF(D663&lt;=25,"18-25",IF(D663&lt;=35,"26-35",IF(D663&lt;=45,"36-45",IF(D663&lt;=55,"46-55",IF(D663&lt;=65,"56-65","66-75")))))</f>
        <v>26-35</v>
      </c>
      <c r="W663" s="3">
        <v>5</v>
      </c>
    </row>
    <row r="664" spans="1:23">
      <c r="A664" s="5" t="s">
        <v>309</v>
      </c>
      <c r="B664" s="5" t="s">
        <v>310</v>
      </c>
      <c r="C664" s="6">
        <v>45361</v>
      </c>
      <c r="D664" s="8">
        <v>34</v>
      </c>
      <c r="E664" s="5" t="s">
        <v>20</v>
      </c>
      <c r="F664" s="5" t="s">
        <v>76</v>
      </c>
      <c r="G664" s="5" t="s">
        <v>22</v>
      </c>
      <c r="H664" s="7">
        <v>396.31</v>
      </c>
      <c r="I664" s="3">
        <v>1</v>
      </c>
      <c r="J664" s="33">
        <f>H664*I664</f>
        <v>396.31</v>
      </c>
      <c r="K664" s="4">
        <v>95.49</v>
      </c>
      <c r="L664" s="9">
        <f>IF(J664=0,0,K664/J664)</f>
        <v>0.24094774292851553</v>
      </c>
      <c r="M664" s="25">
        <v>300.82</v>
      </c>
      <c r="N664" s="5" t="s">
        <v>23</v>
      </c>
      <c r="O664" s="5" t="s">
        <v>33</v>
      </c>
      <c r="P664" s="3">
        <v>5</v>
      </c>
      <c r="Q664" s="3">
        <v>7</v>
      </c>
      <c r="R664" s="5" t="b">
        <v>0</v>
      </c>
      <c r="S664" s="5" t="str">
        <f>IF(R664=TRUE,"Returning Customer","New Customer")</f>
        <v>New Customer</v>
      </c>
      <c r="T664" s="3">
        <v>6</v>
      </c>
      <c r="U664" s="12" t="str">
        <f>IF(T664&lt;=3,"Fast",IF(T664&lt;=7,"Standard",IF(T664&lt;=14,"Slow","Very Slow")))</f>
        <v>Standard</v>
      </c>
      <c r="V664" s="10" t="str">
        <f>IF(D664&lt;=25,"18-25",IF(D664&lt;=35,"26-35",IF(D664&lt;=45,"36-45",IF(D664&lt;=55,"46-55",IF(D664&lt;=65,"56-65","66-75")))))</f>
        <v>26-35</v>
      </c>
      <c r="W664" s="3">
        <v>5</v>
      </c>
    </row>
    <row r="665" spans="1:23">
      <c r="A665" s="5" t="s">
        <v>668</v>
      </c>
      <c r="B665" s="5" t="s">
        <v>669</v>
      </c>
      <c r="C665" s="6">
        <v>44990</v>
      </c>
      <c r="D665" s="8">
        <v>28</v>
      </c>
      <c r="E665" s="5" t="s">
        <v>36</v>
      </c>
      <c r="F665" s="5" t="s">
        <v>52</v>
      </c>
      <c r="G665" s="5" t="s">
        <v>22</v>
      </c>
      <c r="H665" s="7">
        <v>369.47</v>
      </c>
      <c r="I665" s="3">
        <v>1</v>
      </c>
      <c r="J665" s="33">
        <f>H665*I665</f>
        <v>369.47</v>
      </c>
      <c r="K665" s="4">
        <v>0</v>
      </c>
      <c r="L665" s="9">
        <f>IF(J665=0,0,K665/J665)</f>
        <v>0</v>
      </c>
      <c r="M665" s="25">
        <v>369.47</v>
      </c>
      <c r="N665" s="5" t="s">
        <v>327</v>
      </c>
      <c r="O665" s="5" t="s">
        <v>33</v>
      </c>
      <c r="P665" s="3">
        <v>9</v>
      </c>
      <c r="Q665" s="3">
        <v>8</v>
      </c>
      <c r="R665" s="5" t="b">
        <v>0</v>
      </c>
      <c r="S665" s="5" t="str">
        <f>IF(R665=TRUE,"Returning Customer","New Customer")</f>
        <v>New Customer</v>
      </c>
      <c r="T665" s="3">
        <v>5</v>
      </c>
      <c r="U665" s="12" t="str">
        <f>IF(T665&lt;=3,"Fast",IF(T665&lt;=7,"Standard",IF(T665&lt;=14,"Slow","Very Slow")))</f>
        <v>Standard</v>
      </c>
      <c r="V665" s="10" t="str">
        <f>IF(D665&lt;=25,"18-25",IF(D665&lt;=35,"26-35",IF(D665&lt;=45,"36-45",IF(D665&lt;=55,"46-55",IF(D665&lt;=65,"56-65","66-75")))))</f>
        <v>26-35</v>
      </c>
      <c r="W665" s="3">
        <v>4</v>
      </c>
    </row>
    <row r="666" spans="1:23">
      <c r="A666" s="5" t="s">
        <v>670</v>
      </c>
      <c r="B666" s="5" t="s">
        <v>671</v>
      </c>
      <c r="C666" s="6">
        <v>45295</v>
      </c>
      <c r="D666" s="8">
        <v>26</v>
      </c>
      <c r="E666" s="5" t="s">
        <v>20</v>
      </c>
      <c r="F666" s="5" t="s">
        <v>49</v>
      </c>
      <c r="G666" s="5" t="s">
        <v>28</v>
      </c>
      <c r="H666" s="7">
        <v>106.38</v>
      </c>
      <c r="I666" s="3">
        <v>2</v>
      </c>
      <c r="J666" s="33">
        <f>H666*I666</f>
        <v>212.76</v>
      </c>
      <c r="K666" s="4">
        <v>0</v>
      </c>
      <c r="L666" s="9">
        <f>IF(J666=0,0,K666/J666)</f>
        <v>0</v>
      </c>
      <c r="M666" s="25">
        <v>212.76</v>
      </c>
      <c r="N666" s="5" t="s">
        <v>327</v>
      </c>
      <c r="O666" s="5" t="s">
        <v>33</v>
      </c>
      <c r="P666" s="3">
        <v>15</v>
      </c>
      <c r="Q666" s="3">
        <v>7</v>
      </c>
      <c r="R666" s="5" t="b">
        <v>1</v>
      </c>
      <c r="S666" s="5" t="str">
        <f>IF(R666=TRUE,"Returning Customer","New Customer")</f>
        <v>Returning Customer</v>
      </c>
      <c r="T666" s="3">
        <v>6</v>
      </c>
      <c r="U666" s="12" t="str">
        <f>IF(T666&lt;=3,"Fast",IF(T666&lt;=7,"Standard",IF(T666&lt;=14,"Slow","Very Slow")))</f>
        <v>Standard</v>
      </c>
      <c r="V666" s="10" t="str">
        <f>IF(D666&lt;=25,"18-25",IF(D666&lt;=35,"26-35",IF(D666&lt;=45,"36-45",IF(D666&lt;=55,"46-55",IF(D666&lt;=65,"56-65","66-75")))))</f>
        <v>26-35</v>
      </c>
      <c r="W666" s="3">
        <v>4</v>
      </c>
    </row>
    <row r="667" spans="1:23">
      <c r="A667" s="5" t="s">
        <v>311</v>
      </c>
      <c r="B667" s="5" t="s">
        <v>312</v>
      </c>
      <c r="C667" s="6">
        <v>45080</v>
      </c>
      <c r="D667" s="8">
        <v>36</v>
      </c>
      <c r="E667" s="5" t="s">
        <v>20</v>
      </c>
      <c r="F667" s="5" t="s">
        <v>32</v>
      </c>
      <c r="G667" s="5" t="s">
        <v>28</v>
      </c>
      <c r="H667" s="7">
        <v>125.12</v>
      </c>
      <c r="I667" s="3">
        <v>3</v>
      </c>
      <c r="J667" s="33">
        <f>H667*I667</f>
        <v>375.36</v>
      </c>
      <c r="K667" s="4">
        <v>0</v>
      </c>
      <c r="L667" s="9">
        <f>IF(J667=0,0,K667/J667)</f>
        <v>0</v>
      </c>
      <c r="M667" s="25">
        <v>375.36</v>
      </c>
      <c r="N667" s="5" t="s">
        <v>23</v>
      </c>
      <c r="O667" s="5" t="s">
        <v>33</v>
      </c>
      <c r="P667" s="3">
        <v>27</v>
      </c>
      <c r="Q667" s="3">
        <v>9</v>
      </c>
      <c r="R667" s="5" t="b">
        <v>0</v>
      </c>
      <c r="S667" s="5" t="str">
        <f>IF(R667=TRUE,"Returning Customer","New Customer")</f>
        <v>New Customer</v>
      </c>
      <c r="T667" s="3">
        <v>7</v>
      </c>
      <c r="U667" s="12" t="str">
        <f>IF(T667&lt;=3,"Fast",IF(T667&lt;=7,"Standard",IF(T667&lt;=14,"Slow","Very Slow")))</f>
        <v>Standard</v>
      </c>
      <c r="V667" s="10" t="str">
        <f>IF(D667&lt;=25,"18-25",IF(D667&lt;=35,"26-35",IF(D667&lt;=45,"36-45",IF(D667&lt;=55,"46-55",IF(D667&lt;=65,"56-65","66-75")))))</f>
        <v>36-45</v>
      </c>
      <c r="W667" s="3">
        <v>5</v>
      </c>
    </row>
    <row r="668" spans="1:23">
      <c r="A668" s="5" t="s">
        <v>1199</v>
      </c>
      <c r="B668" s="5" t="s">
        <v>1200</v>
      </c>
      <c r="C668" s="6">
        <v>45186</v>
      </c>
      <c r="D668" s="8">
        <v>31</v>
      </c>
      <c r="E668" s="5" t="s">
        <v>36</v>
      </c>
      <c r="F668" s="5" t="s">
        <v>32</v>
      </c>
      <c r="G668" s="5" t="s">
        <v>37</v>
      </c>
      <c r="H668" s="7">
        <v>48.43</v>
      </c>
      <c r="I668" s="3">
        <v>2</v>
      </c>
      <c r="J668" s="33">
        <f>H668*I668</f>
        <v>96.86</v>
      </c>
      <c r="K668" s="4">
        <v>9.27</v>
      </c>
      <c r="L668" s="9">
        <f>IF(J668=0,0,K668/J668)</f>
        <v>9.5705141441255415E-2</v>
      </c>
      <c r="M668" s="25">
        <v>87.59</v>
      </c>
      <c r="N668" s="5" t="s">
        <v>692</v>
      </c>
      <c r="O668" s="5" t="s">
        <v>29</v>
      </c>
      <c r="P668" s="3">
        <v>24</v>
      </c>
      <c r="Q668" s="3">
        <v>9</v>
      </c>
      <c r="R668" s="5" t="b">
        <v>0</v>
      </c>
      <c r="S668" s="5" t="str">
        <f>IF(R668=TRUE,"Returning Customer","New Customer")</f>
        <v>New Customer</v>
      </c>
      <c r="T668" s="3">
        <v>4</v>
      </c>
      <c r="U668" s="12" t="str">
        <f>IF(T668&lt;=3,"Fast",IF(T668&lt;=7,"Standard",IF(T668&lt;=14,"Slow","Very Slow")))</f>
        <v>Standard</v>
      </c>
      <c r="V668" s="10" t="str">
        <f>IF(D668&lt;=25,"18-25",IF(D668&lt;=35,"26-35",IF(D668&lt;=45,"36-45",IF(D668&lt;=55,"46-55",IF(D668&lt;=65,"56-65","66-75")))))</f>
        <v>26-35</v>
      </c>
      <c r="W668" s="3">
        <v>1</v>
      </c>
    </row>
    <row r="669" spans="1:23">
      <c r="A669" s="5" t="s">
        <v>672</v>
      </c>
      <c r="B669" s="5" t="s">
        <v>673</v>
      </c>
      <c r="C669" s="6">
        <v>45085</v>
      </c>
      <c r="D669" s="8">
        <v>53</v>
      </c>
      <c r="E669" s="5" t="s">
        <v>36</v>
      </c>
      <c r="F669" s="5" t="s">
        <v>27</v>
      </c>
      <c r="G669" s="5" t="s">
        <v>46</v>
      </c>
      <c r="H669" s="7">
        <v>226.36</v>
      </c>
      <c r="I669" s="3">
        <v>1</v>
      </c>
      <c r="J669" s="33">
        <f>H669*I669</f>
        <v>226.36</v>
      </c>
      <c r="K669" s="4">
        <v>0</v>
      </c>
      <c r="L669" s="9">
        <f>IF(J669=0,0,K669/J669)</f>
        <v>0</v>
      </c>
      <c r="M669" s="25">
        <v>226.36</v>
      </c>
      <c r="N669" s="5" t="s">
        <v>327</v>
      </c>
      <c r="O669" s="5" t="s">
        <v>33</v>
      </c>
      <c r="P669" s="3">
        <v>14</v>
      </c>
      <c r="Q669" s="3">
        <v>11</v>
      </c>
      <c r="R669" s="5" t="b">
        <v>0</v>
      </c>
      <c r="S669" s="5" t="str">
        <f>IF(R669=TRUE,"Returning Customer","New Customer")</f>
        <v>New Customer</v>
      </c>
      <c r="T669" s="3">
        <v>7</v>
      </c>
      <c r="U669" s="12" t="str">
        <f>IF(T669&lt;=3,"Fast",IF(T669&lt;=7,"Standard",IF(T669&lt;=14,"Slow","Very Slow")))</f>
        <v>Standard</v>
      </c>
      <c r="V669" s="10" t="str">
        <f>IF(D669&lt;=25,"18-25",IF(D669&lt;=35,"26-35",IF(D669&lt;=45,"36-45",IF(D669&lt;=55,"46-55",IF(D669&lt;=65,"56-65","66-75")))))</f>
        <v>46-55</v>
      </c>
      <c r="W669" s="3">
        <v>4</v>
      </c>
    </row>
    <row r="670" spans="1:23">
      <c r="A670" s="5" t="s">
        <v>313</v>
      </c>
      <c r="B670" s="5" t="s">
        <v>314</v>
      </c>
      <c r="C670" s="6">
        <v>45268</v>
      </c>
      <c r="D670" s="8">
        <v>18</v>
      </c>
      <c r="E670" s="5" t="s">
        <v>20</v>
      </c>
      <c r="F670" s="5" t="s">
        <v>73</v>
      </c>
      <c r="G670" s="5" t="s">
        <v>115</v>
      </c>
      <c r="H670" s="7">
        <v>132.66999999999999</v>
      </c>
      <c r="I670" s="3">
        <v>2</v>
      </c>
      <c r="J670" s="33">
        <f>H670*I670</f>
        <v>265.33999999999997</v>
      </c>
      <c r="K670" s="4">
        <v>0</v>
      </c>
      <c r="L670" s="9">
        <f>IF(J670=0,0,K670/J670)</f>
        <v>0</v>
      </c>
      <c r="M670" s="25">
        <v>265.33999999999997</v>
      </c>
      <c r="N670" s="5" t="s">
        <v>23</v>
      </c>
      <c r="O670" s="5" t="s">
        <v>33</v>
      </c>
      <c r="P670" s="3">
        <v>5</v>
      </c>
      <c r="Q670" s="3">
        <v>7</v>
      </c>
      <c r="R670" s="5" t="b">
        <v>1</v>
      </c>
      <c r="S670" s="5" t="str">
        <f>IF(R670=TRUE,"Returning Customer","New Customer")</f>
        <v>Returning Customer</v>
      </c>
      <c r="T670" s="3">
        <v>6</v>
      </c>
      <c r="U670" s="12" t="str">
        <f>IF(T670&lt;=3,"Fast",IF(T670&lt;=7,"Standard",IF(T670&lt;=14,"Slow","Very Slow")))</f>
        <v>Standard</v>
      </c>
      <c r="V670" s="10" t="str">
        <f>IF(D670&lt;=25,"18-25",IF(D670&lt;=35,"26-35",IF(D670&lt;=45,"36-45",IF(D670&lt;=55,"46-55",IF(D670&lt;=65,"56-65","66-75")))))</f>
        <v>18-25</v>
      </c>
      <c r="W670" s="3">
        <v>5</v>
      </c>
    </row>
    <row r="671" spans="1:23">
      <c r="A671" s="5" t="s">
        <v>315</v>
      </c>
      <c r="B671" s="5" t="s">
        <v>316</v>
      </c>
      <c r="C671" s="6">
        <v>45136</v>
      </c>
      <c r="D671" s="8">
        <v>48</v>
      </c>
      <c r="E671" s="5" t="s">
        <v>20</v>
      </c>
      <c r="F671" s="5" t="s">
        <v>76</v>
      </c>
      <c r="G671" s="5" t="s">
        <v>56</v>
      </c>
      <c r="H671" s="7">
        <v>126.72</v>
      </c>
      <c r="I671" s="3">
        <v>1</v>
      </c>
      <c r="J671" s="33">
        <f>H671*I671</f>
        <v>126.72</v>
      </c>
      <c r="K671" s="4">
        <v>0</v>
      </c>
      <c r="L671" s="9">
        <f>IF(J671=0,0,K671/J671)</f>
        <v>0</v>
      </c>
      <c r="M671" s="25">
        <v>126.72</v>
      </c>
      <c r="N671" s="5" t="s">
        <v>23</v>
      </c>
      <c r="O671" s="5" t="s">
        <v>33</v>
      </c>
      <c r="P671" s="3">
        <v>10</v>
      </c>
      <c r="Q671" s="3">
        <v>10</v>
      </c>
      <c r="R671" s="5" t="b">
        <v>1</v>
      </c>
      <c r="S671" s="5" t="str">
        <f>IF(R671=TRUE,"Returning Customer","New Customer")</f>
        <v>Returning Customer</v>
      </c>
      <c r="T671" s="3">
        <v>10</v>
      </c>
      <c r="U671" s="12" t="str">
        <f>IF(T671&lt;=3,"Fast",IF(T671&lt;=7,"Standard",IF(T671&lt;=14,"Slow","Very Slow")))</f>
        <v>Slow</v>
      </c>
      <c r="V671" s="10" t="str">
        <f>IF(D671&lt;=25,"18-25",IF(D671&lt;=35,"26-35",IF(D671&lt;=45,"36-45",IF(D671&lt;=55,"46-55",IF(D671&lt;=65,"56-65","66-75")))))</f>
        <v>46-55</v>
      </c>
      <c r="W671" s="3">
        <v>5</v>
      </c>
    </row>
    <row r="672" spans="1:23">
      <c r="A672" s="5" t="s">
        <v>674</v>
      </c>
      <c r="B672" s="5" t="s">
        <v>675</v>
      </c>
      <c r="C672" s="6">
        <v>45094</v>
      </c>
      <c r="D672" s="8">
        <v>49</v>
      </c>
      <c r="E672" s="5" t="s">
        <v>36</v>
      </c>
      <c r="F672" s="5" t="s">
        <v>21</v>
      </c>
      <c r="G672" s="5" t="s">
        <v>64</v>
      </c>
      <c r="H672" s="7">
        <v>258.63</v>
      </c>
      <c r="I672" s="3">
        <v>5</v>
      </c>
      <c r="J672" s="33">
        <f>H672*I672</f>
        <v>1293.1500000000001</v>
      </c>
      <c r="K672" s="4">
        <v>0</v>
      </c>
      <c r="L672" s="9">
        <f>IF(J672=0,0,K672/J672)</f>
        <v>0</v>
      </c>
      <c r="M672" s="25">
        <v>1293.1500000000001</v>
      </c>
      <c r="N672" s="5" t="s">
        <v>327</v>
      </c>
      <c r="O672" s="5" t="s">
        <v>33</v>
      </c>
      <c r="P672" s="3">
        <v>16</v>
      </c>
      <c r="Q672" s="3">
        <v>7</v>
      </c>
      <c r="R672" s="5" t="b">
        <v>1</v>
      </c>
      <c r="S672" s="5" t="str">
        <f>IF(R672=TRUE,"Returning Customer","New Customer")</f>
        <v>Returning Customer</v>
      </c>
      <c r="T672" s="3">
        <v>5</v>
      </c>
      <c r="U672" s="12" t="str">
        <f>IF(T672&lt;=3,"Fast",IF(T672&lt;=7,"Standard",IF(T672&lt;=14,"Slow","Very Slow")))</f>
        <v>Standard</v>
      </c>
      <c r="V672" s="10" t="str">
        <f>IF(D672&lt;=25,"18-25",IF(D672&lt;=35,"26-35",IF(D672&lt;=45,"36-45",IF(D672&lt;=55,"46-55",IF(D672&lt;=65,"56-65","66-75")))))</f>
        <v>46-55</v>
      </c>
      <c r="W672" s="3">
        <v>4</v>
      </c>
    </row>
    <row r="673" spans="1:23">
      <c r="A673" s="5" t="s">
        <v>676</v>
      </c>
      <c r="B673" s="5" t="s">
        <v>677</v>
      </c>
      <c r="C673" s="6">
        <v>45133</v>
      </c>
      <c r="D673" s="8">
        <v>18</v>
      </c>
      <c r="E673" s="5" t="s">
        <v>20</v>
      </c>
      <c r="F673" s="5" t="s">
        <v>88</v>
      </c>
      <c r="G673" s="5" t="s">
        <v>22</v>
      </c>
      <c r="H673" s="7">
        <v>142.38999999999999</v>
      </c>
      <c r="I673" s="3">
        <v>1</v>
      </c>
      <c r="J673" s="33">
        <f>H673*I673</f>
        <v>142.38999999999999</v>
      </c>
      <c r="K673" s="4">
        <v>0</v>
      </c>
      <c r="L673" s="9">
        <f>IF(J673=0,0,K673/J673)</f>
        <v>0</v>
      </c>
      <c r="M673" s="25">
        <v>142.38999999999999</v>
      </c>
      <c r="N673" s="5" t="s">
        <v>327</v>
      </c>
      <c r="O673" s="5" t="s">
        <v>33</v>
      </c>
      <c r="P673" s="3">
        <v>19</v>
      </c>
      <c r="Q673" s="3">
        <v>10</v>
      </c>
      <c r="R673" s="5" t="b">
        <v>0</v>
      </c>
      <c r="S673" s="5" t="str">
        <f>IF(R673=TRUE,"Returning Customer","New Customer")</f>
        <v>New Customer</v>
      </c>
      <c r="T673" s="3">
        <v>7</v>
      </c>
      <c r="U673" s="12" t="str">
        <f>IF(T673&lt;=3,"Fast",IF(T673&lt;=7,"Standard",IF(T673&lt;=14,"Slow","Very Slow")))</f>
        <v>Standard</v>
      </c>
      <c r="V673" s="10" t="str">
        <f>IF(D673&lt;=25,"18-25",IF(D673&lt;=35,"26-35",IF(D673&lt;=45,"36-45",IF(D673&lt;=55,"46-55",IF(D673&lt;=65,"56-65","66-75")))))</f>
        <v>18-25</v>
      </c>
      <c r="W673" s="3">
        <v>3</v>
      </c>
    </row>
    <row r="674" spans="1:23">
      <c r="A674" s="5" t="s">
        <v>1201</v>
      </c>
      <c r="B674" s="5" t="s">
        <v>1202</v>
      </c>
      <c r="C674" s="6">
        <v>45283</v>
      </c>
      <c r="D674" s="8">
        <v>30</v>
      </c>
      <c r="E674" s="5" t="s">
        <v>20</v>
      </c>
      <c r="F674" s="5" t="s">
        <v>21</v>
      </c>
      <c r="G674" s="5" t="s">
        <v>37</v>
      </c>
      <c r="H674" s="7">
        <v>247.09</v>
      </c>
      <c r="I674" s="3">
        <v>5</v>
      </c>
      <c r="J674" s="33">
        <f>H674*I674</f>
        <v>1235.45</v>
      </c>
      <c r="K674" s="4">
        <v>0</v>
      </c>
      <c r="L674" s="9">
        <f>IF(J674=0,0,K674/J674)</f>
        <v>0</v>
      </c>
      <c r="M674" s="25">
        <v>1235.45</v>
      </c>
      <c r="N674" s="5" t="s">
        <v>692</v>
      </c>
      <c r="O674" s="5" t="s">
        <v>33</v>
      </c>
      <c r="P674" s="3">
        <v>26</v>
      </c>
      <c r="Q674" s="3">
        <v>9</v>
      </c>
      <c r="R674" s="5" t="b">
        <v>1</v>
      </c>
      <c r="S674" s="5" t="str">
        <f>IF(R674=TRUE,"Returning Customer","New Customer")</f>
        <v>Returning Customer</v>
      </c>
      <c r="T674" s="3">
        <v>8</v>
      </c>
      <c r="U674" s="12" t="str">
        <f>IF(T674&lt;=3,"Fast",IF(T674&lt;=7,"Standard",IF(T674&lt;=14,"Slow","Very Slow")))</f>
        <v>Slow</v>
      </c>
      <c r="V674" s="10" t="str">
        <f>IF(D674&lt;=25,"18-25",IF(D674&lt;=35,"26-35",IF(D674&lt;=45,"36-45",IF(D674&lt;=55,"46-55",IF(D674&lt;=65,"56-65","66-75")))))</f>
        <v>26-35</v>
      </c>
      <c r="W674" s="3">
        <v>3</v>
      </c>
    </row>
    <row r="675" spans="1:23">
      <c r="A675" s="5" t="s">
        <v>1441</v>
      </c>
      <c r="B675" s="5" t="s">
        <v>1442</v>
      </c>
      <c r="C675" s="6">
        <v>45078</v>
      </c>
      <c r="D675" s="8">
        <v>30</v>
      </c>
      <c r="E675" s="5" t="s">
        <v>20</v>
      </c>
      <c r="F675" s="5" t="s">
        <v>83</v>
      </c>
      <c r="G675" s="5" t="s">
        <v>64</v>
      </c>
      <c r="H675" s="7">
        <v>1458.12</v>
      </c>
      <c r="I675" s="3">
        <v>2</v>
      </c>
      <c r="J675" s="33">
        <f>H675*I675</f>
        <v>2916.24</v>
      </c>
      <c r="K675" s="4">
        <v>0</v>
      </c>
      <c r="L675" s="9">
        <f>IF(J675=0,0,K675/J675)</f>
        <v>0</v>
      </c>
      <c r="M675" s="25">
        <v>2916.24</v>
      </c>
      <c r="N675" s="5" t="s">
        <v>1298</v>
      </c>
      <c r="O675" s="5" t="s">
        <v>33</v>
      </c>
      <c r="P675" s="3">
        <v>13</v>
      </c>
      <c r="Q675" s="3">
        <v>8</v>
      </c>
      <c r="R675" s="5" t="b">
        <v>1</v>
      </c>
      <c r="S675" s="5" t="str">
        <f>IF(R675=TRUE,"Returning Customer","New Customer")</f>
        <v>Returning Customer</v>
      </c>
      <c r="T675" s="3">
        <v>10</v>
      </c>
      <c r="U675" s="12" t="str">
        <f>IF(T675&lt;=3,"Fast",IF(T675&lt;=7,"Standard",IF(T675&lt;=14,"Slow","Very Slow")))</f>
        <v>Slow</v>
      </c>
      <c r="V675" s="10" t="str">
        <f>IF(D675&lt;=25,"18-25",IF(D675&lt;=35,"26-35",IF(D675&lt;=45,"36-45",IF(D675&lt;=55,"46-55",IF(D675&lt;=65,"56-65","66-75")))))</f>
        <v>26-35</v>
      </c>
      <c r="W675" s="3">
        <v>4</v>
      </c>
    </row>
    <row r="676" spans="1:23">
      <c r="A676" s="5" t="s">
        <v>1203</v>
      </c>
      <c r="B676" s="5" t="s">
        <v>1204</v>
      </c>
      <c r="C676" s="6">
        <v>45210</v>
      </c>
      <c r="D676" s="8">
        <v>18</v>
      </c>
      <c r="E676" s="5" t="s">
        <v>20</v>
      </c>
      <c r="F676" s="5" t="s">
        <v>76</v>
      </c>
      <c r="G676" s="5" t="s">
        <v>28</v>
      </c>
      <c r="H676" s="7">
        <v>609.87</v>
      </c>
      <c r="I676" s="3">
        <v>4</v>
      </c>
      <c r="J676" s="33">
        <f>H676*I676</f>
        <v>2439.48</v>
      </c>
      <c r="K676" s="4">
        <v>0</v>
      </c>
      <c r="L676" s="9">
        <f>IF(J676=0,0,K676/J676)</f>
        <v>0</v>
      </c>
      <c r="M676" s="25">
        <v>2439.48</v>
      </c>
      <c r="N676" s="5" t="s">
        <v>692</v>
      </c>
      <c r="O676" s="5" t="s">
        <v>24</v>
      </c>
      <c r="P676" s="3">
        <v>6</v>
      </c>
      <c r="Q676" s="3">
        <v>10</v>
      </c>
      <c r="R676" s="5" t="b">
        <v>1</v>
      </c>
      <c r="S676" s="5" t="str">
        <f>IF(R676=TRUE,"Returning Customer","New Customer")</f>
        <v>Returning Customer</v>
      </c>
      <c r="T676" s="3">
        <v>4</v>
      </c>
      <c r="U676" s="12" t="str">
        <f>IF(T676&lt;=3,"Fast",IF(T676&lt;=7,"Standard",IF(T676&lt;=14,"Slow","Very Slow")))</f>
        <v>Standard</v>
      </c>
      <c r="V676" s="10" t="str">
        <f>IF(D676&lt;=25,"18-25",IF(D676&lt;=35,"26-35",IF(D676&lt;=45,"36-45",IF(D676&lt;=55,"46-55",IF(D676&lt;=65,"56-65","66-75")))))</f>
        <v>18-25</v>
      </c>
      <c r="W676" s="3">
        <v>3</v>
      </c>
    </row>
    <row r="677" spans="1:23">
      <c r="A677" s="5" t="s">
        <v>317</v>
      </c>
      <c r="B677" s="5" t="s">
        <v>318</v>
      </c>
      <c r="C677" s="6">
        <v>44992</v>
      </c>
      <c r="D677" s="8">
        <v>25</v>
      </c>
      <c r="E677" s="5" t="s">
        <v>36</v>
      </c>
      <c r="F677" s="5" t="s">
        <v>52</v>
      </c>
      <c r="G677" s="5" t="s">
        <v>46</v>
      </c>
      <c r="H677" s="7">
        <v>340.59</v>
      </c>
      <c r="I677" s="3">
        <v>5</v>
      </c>
      <c r="J677" s="33">
        <f>H677*I677</f>
        <v>1702.9499999999998</v>
      </c>
      <c r="K677" s="4">
        <v>0</v>
      </c>
      <c r="L677" s="9">
        <f>IF(J677=0,0,K677/J677)</f>
        <v>0</v>
      </c>
      <c r="M677" s="25">
        <v>1702.95</v>
      </c>
      <c r="N677" s="5" t="s">
        <v>23</v>
      </c>
      <c r="O677" s="5" t="s">
        <v>33</v>
      </c>
      <c r="P677" s="3">
        <v>5</v>
      </c>
      <c r="Q677" s="3">
        <v>8</v>
      </c>
      <c r="R677" s="5" t="b">
        <v>1</v>
      </c>
      <c r="S677" s="5" t="str">
        <f>IF(R677=TRUE,"Returning Customer","New Customer")</f>
        <v>Returning Customer</v>
      </c>
      <c r="T677" s="3">
        <v>7</v>
      </c>
      <c r="U677" s="12" t="str">
        <f>IF(T677&lt;=3,"Fast",IF(T677&lt;=7,"Standard",IF(T677&lt;=14,"Slow","Very Slow")))</f>
        <v>Standard</v>
      </c>
      <c r="V677" s="10" t="str">
        <f>IF(D677&lt;=25,"18-25",IF(D677&lt;=35,"26-35",IF(D677&lt;=45,"36-45",IF(D677&lt;=55,"46-55",IF(D677&lt;=65,"56-65","66-75")))))</f>
        <v>18-25</v>
      </c>
      <c r="W677" s="3">
        <v>3</v>
      </c>
    </row>
    <row r="678" spans="1:23">
      <c r="A678" s="5" t="s">
        <v>1205</v>
      </c>
      <c r="B678" s="5" t="s">
        <v>1206</v>
      </c>
      <c r="C678" s="6">
        <v>45025</v>
      </c>
      <c r="D678" s="8">
        <v>21</v>
      </c>
      <c r="E678" s="5" t="s">
        <v>20</v>
      </c>
      <c r="F678" s="5" t="s">
        <v>88</v>
      </c>
      <c r="G678" s="5" t="s">
        <v>56</v>
      </c>
      <c r="H678" s="7">
        <v>934.88</v>
      </c>
      <c r="I678" s="3">
        <v>5</v>
      </c>
      <c r="J678" s="33">
        <f>H678*I678</f>
        <v>4674.3999999999996</v>
      </c>
      <c r="K678" s="4">
        <v>0</v>
      </c>
      <c r="L678" s="9">
        <f>IF(J678=0,0,K678/J678)</f>
        <v>0</v>
      </c>
      <c r="M678" s="25">
        <v>4674.3999999999996</v>
      </c>
      <c r="N678" s="5" t="s">
        <v>692</v>
      </c>
      <c r="O678" s="5" t="s">
        <v>24</v>
      </c>
      <c r="P678" s="3">
        <v>12</v>
      </c>
      <c r="Q678" s="3">
        <v>6</v>
      </c>
      <c r="R678" s="5" t="b">
        <v>1</v>
      </c>
      <c r="S678" s="5" t="str">
        <f>IF(R678=TRUE,"Returning Customer","New Customer")</f>
        <v>Returning Customer</v>
      </c>
      <c r="T678" s="3">
        <v>5</v>
      </c>
      <c r="U678" s="12" t="str">
        <f>IF(T678&lt;=3,"Fast",IF(T678&lt;=7,"Standard",IF(T678&lt;=14,"Slow","Very Slow")))</f>
        <v>Standard</v>
      </c>
      <c r="V678" s="10" t="str">
        <f>IF(D678&lt;=25,"18-25",IF(D678&lt;=35,"26-35",IF(D678&lt;=45,"36-45",IF(D678&lt;=55,"46-55",IF(D678&lt;=65,"56-65","66-75")))))</f>
        <v>18-25</v>
      </c>
      <c r="W678" s="3">
        <v>4</v>
      </c>
    </row>
    <row r="679" spans="1:23">
      <c r="A679" s="5" t="s">
        <v>1207</v>
      </c>
      <c r="B679" s="5" t="s">
        <v>1208</v>
      </c>
      <c r="C679" s="6">
        <v>45142</v>
      </c>
      <c r="D679" s="8">
        <v>56</v>
      </c>
      <c r="E679" s="5" t="s">
        <v>20</v>
      </c>
      <c r="F679" s="5" t="s">
        <v>59</v>
      </c>
      <c r="G679" s="5" t="s">
        <v>115</v>
      </c>
      <c r="H679" s="7">
        <v>120.98</v>
      </c>
      <c r="I679" s="3">
        <v>3</v>
      </c>
      <c r="J679" s="33">
        <f>H679*I679</f>
        <v>362.94</v>
      </c>
      <c r="K679" s="4">
        <v>0</v>
      </c>
      <c r="L679" s="9">
        <f>IF(J679=0,0,K679/J679)</f>
        <v>0</v>
      </c>
      <c r="M679" s="25">
        <v>362.94</v>
      </c>
      <c r="N679" s="5" t="s">
        <v>692</v>
      </c>
      <c r="O679" s="5" t="s">
        <v>24</v>
      </c>
      <c r="P679" s="3">
        <v>21</v>
      </c>
      <c r="Q679" s="3">
        <v>11</v>
      </c>
      <c r="R679" s="5" t="b">
        <v>0</v>
      </c>
      <c r="S679" s="5" t="str">
        <f>IF(R679=TRUE,"Returning Customer","New Customer")</f>
        <v>New Customer</v>
      </c>
      <c r="T679" s="3">
        <v>2</v>
      </c>
      <c r="U679" s="12" t="str">
        <f>IF(T679&lt;=3,"Fast",IF(T679&lt;=7,"Standard",IF(T679&lt;=14,"Slow","Very Slow")))</f>
        <v>Fast</v>
      </c>
      <c r="V679" s="10" t="str">
        <f>IF(D679&lt;=25,"18-25",IF(D679&lt;=35,"26-35",IF(D679&lt;=45,"36-45",IF(D679&lt;=55,"46-55",IF(D679&lt;=65,"56-65","66-75")))))</f>
        <v>56-65</v>
      </c>
      <c r="W679" s="3">
        <v>4</v>
      </c>
    </row>
    <row r="680" spans="1:23">
      <c r="A680" s="5" t="s">
        <v>1209</v>
      </c>
      <c r="B680" s="5" t="s">
        <v>1210</v>
      </c>
      <c r="C680" s="6">
        <v>45267</v>
      </c>
      <c r="D680" s="8">
        <v>46</v>
      </c>
      <c r="E680" s="5" t="s">
        <v>36</v>
      </c>
      <c r="F680" s="5" t="s">
        <v>32</v>
      </c>
      <c r="G680" s="5" t="s">
        <v>115</v>
      </c>
      <c r="H680" s="7">
        <v>216.03</v>
      </c>
      <c r="I680" s="3">
        <v>1</v>
      </c>
      <c r="J680" s="33">
        <f>H680*I680</f>
        <v>216.03</v>
      </c>
      <c r="K680" s="4">
        <v>0</v>
      </c>
      <c r="L680" s="9">
        <f>IF(J680=0,0,K680/J680)</f>
        <v>0</v>
      </c>
      <c r="M680" s="25">
        <v>216.03</v>
      </c>
      <c r="N680" s="5" t="s">
        <v>692</v>
      </c>
      <c r="O680" s="5" t="s">
        <v>29</v>
      </c>
      <c r="P680" s="3">
        <v>13</v>
      </c>
      <c r="Q680" s="3">
        <v>8</v>
      </c>
      <c r="R680" s="5" t="b">
        <v>0</v>
      </c>
      <c r="S680" s="5" t="str">
        <f>IF(R680=TRUE,"Returning Customer","New Customer")</f>
        <v>New Customer</v>
      </c>
      <c r="T680" s="3">
        <v>6</v>
      </c>
      <c r="U680" s="12" t="str">
        <f>IF(T680&lt;=3,"Fast",IF(T680&lt;=7,"Standard",IF(T680&lt;=14,"Slow","Very Slow")))</f>
        <v>Standard</v>
      </c>
      <c r="V680" s="10" t="str">
        <f>IF(D680&lt;=25,"18-25",IF(D680&lt;=35,"26-35",IF(D680&lt;=45,"36-45",IF(D680&lt;=55,"46-55",IF(D680&lt;=65,"56-65","66-75")))))</f>
        <v>46-55</v>
      </c>
      <c r="W680" s="3">
        <v>3</v>
      </c>
    </row>
    <row r="681" spans="1:23">
      <c r="A681" s="5" t="s">
        <v>319</v>
      </c>
      <c r="B681" s="5" t="s">
        <v>320</v>
      </c>
      <c r="C681" s="6">
        <v>45121</v>
      </c>
      <c r="D681" s="8">
        <v>50</v>
      </c>
      <c r="E681" s="5" t="s">
        <v>36</v>
      </c>
      <c r="F681" s="5" t="s">
        <v>49</v>
      </c>
      <c r="G681" s="5" t="s">
        <v>28</v>
      </c>
      <c r="H681" s="7">
        <v>92.87</v>
      </c>
      <c r="I681" s="3">
        <v>4</v>
      </c>
      <c r="J681" s="33">
        <f>H681*I681</f>
        <v>371.48</v>
      </c>
      <c r="K681" s="4">
        <v>0</v>
      </c>
      <c r="L681" s="9">
        <f>IF(J681=0,0,K681/J681)</f>
        <v>0</v>
      </c>
      <c r="M681" s="25">
        <v>371.48</v>
      </c>
      <c r="N681" s="5" t="s">
        <v>23</v>
      </c>
      <c r="O681" s="5" t="s">
        <v>33</v>
      </c>
      <c r="P681" s="3">
        <v>4</v>
      </c>
      <c r="Q681" s="3">
        <v>11</v>
      </c>
      <c r="R681" s="5" t="b">
        <v>1</v>
      </c>
      <c r="S681" s="5" t="str">
        <f>IF(R681=TRUE,"Returning Customer","New Customer")</f>
        <v>Returning Customer</v>
      </c>
      <c r="T681" s="3">
        <v>2</v>
      </c>
      <c r="U681" s="12" t="str">
        <f>IF(T681&lt;=3,"Fast",IF(T681&lt;=7,"Standard",IF(T681&lt;=14,"Slow","Very Slow")))</f>
        <v>Fast</v>
      </c>
      <c r="V681" s="10" t="str">
        <f>IF(D681&lt;=25,"18-25",IF(D681&lt;=35,"26-35",IF(D681&lt;=45,"36-45",IF(D681&lt;=55,"46-55",IF(D681&lt;=65,"56-65","66-75")))))</f>
        <v>46-55</v>
      </c>
      <c r="W681" s="3">
        <v>1</v>
      </c>
    </row>
    <row r="682" spans="1:23">
      <c r="A682" s="5" t="s">
        <v>1211</v>
      </c>
      <c r="B682" s="5" t="s">
        <v>1212</v>
      </c>
      <c r="C682" s="6">
        <v>45273</v>
      </c>
      <c r="D682" s="8">
        <v>43</v>
      </c>
      <c r="E682" s="5" t="s">
        <v>20</v>
      </c>
      <c r="F682" s="5" t="s">
        <v>32</v>
      </c>
      <c r="G682" s="5" t="s">
        <v>37</v>
      </c>
      <c r="H682" s="7">
        <v>95.35</v>
      </c>
      <c r="I682" s="3">
        <v>3</v>
      </c>
      <c r="J682" s="33">
        <f>H682*I682</f>
        <v>286.04999999999995</v>
      </c>
      <c r="K682" s="4">
        <v>0</v>
      </c>
      <c r="L682" s="9">
        <f>IF(J682=0,0,K682/J682)</f>
        <v>0</v>
      </c>
      <c r="M682" s="25">
        <v>286.05</v>
      </c>
      <c r="N682" s="5" t="s">
        <v>692</v>
      </c>
      <c r="O682" s="5" t="s">
        <v>29</v>
      </c>
      <c r="P682" s="3">
        <v>11</v>
      </c>
      <c r="Q682" s="3">
        <v>9</v>
      </c>
      <c r="R682" s="5" t="b">
        <v>0</v>
      </c>
      <c r="S682" s="5" t="str">
        <f>IF(R682=TRUE,"Returning Customer","New Customer")</f>
        <v>New Customer</v>
      </c>
      <c r="T682" s="3">
        <v>10</v>
      </c>
      <c r="U682" s="12" t="str">
        <f>IF(T682&lt;=3,"Fast",IF(T682&lt;=7,"Standard",IF(T682&lt;=14,"Slow","Very Slow")))</f>
        <v>Slow</v>
      </c>
      <c r="V682" s="10" t="str">
        <f>IF(D682&lt;=25,"18-25",IF(D682&lt;=35,"26-35",IF(D682&lt;=45,"36-45",IF(D682&lt;=55,"46-55",IF(D682&lt;=65,"56-65","66-75")))))</f>
        <v>36-45</v>
      </c>
      <c r="W682" s="3">
        <v>1</v>
      </c>
    </row>
    <row r="683" spans="1:23">
      <c r="A683" s="5" t="s">
        <v>1213</v>
      </c>
      <c r="B683" s="5" t="s">
        <v>1214</v>
      </c>
      <c r="C683" s="6">
        <v>45310</v>
      </c>
      <c r="D683" s="8">
        <v>21</v>
      </c>
      <c r="E683" s="5" t="s">
        <v>20</v>
      </c>
      <c r="F683" s="5" t="s">
        <v>59</v>
      </c>
      <c r="G683" s="5" t="s">
        <v>22</v>
      </c>
      <c r="H683" s="7">
        <v>208.35</v>
      </c>
      <c r="I683" s="3">
        <v>1</v>
      </c>
      <c r="J683" s="33">
        <f>H683*I683</f>
        <v>208.35</v>
      </c>
      <c r="K683" s="4">
        <v>0</v>
      </c>
      <c r="L683" s="9">
        <f>IF(J683=0,0,K683/J683)</f>
        <v>0</v>
      </c>
      <c r="M683" s="25">
        <v>208.35</v>
      </c>
      <c r="N683" s="5" t="s">
        <v>692</v>
      </c>
      <c r="O683" s="5" t="s">
        <v>24</v>
      </c>
      <c r="P683" s="3">
        <v>25</v>
      </c>
      <c r="Q683" s="3">
        <v>4</v>
      </c>
      <c r="R683" s="5" t="b">
        <v>0</v>
      </c>
      <c r="S683" s="5" t="str">
        <f>IF(R683=TRUE,"Returning Customer","New Customer")</f>
        <v>New Customer</v>
      </c>
      <c r="T683" s="3">
        <v>3</v>
      </c>
      <c r="U683" s="12" t="str">
        <f>IF(T683&lt;=3,"Fast",IF(T683&lt;=7,"Standard",IF(T683&lt;=14,"Slow","Very Slow")))</f>
        <v>Fast</v>
      </c>
      <c r="V683" s="10" t="str">
        <f>IF(D683&lt;=25,"18-25",IF(D683&lt;=35,"26-35",IF(D683&lt;=45,"36-45",IF(D683&lt;=55,"46-55",IF(D683&lt;=65,"56-65","66-75")))))</f>
        <v>18-25</v>
      </c>
      <c r="W683" s="3">
        <v>3</v>
      </c>
    </row>
    <row r="684" spans="1:23">
      <c r="A684" s="5" t="s">
        <v>1215</v>
      </c>
      <c r="B684" s="5" t="s">
        <v>1216</v>
      </c>
      <c r="C684" s="6">
        <v>45016</v>
      </c>
      <c r="D684" s="8">
        <v>28</v>
      </c>
      <c r="E684" s="5" t="s">
        <v>20</v>
      </c>
      <c r="F684" s="5" t="s">
        <v>32</v>
      </c>
      <c r="G684" s="5" t="s">
        <v>22</v>
      </c>
      <c r="H684" s="7">
        <v>399.82</v>
      </c>
      <c r="I684" s="3">
        <v>2</v>
      </c>
      <c r="J684" s="33">
        <f>H684*I684</f>
        <v>799.64</v>
      </c>
      <c r="K684" s="4">
        <v>70.66</v>
      </c>
      <c r="L684" s="9">
        <f>IF(J684=0,0,K684/J684)</f>
        <v>8.8364764143864738E-2</v>
      </c>
      <c r="M684" s="25">
        <v>728.98</v>
      </c>
      <c r="N684" s="5" t="s">
        <v>692</v>
      </c>
      <c r="O684" s="5" t="s">
        <v>33</v>
      </c>
      <c r="P684" s="3">
        <v>3</v>
      </c>
      <c r="Q684" s="3">
        <v>12</v>
      </c>
      <c r="R684" s="5" t="b">
        <v>1</v>
      </c>
      <c r="S684" s="5" t="str">
        <f>IF(R684=TRUE,"Returning Customer","New Customer")</f>
        <v>Returning Customer</v>
      </c>
      <c r="T684" s="3">
        <v>4</v>
      </c>
      <c r="U684" s="12" t="str">
        <f>IF(T684&lt;=3,"Fast",IF(T684&lt;=7,"Standard",IF(T684&lt;=14,"Slow","Very Slow")))</f>
        <v>Standard</v>
      </c>
      <c r="V684" s="10" t="str">
        <f>IF(D684&lt;=25,"18-25",IF(D684&lt;=35,"26-35",IF(D684&lt;=45,"36-45",IF(D684&lt;=55,"46-55",IF(D684&lt;=65,"56-65","66-75")))))</f>
        <v>26-35</v>
      </c>
      <c r="W684" s="3">
        <v>3</v>
      </c>
    </row>
    <row r="685" spans="1:23">
      <c r="A685" s="5" t="s">
        <v>1217</v>
      </c>
      <c r="B685" s="5" t="s">
        <v>1218</v>
      </c>
      <c r="C685" s="6">
        <v>45242</v>
      </c>
      <c r="D685" s="8">
        <v>40</v>
      </c>
      <c r="E685" s="5" t="s">
        <v>36</v>
      </c>
      <c r="F685" s="5" t="s">
        <v>32</v>
      </c>
      <c r="G685" s="5" t="s">
        <v>115</v>
      </c>
      <c r="H685" s="7">
        <v>152.36000000000001</v>
      </c>
      <c r="I685" s="3">
        <v>1</v>
      </c>
      <c r="J685" s="33">
        <f>H685*I685</f>
        <v>152.36000000000001</v>
      </c>
      <c r="K685" s="4">
        <v>0</v>
      </c>
      <c r="L685" s="9">
        <f>IF(J685=0,0,K685/J685)</f>
        <v>0</v>
      </c>
      <c r="M685" s="25">
        <v>152.36000000000001</v>
      </c>
      <c r="N685" s="5" t="s">
        <v>692</v>
      </c>
      <c r="O685" s="5" t="s">
        <v>33</v>
      </c>
      <c r="P685" s="3">
        <v>11</v>
      </c>
      <c r="Q685" s="3">
        <v>8</v>
      </c>
      <c r="R685" s="5" t="b">
        <v>1</v>
      </c>
      <c r="S685" s="5" t="str">
        <f>IF(R685=TRUE,"Returning Customer","New Customer")</f>
        <v>Returning Customer</v>
      </c>
      <c r="T685" s="3">
        <v>9</v>
      </c>
      <c r="U685" s="12" t="str">
        <f>IF(T685&lt;=3,"Fast",IF(T685&lt;=7,"Standard",IF(T685&lt;=14,"Slow","Very Slow")))</f>
        <v>Slow</v>
      </c>
      <c r="V685" s="10" t="str">
        <f>IF(D685&lt;=25,"18-25",IF(D685&lt;=35,"26-35",IF(D685&lt;=45,"36-45",IF(D685&lt;=55,"46-55",IF(D685&lt;=65,"56-65","66-75")))))</f>
        <v>36-45</v>
      </c>
      <c r="W685" s="3">
        <v>4</v>
      </c>
    </row>
    <row r="686" spans="1:23">
      <c r="A686" s="5" t="s">
        <v>1219</v>
      </c>
      <c r="B686" s="5" t="s">
        <v>1220</v>
      </c>
      <c r="C686" s="6">
        <v>45218</v>
      </c>
      <c r="D686" s="8">
        <v>20</v>
      </c>
      <c r="E686" s="5" t="s">
        <v>36</v>
      </c>
      <c r="F686" s="5" t="s">
        <v>21</v>
      </c>
      <c r="G686" s="5" t="s">
        <v>22</v>
      </c>
      <c r="H686" s="7">
        <v>608.26</v>
      </c>
      <c r="I686" s="3">
        <v>1</v>
      </c>
      <c r="J686" s="33">
        <f>H686*I686</f>
        <v>608.26</v>
      </c>
      <c r="K686" s="4">
        <v>83.46</v>
      </c>
      <c r="L686" s="9">
        <f>IF(J686=0,0,K686/J686)</f>
        <v>0.13721106105941538</v>
      </c>
      <c r="M686" s="25">
        <v>524.79999999999995</v>
      </c>
      <c r="N686" s="5" t="s">
        <v>692</v>
      </c>
      <c r="O686" s="5" t="s">
        <v>24</v>
      </c>
      <c r="P686" s="3">
        <v>24</v>
      </c>
      <c r="Q686" s="3">
        <v>4</v>
      </c>
      <c r="R686" s="5" t="b">
        <v>1</v>
      </c>
      <c r="S686" s="5" t="str">
        <f>IF(R686=TRUE,"Returning Customer","New Customer")</f>
        <v>Returning Customer</v>
      </c>
      <c r="T686" s="3">
        <v>6</v>
      </c>
      <c r="U686" s="12" t="str">
        <f>IF(T686&lt;=3,"Fast",IF(T686&lt;=7,"Standard",IF(T686&lt;=14,"Slow","Very Slow")))</f>
        <v>Standard</v>
      </c>
      <c r="V686" s="10" t="str">
        <f>IF(D686&lt;=25,"18-25",IF(D686&lt;=35,"26-35",IF(D686&lt;=45,"36-45",IF(D686&lt;=55,"46-55",IF(D686&lt;=65,"56-65","66-75")))))</f>
        <v>18-25</v>
      </c>
      <c r="W686" s="3">
        <v>4</v>
      </c>
    </row>
    <row r="687" spans="1:23">
      <c r="A687" s="5" t="s">
        <v>1221</v>
      </c>
      <c r="B687" s="5" t="s">
        <v>1222</v>
      </c>
      <c r="C687" s="6">
        <v>45081</v>
      </c>
      <c r="D687" s="8">
        <v>43</v>
      </c>
      <c r="E687" s="5" t="s">
        <v>36</v>
      </c>
      <c r="F687" s="5" t="s">
        <v>73</v>
      </c>
      <c r="G687" s="5" t="s">
        <v>115</v>
      </c>
      <c r="H687" s="7">
        <v>37.340000000000003</v>
      </c>
      <c r="I687" s="3">
        <v>4</v>
      </c>
      <c r="J687" s="33">
        <f>H687*I687</f>
        <v>149.36000000000001</v>
      </c>
      <c r="K687" s="4">
        <v>3.78</v>
      </c>
      <c r="L687" s="9">
        <f>IF(J687=0,0,K687/J687)</f>
        <v>2.5307980717728974E-2</v>
      </c>
      <c r="M687" s="25">
        <v>145.58000000000001</v>
      </c>
      <c r="N687" s="5" t="s">
        <v>692</v>
      </c>
      <c r="O687" s="5" t="s">
        <v>24</v>
      </c>
      <c r="P687" s="3">
        <v>8</v>
      </c>
      <c r="Q687" s="3">
        <v>7</v>
      </c>
      <c r="R687" s="5" t="b">
        <v>1</v>
      </c>
      <c r="S687" s="5" t="str">
        <f>IF(R687=TRUE,"Returning Customer","New Customer")</f>
        <v>Returning Customer</v>
      </c>
      <c r="T687" s="3">
        <v>11</v>
      </c>
      <c r="U687" s="12" t="str">
        <f>IF(T687&lt;=3,"Fast",IF(T687&lt;=7,"Standard",IF(T687&lt;=14,"Slow","Very Slow")))</f>
        <v>Slow</v>
      </c>
      <c r="V687" s="10" t="str">
        <f>IF(D687&lt;=25,"18-25",IF(D687&lt;=35,"26-35",IF(D687&lt;=45,"36-45",IF(D687&lt;=55,"46-55",IF(D687&lt;=65,"56-65","66-75")))))</f>
        <v>36-45</v>
      </c>
      <c r="W687" s="3">
        <v>4</v>
      </c>
    </row>
    <row r="688" spans="1:23">
      <c r="A688" s="5" t="s">
        <v>321</v>
      </c>
      <c r="B688" s="5" t="s">
        <v>322</v>
      </c>
      <c r="C688" s="6">
        <v>45134</v>
      </c>
      <c r="D688" s="8">
        <v>32</v>
      </c>
      <c r="E688" s="5" t="s">
        <v>36</v>
      </c>
      <c r="F688" s="5" t="s">
        <v>88</v>
      </c>
      <c r="G688" s="5" t="s">
        <v>37</v>
      </c>
      <c r="H688" s="7">
        <v>54.07</v>
      </c>
      <c r="I688" s="3">
        <v>1</v>
      </c>
      <c r="J688" s="33">
        <f>H688*I688</f>
        <v>54.07</v>
      </c>
      <c r="K688" s="4">
        <v>0</v>
      </c>
      <c r="L688" s="9">
        <f>IF(J688=0,0,K688/J688)</f>
        <v>0</v>
      </c>
      <c r="M688" s="25">
        <v>54.07</v>
      </c>
      <c r="N688" s="5" t="s">
        <v>23</v>
      </c>
      <c r="O688" s="5" t="s">
        <v>33</v>
      </c>
      <c r="P688" s="3">
        <v>14</v>
      </c>
      <c r="Q688" s="3">
        <v>12</v>
      </c>
      <c r="R688" s="5" t="b">
        <v>0</v>
      </c>
      <c r="S688" s="5" t="str">
        <f>IF(R688=TRUE,"Returning Customer","New Customer")</f>
        <v>New Customer</v>
      </c>
      <c r="T688" s="3">
        <v>8</v>
      </c>
      <c r="U688" s="12" t="str">
        <f>IF(T688&lt;=3,"Fast",IF(T688&lt;=7,"Standard",IF(T688&lt;=14,"Slow","Very Slow")))</f>
        <v>Slow</v>
      </c>
      <c r="V688" s="10" t="str">
        <f>IF(D688&lt;=25,"18-25",IF(D688&lt;=35,"26-35",IF(D688&lt;=45,"36-45",IF(D688&lt;=55,"46-55",IF(D688&lt;=65,"56-65","66-75")))))</f>
        <v>26-35</v>
      </c>
      <c r="W688" s="3">
        <v>5</v>
      </c>
    </row>
    <row r="689" spans="1:23">
      <c r="A689" s="5" t="s">
        <v>678</v>
      </c>
      <c r="B689" s="5" t="s">
        <v>679</v>
      </c>
      <c r="C689" s="6">
        <v>45207</v>
      </c>
      <c r="D689" s="8">
        <v>30</v>
      </c>
      <c r="E689" s="5" t="s">
        <v>36</v>
      </c>
      <c r="F689" s="5" t="s">
        <v>83</v>
      </c>
      <c r="G689" s="5" t="s">
        <v>28</v>
      </c>
      <c r="H689" s="7">
        <v>230.67</v>
      </c>
      <c r="I689" s="3">
        <v>1</v>
      </c>
      <c r="J689" s="33">
        <f>H689*I689</f>
        <v>230.67</v>
      </c>
      <c r="K689" s="4">
        <v>0</v>
      </c>
      <c r="L689" s="9">
        <f>IF(J689=0,0,K689/J689)</f>
        <v>0</v>
      </c>
      <c r="M689" s="25">
        <v>230.67</v>
      </c>
      <c r="N689" s="5" t="s">
        <v>327</v>
      </c>
      <c r="O689" s="5" t="s">
        <v>29</v>
      </c>
      <c r="P689" s="3">
        <v>20</v>
      </c>
      <c r="Q689" s="3">
        <v>7</v>
      </c>
      <c r="R689" s="5" t="b">
        <v>0</v>
      </c>
      <c r="S689" s="5" t="str">
        <f>IF(R689=TRUE,"Returning Customer","New Customer")</f>
        <v>New Customer</v>
      </c>
      <c r="T689" s="3">
        <v>8</v>
      </c>
      <c r="U689" s="12" t="str">
        <f>IF(T689&lt;=3,"Fast",IF(T689&lt;=7,"Standard",IF(T689&lt;=14,"Slow","Very Slow")))</f>
        <v>Slow</v>
      </c>
      <c r="V689" s="10" t="str">
        <f>IF(D689&lt;=25,"18-25",IF(D689&lt;=35,"26-35",IF(D689&lt;=45,"36-45",IF(D689&lt;=55,"46-55",IF(D689&lt;=65,"56-65","66-75")))))</f>
        <v>26-35</v>
      </c>
      <c r="W689" s="3">
        <v>4</v>
      </c>
    </row>
    <row r="690" spans="1:23">
      <c r="A690" s="5" t="s">
        <v>680</v>
      </c>
      <c r="B690" s="5" t="s">
        <v>681</v>
      </c>
      <c r="C690" s="6">
        <v>45353</v>
      </c>
      <c r="D690" s="8">
        <v>43</v>
      </c>
      <c r="E690" s="5" t="s">
        <v>36</v>
      </c>
      <c r="F690" s="5" t="s">
        <v>21</v>
      </c>
      <c r="G690" s="5" t="s">
        <v>64</v>
      </c>
      <c r="H690" s="7">
        <v>565.04999999999995</v>
      </c>
      <c r="I690" s="3">
        <v>1</v>
      </c>
      <c r="J690" s="33">
        <f>H690*I690</f>
        <v>565.04999999999995</v>
      </c>
      <c r="K690" s="4">
        <v>155.21</v>
      </c>
      <c r="L690" s="9">
        <f>IF(J690=0,0,K690/J690)</f>
        <v>0.27468365631360059</v>
      </c>
      <c r="M690" s="25">
        <v>409.84</v>
      </c>
      <c r="N690" s="5" t="s">
        <v>327</v>
      </c>
      <c r="O690" s="5" t="s">
        <v>33</v>
      </c>
      <c r="P690" s="3">
        <v>38</v>
      </c>
      <c r="Q690" s="3">
        <v>8</v>
      </c>
      <c r="R690" s="5" t="b">
        <v>0</v>
      </c>
      <c r="S690" s="5" t="str">
        <f>IF(R690=TRUE,"Returning Customer","New Customer")</f>
        <v>New Customer</v>
      </c>
      <c r="T690" s="3">
        <v>5</v>
      </c>
      <c r="U690" s="12" t="str">
        <f>IF(T690&lt;=3,"Fast",IF(T690&lt;=7,"Standard",IF(T690&lt;=14,"Slow","Very Slow")))</f>
        <v>Standard</v>
      </c>
      <c r="V690" s="10" t="str">
        <f>IF(D690&lt;=25,"18-25",IF(D690&lt;=35,"26-35",IF(D690&lt;=45,"36-45",IF(D690&lt;=55,"46-55",IF(D690&lt;=65,"56-65","66-75")))))</f>
        <v>36-45</v>
      </c>
      <c r="W690" s="3">
        <v>2</v>
      </c>
    </row>
    <row r="691" spans="1:23">
      <c r="A691" s="5" t="s">
        <v>1294</v>
      </c>
      <c r="B691" s="5" t="s">
        <v>1295</v>
      </c>
      <c r="C691" s="6">
        <v>44927</v>
      </c>
      <c r="D691" s="8">
        <v>40</v>
      </c>
      <c r="E691" s="5" t="s">
        <v>36</v>
      </c>
      <c r="F691" s="5" t="s">
        <v>32</v>
      </c>
      <c r="G691" s="5" t="s">
        <v>46</v>
      </c>
      <c r="H691" s="7">
        <v>755.61</v>
      </c>
      <c r="I691" s="3">
        <v>5</v>
      </c>
      <c r="J691" s="33">
        <f>H691*I691</f>
        <v>3778.05</v>
      </c>
      <c r="K691" s="4">
        <v>0</v>
      </c>
      <c r="L691" s="9">
        <f>IF(J691=0,0,K691/J691)</f>
        <v>0</v>
      </c>
      <c r="M691" s="25">
        <v>3778.05</v>
      </c>
      <c r="N691" s="5" t="s">
        <v>1231</v>
      </c>
      <c r="O691" s="5" t="s">
        <v>24</v>
      </c>
      <c r="P691" s="3">
        <v>21</v>
      </c>
      <c r="Q691" s="3">
        <v>10</v>
      </c>
      <c r="R691" s="5" t="b">
        <v>1</v>
      </c>
      <c r="S691" s="5" t="str">
        <f>IF(R691=TRUE,"Returning Customer","New Customer")</f>
        <v>Returning Customer</v>
      </c>
      <c r="T691" s="3">
        <v>7</v>
      </c>
      <c r="U691" s="12" t="str">
        <f>IF(T691&lt;=3,"Fast",IF(T691&lt;=7,"Standard",IF(T691&lt;=14,"Slow","Very Slow")))</f>
        <v>Standard</v>
      </c>
      <c r="V691" s="10" t="str">
        <f>IF(D691&lt;=25,"18-25",IF(D691&lt;=35,"26-35",IF(D691&lt;=45,"36-45",IF(D691&lt;=55,"46-55",IF(D691&lt;=65,"56-65","66-75")))))</f>
        <v>36-45</v>
      </c>
      <c r="W691" s="3">
        <v>4</v>
      </c>
    </row>
    <row r="692" spans="1:23">
      <c r="A692" s="5" t="s">
        <v>682</v>
      </c>
      <c r="B692" s="5" t="s">
        <v>683</v>
      </c>
      <c r="C692" s="6">
        <v>45082</v>
      </c>
      <c r="D692" s="8">
        <v>30</v>
      </c>
      <c r="E692" s="5" t="s">
        <v>20</v>
      </c>
      <c r="F692" s="5" t="s">
        <v>27</v>
      </c>
      <c r="G692" s="5" t="s">
        <v>56</v>
      </c>
      <c r="H692" s="7">
        <v>584.54999999999995</v>
      </c>
      <c r="I692" s="3">
        <v>1</v>
      </c>
      <c r="J692" s="33">
        <f>H692*I692</f>
        <v>584.54999999999995</v>
      </c>
      <c r="K692" s="4">
        <v>0</v>
      </c>
      <c r="L692" s="9">
        <f>IF(J692=0,0,K692/J692)</f>
        <v>0</v>
      </c>
      <c r="M692" s="25">
        <v>584.54999999999995</v>
      </c>
      <c r="N692" s="5" t="s">
        <v>327</v>
      </c>
      <c r="O692" s="5" t="s">
        <v>29</v>
      </c>
      <c r="P692" s="3">
        <v>6</v>
      </c>
      <c r="Q692" s="3">
        <v>12</v>
      </c>
      <c r="R692" s="5" t="b">
        <v>0</v>
      </c>
      <c r="S692" s="5" t="str">
        <f>IF(R692=TRUE,"Returning Customer","New Customer")</f>
        <v>New Customer</v>
      </c>
      <c r="T692" s="3">
        <v>5</v>
      </c>
      <c r="U692" s="12" t="str">
        <f>IF(T692&lt;=3,"Fast",IF(T692&lt;=7,"Standard",IF(T692&lt;=14,"Slow","Very Slow")))</f>
        <v>Standard</v>
      </c>
      <c r="V692" s="10" t="str">
        <f>IF(D692&lt;=25,"18-25",IF(D692&lt;=35,"26-35",IF(D692&lt;=45,"36-45",IF(D692&lt;=55,"46-55",IF(D692&lt;=65,"56-65","66-75")))))</f>
        <v>26-35</v>
      </c>
      <c r="W692" s="3">
        <v>5</v>
      </c>
    </row>
    <row r="693" spans="1:23">
      <c r="A693" s="5" t="s">
        <v>1443</v>
      </c>
      <c r="B693" s="5" t="s">
        <v>1444</v>
      </c>
      <c r="C693" s="6">
        <v>45073</v>
      </c>
      <c r="D693" s="8">
        <v>48</v>
      </c>
      <c r="E693" s="5" t="s">
        <v>122</v>
      </c>
      <c r="F693" s="5" t="s">
        <v>73</v>
      </c>
      <c r="G693" s="5" t="s">
        <v>115</v>
      </c>
      <c r="H693" s="7">
        <v>136.6</v>
      </c>
      <c r="I693" s="3">
        <v>3</v>
      </c>
      <c r="J693" s="33">
        <f>H693*I693</f>
        <v>409.79999999999995</v>
      </c>
      <c r="K693" s="4">
        <v>27.29</v>
      </c>
      <c r="L693" s="9">
        <f>IF(J693=0,0,K693/J693)</f>
        <v>6.6593460224499759E-2</v>
      </c>
      <c r="M693" s="25">
        <v>382.51</v>
      </c>
      <c r="N693" s="5" t="s">
        <v>1298</v>
      </c>
      <c r="O693" s="5" t="s">
        <v>33</v>
      </c>
      <c r="P693" s="3">
        <v>28</v>
      </c>
      <c r="Q693" s="3">
        <v>6</v>
      </c>
      <c r="R693" s="5" t="b">
        <v>1</v>
      </c>
      <c r="S693" s="5" t="str">
        <f>IF(R693=TRUE,"Returning Customer","New Customer")</f>
        <v>Returning Customer</v>
      </c>
      <c r="T693" s="3">
        <v>7</v>
      </c>
      <c r="U693" s="12" t="str">
        <f>IF(T693&lt;=3,"Fast",IF(T693&lt;=7,"Standard",IF(T693&lt;=14,"Slow","Very Slow")))</f>
        <v>Standard</v>
      </c>
      <c r="V693" s="10" t="str">
        <f>IF(D693&lt;=25,"18-25",IF(D693&lt;=35,"26-35",IF(D693&lt;=45,"36-45",IF(D693&lt;=55,"46-55",IF(D693&lt;=65,"56-65","66-75")))))</f>
        <v>46-55</v>
      </c>
      <c r="W693" s="3">
        <v>5</v>
      </c>
    </row>
    <row r="694" spans="1:23">
      <c r="A694" s="5" t="s">
        <v>1223</v>
      </c>
      <c r="B694" s="5" t="s">
        <v>1224</v>
      </c>
      <c r="C694" s="6">
        <v>45034</v>
      </c>
      <c r="D694" s="8">
        <v>22</v>
      </c>
      <c r="E694" s="5" t="s">
        <v>20</v>
      </c>
      <c r="F694" s="5" t="s">
        <v>21</v>
      </c>
      <c r="G694" s="5" t="s">
        <v>46</v>
      </c>
      <c r="H694" s="7">
        <v>914.24</v>
      </c>
      <c r="I694" s="3">
        <v>1</v>
      </c>
      <c r="J694" s="33">
        <f>H694*I694</f>
        <v>914.24</v>
      </c>
      <c r="K694" s="4">
        <v>0</v>
      </c>
      <c r="L694" s="9">
        <f>IF(J694=0,0,K694/J694)</f>
        <v>0</v>
      </c>
      <c r="M694" s="25">
        <v>914.24</v>
      </c>
      <c r="N694" s="5" t="s">
        <v>692</v>
      </c>
      <c r="O694" s="5" t="s">
        <v>33</v>
      </c>
      <c r="P694" s="3">
        <v>15</v>
      </c>
      <c r="Q694" s="3">
        <v>14</v>
      </c>
      <c r="R694" s="5" t="b">
        <v>0</v>
      </c>
      <c r="S694" s="5" t="str">
        <f>IF(R694=TRUE,"Returning Customer","New Customer")</f>
        <v>New Customer</v>
      </c>
      <c r="T694" s="3">
        <v>12</v>
      </c>
      <c r="U694" s="12" t="str">
        <f>IF(T694&lt;=3,"Fast",IF(T694&lt;=7,"Standard",IF(T694&lt;=14,"Slow","Very Slow")))</f>
        <v>Slow</v>
      </c>
      <c r="V694" s="10" t="str">
        <f>IF(D694&lt;=25,"18-25",IF(D694&lt;=35,"26-35",IF(D694&lt;=45,"36-45",IF(D694&lt;=55,"46-55",IF(D694&lt;=65,"56-65","66-75")))))</f>
        <v>18-25</v>
      </c>
      <c r="W694" s="3">
        <v>3</v>
      </c>
    </row>
    <row r="695" spans="1:23">
      <c r="A695" s="5" t="s">
        <v>684</v>
      </c>
      <c r="B695" s="5" t="s">
        <v>685</v>
      </c>
      <c r="C695" s="6">
        <v>45147</v>
      </c>
      <c r="D695" s="8">
        <v>42</v>
      </c>
      <c r="E695" s="5" t="s">
        <v>20</v>
      </c>
      <c r="F695" s="5" t="s">
        <v>52</v>
      </c>
      <c r="G695" s="5" t="s">
        <v>28</v>
      </c>
      <c r="H695" s="7">
        <v>161.82</v>
      </c>
      <c r="I695" s="3">
        <v>1</v>
      </c>
      <c r="J695" s="33">
        <f>H695*I695</f>
        <v>161.82</v>
      </c>
      <c r="K695" s="4">
        <v>0</v>
      </c>
      <c r="L695" s="9">
        <f>IF(J695=0,0,K695/J695)</f>
        <v>0</v>
      </c>
      <c r="M695" s="25">
        <v>161.82</v>
      </c>
      <c r="N695" s="5" t="s">
        <v>327</v>
      </c>
      <c r="O695" s="5" t="s">
        <v>24</v>
      </c>
      <c r="P695" s="3">
        <v>6</v>
      </c>
      <c r="Q695" s="3">
        <v>9</v>
      </c>
      <c r="R695" s="5" t="b">
        <v>1</v>
      </c>
      <c r="S695" s="5" t="str">
        <f>IF(R695=TRUE,"Returning Customer","New Customer")</f>
        <v>Returning Customer</v>
      </c>
      <c r="T695" s="3">
        <v>8</v>
      </c>
      <c r="U695" s="12" t="str">
        <f>IF(T695&lt;=3,"Fast",IF(T695&lt;=7,"Standard",IF(T695&lt;=14,"Slow","Very Slow")))</f>
        <v>Slow</v>
      </c>
      <c r="V695" s="10" t="str">
        <f>IF(D695&lt;=25,"18-25",IF(D695&lt;=35,"26-35",IF(D695&lt;=45,"36-45",IF(D695&lt;=55,"46-55",IF(D695&lt;=65,"56-65","66-75")))))</f>
        <v>36-45</v>
      </c>
      <c r="W695" s="3">
        <v>3</v>
      </c>
    </row>
    <row r="696" spans="1:23">
      <c r="A696" s="5" t="s">
        <v>1225</v>
      </c>
      <c r="B696" s="5" t="s">
        <v>1226</v>
      </c>
      <c r="C696" s="6">
        <v>45329</v>
      </c>
      <c r="D696" s="8">
        <v>42</v>
      </c>
      <c r="E696" s="5" t="s">
        <v>36</v>
      </c>
      <c r="F696" s="5" t="s">
        <v>21</v>
      </c>
      <c r="G696" s="5" t="s">
        <v>22</v>
      </c>
      <c r="H696" s="7">
        <v>94.57</v>
      </c>
      <c r="I696" s="3">
        <v>1</v>
      </c>
      <c r="J696" s="33">
        <f>H696*I696</f>
        <v>94.57</v>
      </c>
      <c r="K696" s="4">
        <v>0</v>
      </c>
      <c r="L696" s="9">
        <f>IF(J696=0,0,K696/J696)</f>
        <v>0</v>
      </c>
      <c r="M696" s="25">
        <v>94.57</v>
      </c>
      <c r="N696" s="5" t="s">
        <v>692</v>
      </c>
      <c r="O696" s="5" t="s">
        <v>24</v>
      </c>
      <c r="P696" s="3">
        <v>3</v>
      </c>
      <c r="Q696" s="3">
        <v>11</v>
      </c>
      <c r="R696" s="5" t="b">
        <v>1</v>
      </c>
      <c r="S696" s="5" t="str">
        <f>IF(R696=TRUE,"Returning Customer","New Customer")</f>
        <v>Returning Customer</v>
      </c>
      <c r="T696" s="3">
        <v>7</v>
      </c>
      <c r="U696" s="12" t="str">
        <f>IF(T696&lt;=3,"Fast",IF(T696&lt;=7,"Standard",IF(T696&lt;=14,"Slow","Very Slow")))</f>
        <v>Standard</v>
      </c>
      <c r="V696" s="10" t="str">
        <f>IF(D696&lt;=25,"18-25",IF(D696&lt;=35,"26-35",IF(D696&lt;=45,"36-45",IF(D696&lt;=55,"46-55",IF(D696&lt;=65,"56-65","66-75")))))</f>
        <v>36-45</v>
      </c>
      <c r="W696" s="3">
        <v>4</v>
      </c>
    </row>
    <row r="697" spans="1:23">
      <c r="A697" s="5" t="s">
        <v>686</v>
      </c>
      <c r="B697" s="5" t="s">
        <v>687</v>
      </c>
      <c r="C697" s="6">
        <v>45223</v>
      </c>
      <c r="D697" s="8">
        <v>31</v>
      </c>
      <c r="E697" s="5" t="s">
        <v>20</v>
      </c>
      <c r="F697" s="5" t="s">
        <v>52</v>
      </c>
      <c r="G697" s="5" t="s">
        <v>46</v>
      </c>
      <c r="H697" s="7">
        <v>178.05</v>
      </c>
      <c r="I697" s="3">
        <v>1</v>
      </c>
      <c r="J697" s="33">
        <f>H697*I697</f>
        <v>178.05</v>
      </c>
      <c r="K697" s="4">
        <v>0</v>
      </c>
      <c r="L697" s="9">
        <f>IF(J697=0,0,K697/J697)</f>
        <v>0</v>
      </c>
      <c r="M697" s="25">
        <v>178.05</v>
      </c>
      <c r="N697" s="5" t="s">
        <v>327</v>
      </c>
      <c r="O697" s="5" t="s">
        <v>24</v>
      </c>
      <c r="P697" s="3">
        <v>5</v>
      </c>
      <c r="Q697" s="3">
        <v>7</v>
      </c>
      <c r="R697" s="5" t="b">
        <v>0</v>
      </c>
      <c r="S697" s="5" t="str">
        <f>IF(R697=TRUE,"Returning Customer","New Customer")</f>
        <v>New Customer</v>
      </c>
      <c r="T697" s="3">
        <v>11</v>
      </c>
      <c r="U697" s="12" t="str">
        <f>IF(T697&lt;=3,"Fast",IF(T697&lt;=7,"Standard",IF(T697&lt;=14,"Slow","Very Slow")))</f>
        <v>Slow</v>
      </c>
      <c r="V697" s="10" t="str">
        <f>IF(D697&lt;=25,"18-25",IF(D697&lt;=35,"26-35",IF(D697&lt;=45,"36-45",IF(D697&lt;=55,"46-55",IF(D697&lt;=65,"56-65","66-75")))))</f>
        <v>26-35</v>
      </c>
      <c r="W697" s="3">
        <v>4</v>
      </c>
    </row>
    <row r="698" spans="1:23">
      <c r="A698" s="5" t="s">
        <v>688</v>
      </c>
      <c r="B698" s="5" t="s">
        <v>689</v>
      </c>
      <c r="C698" s="6">
        <v>45237</v>
      </c>
      <c r="D698" s="8">
        <v>38</v>
      </c>
      <c r="E698" s="5" t="s">
        <v>36</v>
      </c>
      <c r="F698" s="5" t="s">
        <v>27</v>
      </c>
      <c r="G698" s="5" t="s">
        <v>64</v>
      </c>
      <c r="H698" s="7">
        <v>1499.61</v>
      </c>
      <c r="I698" s="3">
        <v>1</v>
      </c>
      <c r="J698" s="33">
        <f>H698*I698</f>
        <v>1499.61</v>
      </c>
      <c r="K698" s="4">
        <v>0</v>
      </c>
      <c r="L698" s="9">
        <f>IF(J698=0,0,K698/J698)</f>
        <v>0</v>
      </c>
      <c r="M698" s="25">
        <v>1499.61</v>
      </c>
      <c r="N698" s="5" t="s">
        <v>327</v>
      </c>
      <c r="O698" s="5" t="s">
        <v>33</v>
      </c>
      <c r="P698" s="3">
        <v>9</v>
      </c>
      <c r="Q698" s="3">
        <v>8</v>
      </c>
      <c r="R698" s="5" t="b">
        <v>0</v>
      </c>
      <c r="S698" s="5" t="str">
        <f>IF(R698=TRUE,"Returning Customer","New Customer")</f>
        <v>New Customer</v>
      </c>
      <c r="T698" s="3">
        <v>6</v>
      </c>
      <c r="U698" s="12" t="str">
        <f>IF(T698&lt;=3,"Fast",IF(T698&lt;=7,"Standard",IF(T698&lt;=14,"Slow","Very Slow")))</f>
        <v>Standard</v>
      </c>
      <c r="V698" s="10" t="str">
        <f>IF(D698&lt;=25,"18-25",IF(D698&lt;=35,"26-35",IF(D698&lt;=45,"36-45",IF(D698&lt;=55,"46-55",IF(D698&lt;=65,"56-65","66-75")))))</f>
        <v>36-45</v>
      </c>
      <c r="W698" s="3">
        <v>4</v>
      </c>
    </row>
    <row r="699" spans="1:23">
      <c r="A699" s="5" t="s">
        <v>1227</v>
      </c>
      <c r="B699" s="5" t="s">
        <v>1228</v>
      </c>
      <c r="C699" s="6">
        <v>45262</v>
      </c>
      <c r="D699" s="8">
        <v>19</v>
      </c>
      <c r="E699" s="5" t="s">
        <v>36</v>
      </c>
      <c r="F699" s="5" t="s">
        <v>73</v>
      </c>
      <c r="G699" s="5" t="s">
        <v>53</v>
      </c>
      <c r="H699" s="7">
        <v>65.7</v>
      </c>
      <c r="I699" s="3">
        <v>3</v>
      </c>
      <c r="J699" s="33">
        <f t="shared" ref="J643:J700" si="5">H699*I699</f>
        <v>197.10000000000002</v>
      </c>
      <c r="K699" s="4">
        <v>0</v>
      </c>
      <c r="L699" s="9">
        <f t="shared" ref="L643:L700" si="6">IF(J699=0,0,K699/J699)</f>
        <v>0</v>
      </c>
      <c r="M699" s="25">
        <v>197.1</v>
      </c>
      <c r="N699" s="5" t="s">
        <v>692</v>
      </c>
      <c r="O699" s="5" t="s">
        <v>24</v>
      </c>
      <c r="P699" s="3">
        <v>13</v>
      </c>
      <c r="Q699" s="3">
        <v>4</v>
      </c>
      <c r="R699" s="5" t="b">
        <v>1</v>
      </c>
      <c r="S699" s="5" t="str">
        <f t="shared" ref="S643:S700" si="7">IF(R699=TRUE,"Returning Customer","New Customer")</f>
        <v>Returning Customer</v>
      </c>
      <c r="T699" s="3">
        <v>4</v>
      </c>
      <c r="U699" s="12" t="str">
        <f t="shared" ref="U643:U700" si="8">IF(T699&lt;=3,"Fast",IF(T699&lt;=7,"Standard",IF(T699&lt;=14,"Slow","Very Slow")))</f>
        <v>Standard</v>
      </c>
      <c r="V699" s="10" t="str">
        <f t="shared" ref="V643:V700" si="9">IF(D699&lt;=25,"18-25",IF(D699&lt;=35,"26-35",IF(D699&lt;=45,"36-45",IF(D699&lt;=55,"46-55",IF(D699&lt;=65,"56-65","66-75")))))</f>
        <v>18-25</v>
      </c>
      <c r="W699" s="3">
        <v>4</v>
      </c>
    </row>
    <row r="700" spans="1:23">
      <c r="A700" s="5" t="s">
        <v>323</v>
      </c>
      <c r="B700" s="5" t="s">
        <v>324</v>
      </c>
      <c r="C700" s="6">
        <v>45091</v>
      </c>
      <c r="D700" s="8">
        <v>46</v>
      </c>
      <c r="E700" s="5" t="s">
        <v>20</v>
      </c>
      <c r="F700" s="5" t="s">
        <v>88</v>
      </c>
      <c r="G700" s="5" t="s">
        <v>28</v>
      </c>
      <c r="H700" s="7">
        <v>116.5</v>
      </c>
      <c r="I700" s="3">
        <v>2</v>
      </c>
      <c r="J700" s="33">
        <f t="shared" si="5"/>
        <v>233</v>
      </c>
      <c r="K700" s="4">
        <v>10</v>
      </c>
      <c r="L700" s="9">
        <f t="shared" si="6"/>
        <v>4.2918454935622317E-2</v>
      </c>
      <c r="M700" s="25">
        <v>223</v>
      </c>
      <c r="N700" s="5" t="s">
        <v>23</v>
      </c>
      <c r="O700" s="5" t="s">
        <v>33</v>
      </c>
      <c r="P700" s="3">
        <v>15</v>
      </c>
      <c r="Q700" s="3">
        <v>11</v>
      </c>
      <c r="R700" s="5" t="b">
        <v>0</v>
      </c>
      <c r="S700" s="5" t="str">
        <f t="shared" si="7"/>
        <v>New Customer</v>
      </c>
      <c r="T700" s="3">
        <v>11</v>
      </c>
      <c r="U700" s="12" t="str">
        <f t="shared" si="8"/>
        <v>Slow</v>
      </c>
      <c r="V700" s="10" t="str">
        <f t="shared" si="9"/>
        <v>46-55</v>
      </c>
      <c r="W700" s="3">
        <v>3</v>
      </c>
    </row>
  </sheetData>
  <mergeCells count="3">
    <mergeCell ref="Z2:AE6"/>
    <mergeCell ref="Z8:AE10"/>
    <mergeCell ref="Z12:A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414B-BD2F-4E12-936E-6BBFAFBFC5DC}">
  <dimension ref="A1:H19"/>
  <sheetViews>
    <sheetView tabSelected="1" workbookViewId="0">
      <selection activeCell="E15" sqref="E15"/>
    </sheetView>
  </sheetViews>
  <sheetFormatPr defaultRowHeight="15"/>
  <cols>
    <col min="1" max="1" width="17" customWidth="1"/>
    <col min="2" max="2" width="19.7109375" customWidth="1"/>
    <col min="3" max="3" width="17.85546875" customWidth="1"/>
    <col min="4" max="4" width="23.5703125" customWidth="1"/>
    <col min="5" max="5" width="35.140625" customWidth="1"/>
    <col min="6" max="6" width="19.85546875" customWidth="1"/>
    <col min="7" max="7" width="21" customWidth="1"/>
    <col min="8" max="8" width="15.28515625" customWidth="1"/>
  </cols>
  <sheetData>
    <row r="1" spans="1:8">
      <c r="A1" s="81" t="s">
        <v>1477</v>
      </c>
      <c r="B1" s="81"/>
      <c r="D1" s="82" t="s">
        <v>1478</v>
      </c>
      <c r="E1" s="83"/>
      <c r="G1" s="86" t="s">
        <v>1479</v>
      </c>
      <c r="H1" s="86"/>
    </row>
    <row r="2" spans="1:8">
      <c r="A2" s="81"/>
      <c r="B2" s="81"/>
      <c r="D2" s="84"/>
      <c r="E2" s="85"/>
      <c r="G2" s="86"/>
      <c r="H2" s="86"/>
    </row>
    <row r="3" spans="1:8">
      <c r="A3" s="18" t="s">
        <v>1473</v>
      </c>
      <c r="B3" s="17" t="s">
        <v>1480</v>
      </c>
      <c r="D3" s="26" t="s">
        <v>1451</v>
      </c>
      <c r="E3" s="28" t="s">
        <v>1481</v>
      </c>
      <c r="G3" s="27" t="s">
        <v>1471</v>
      </c>
      <c r="H3" s="17" t="s">
        <v>1482</v>
      </c>
    </row>
    <row r="4" spans="1:8">
      <c r="A4" s="15" t="s">
        <v>1483</v>
      </c>
      <c r="B4" s="16">
        <v>205011.76999999996</v>
      </c>
      <c r="D4" s="13" t="s">
        <v>37</v>
      </c>
      <c r="E4" s="14">
        <v>26850.649999999998</v>
      </c>
      <c r="G4" s="15" t="s">
        <v>1484</v>
      </c>
      <c r="H4" s="16">
        <v>247612.52999999997</v>
      </c>
    </row>
    <row r="5" spans="1:8">
      <c r="A5" s="15" t="s">
        <v>1485</v>
      </c>
      <c r="B5" s="16">
        <v>228042.60000000012</v>
      </c>
      <c r="D5" s="13" t="s">
        <v>53</v>
      </c>
      <c r="E5" s="14">
        <v>9328.2600000000075</v>
      </c>
      <c r="G5" s="15" t="s">
        <v>1486</v>
      </c>
      <c r="H5" s="16">
        <v>458467.67999999982</v>
      </c>
    </row>
    <row r="6" spans="1:8">
      <c r="A6" s="15" t="s">
        <v>1487</v>
      </c>
      <c r="B6" s="16">
        <v>183720.02999999997</v>
      </c>
      <c r="D6" s="13" t="s">
        <v>64</v>
      </c>
      <c r="E6" s="14">
        <v>348591.29000000021</v>
      </c>
    </row>
    <row r="7" spans="1:8">
      <c r="A7" s="15" t="s">
        <v>1488</v>
      </c>
      <c r="B7" s="16">
        <v>66291.060000000012</v>
      </c>
      <c r="D7" s="13" t="s">
        <v>22</v>
      </c>
      <c r="E7" s="14">
        <v>47889.979999999989</v>
      </c>
    </row>
    <row r="8" spans="1:8">
      <c r="A8" s="15" t="s">
        <v>1489</v>
      </c>
      <c r="B8" s="16">
        <v>21521.549999999996</v>
      </c>
      <c r="D8" s="13" t="s">
        <v>115</v>
      </c>
      <c r="E8" s="14">
        <v>13993.209999999997</v>
      </c>
    </row>
    <row r="9" spans="1:8">
      <c r="A9" s="15" t="s">
        <v>1490</v>
      </c>
      <c r="B9" s="16">
        <v>1493.2</v>
      </c>
      <c r="D9" s="13" t="s">
        <v>56</v>
      </c>
      <c r="E9" s="14">
        <v>115416.90000000001</v>
      </c>
    </row>
    <row r="10" spans="1:8">
      <c r="D10" s="13" t="s">
        <v>46</v>
      </c>
      <c r="E10" s="14">
        <v>109227.57</v>
      </c>
    </row>
    <row r="11" spans="1:8">
      <c r="D11" s="13" t="s">
        <v>28</v>
      </c>
      <c r="E11" s="14">
        <v>34782.35</v>
      </c>
    </row>
    <row r="13" spans="1:8" ht="15" customHeight="1">
      <c r="A13" s="81" t="s">
        <v>1491</v>
      </c>
      <c r="B13" s="81"/>
      <c r="C13" s="81"/>
      <c r="E13" s="86" t="s">
        <v>1492</v>
      </c>
      <c r="F13" s="86"/>
    </row>
    <row r="14" spans="1:8" ht="15" customHeight="1">
      <c r="A14" s="81"/>
      <c r="B14" s="81"/>
      <c r="C14" s="81"/>
      <c r="E14" s="86"/>
      <c r="F14" s="86"/>
    </row>
    <row r="15" spans="1:8" ht="43.5">
      <c r="A15" s="31" t="s">
        <v>1471</v>
      </c>
      <c r="B15" s="29" t="s">
        <v>1493</v>
      </c>
      <c r="C15" s="30" t="s">
        <v>1494</v>
      </c>
      <c r="E15" s="32" t="s">
        <v>1472</v>
      </c>
      <c r="F15" s="30" t="s">
        <v>1495</v>
      </c>
    </row>
    <row r="16" spans="1:8">
      <c r="A16" s="19" t="s">
        <v>1484</v>
      </c>
      <c r="B16" s="20">
        <v>14.936842105263159</v>
      </c>
      <c r="C16" s="20">
        <v>8.905263157894737</v>
      </c>
      <c r="E16" s="21" t="s">
        <v>1496</v>
      </c>
      <c r="F16" s="22">
        <v>3.952054794520548</v>
      </c>
    </row>
    <row r="17" spans="1:6">
      <c r="A17" s="19" t="s">
        <v>1486</v>
      </c>
      <c r="B17" s="20">
        <v>14.362318840579711</v>
      </c>
      <c r="C17" s="20">
        <v>9.120772946859903</v>
      </c>
      <c r="E17" s="21" t="s">
        <v>1497</v>
      </c>
      <c r="F17" s="22">
        <v>3.9893048128342246</v>
      </c>
    </row>
    <row r="18" spans="1:6">
      <c r="E18" s="21" t="s">
        <v>1498</v>
      </c>
      <c r="F18" s="22">
        <v>3.9298245614035086</v>
      </c>
    </row>
    <row r="19" spans="1:6">
      <c r="E19" s="21" t="s">
        <v>1499</v>
      </c>
      <c r="F19" s="22">
        <v>3.75</v>
      </c>
    </row>
  </sheetData>
  <mergeCells count="5">
    <mergeCell ref="A1:B2"/>
    <mergeCell ref="D1:E2"/>
    <mergeCell ref="G1:H2"/>
    <mergeCell ref="A13:C14"/>
    <mergeCell ref="E13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Manisankar P</cp:lastModifiedBy>
  <cp:revision/>
  <dcterms:created xsi:type="dcterms:W3CDTF">2026-09-25T06:12:37Z</dcterms:created>
  <dcterms:modified xsi:type="dcterms:W3CDTF">2026-10-04T15:57:46Z</dcterms:modified>
  <cp:category/>
  <cp:contentStatus/>
</cp:coreProperties>
</file>